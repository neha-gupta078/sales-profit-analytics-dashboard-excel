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nehag\Desktop\"/>
    </mc:Choice>
  </mc:AlternateContent>
  <xr:revisionPtr revIDLastSave="0" documentId="8_{CE8692AA-47A1-4410-8048-6BA6A729D360}" xr6:coauthVersionLast="47" xr6:coauthVersionMax="47" xr10:uidLastSave="{00000000-0000-0000-0000-000000000000}"/>
  <bookViews>
    <workbookView xWindow="-108" yWindow="-108" windowWidth="23256" windowHeight="12456" activeTab="3" xr2:uid="{00000000-000D-0000-FFFF-FFFF00000000}"/>
  </bookViews>
  <sheets>
    <sheet name="QUESTIONS " sheetId="2" r:id="rId1"/>
    <sheet name="PIVOT TABLE " sheetId="4" r:id="rId2"/>
    <sheet name="ORDER DATA" sheetId="1" r:id="rId3"/>
    <sheet name="DASHBOARD" sheetId="3" r:id="rId4"/>
  </sheets>
  <definedNames>
    <definedName name="_xlchart.v1.0" hidden="1">'PIVOT TABLE '!$A$382:$A$393</definedName>
    <definedName name="_xlchart.v1.1" hidden="1">'PIVOT TABLE '!$B$382:$B$393</definedName>
    <definedName name="_xlchart.v5.2" hidden="1">'PIVOT TABLE '!$G$418</definedName>
    <definedName name="_xlchart.v5.3" hidden="1">'PIVOT TABLE '!$G$419:$G$432</definedName>
    <definedName name="_xlchart.v5.4" hidden="1">'PIVOT TABLE '!$H$418</definedName>
    <definedName name="_xlchart.v5.5" hidden="1">'PIVOT TABLE '!$H$419:$H$432</definedName>
    <definedName name="_xlchart.v5.6" hidden="1">'PIVOT TABLE '!$G$439</definedName>
    <definedName name="_xlchart.v5.7" hidden="1">'PIVOT TABLE '!$G$440:$G$453</definedName>
    <definedName name="_xlchart.v5.8" hidden="1">'PIVOT TABLE '!$H$439</definedName>
    <definedName name="_xlchart.v5.9" hidden="1">'PIVOT TABLE '!$H$440:$H$453</definedName>
    <definedName name="NativeTimeline_Order_Date">#N/A</definedName>
    <definedName name="NativeTimeline_Order_Date1">#N/A</definedName>
    <definedName name="Slicer_Quarters">#N/A</definedName>
    <definedName name="Slicer_Region">#N/A</definedName>
    <definedName name="Slicer_Years">#N/A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 i="4" l="1"/>
  <c r="D160" i="4"/>
  <c r="D157" i="4"/>
  <c r="D161" i="4"/>
  <c r="D159" i="4"/>
  <c r="D158" i="4"/>
  <c r="D162" i="4"/>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2" i="1"/>
</calcChain>
</file>

<file path=xl/sharedStrings.xml><?xml version="1.0" encoding="utf-8"?>
<sst xmlns="http://schemas.openxmlformats.org/spreadsheetml/2006/main" count="10588" uniqueCount="1798">
  <si>
    <t>Order ID</t>
  </si>
  <si>
    <t>Order Date</t>
  </si>
  <si>
    <t>Customer Name</t>
  </si>
  <si>
    <t>Customer Segment</t>
  </si>
  <si>
    <t>Region</t>
  </si>
  <si>
    <t>State</t>
  </si>
  <si>
    <t>Category</t>
  </si>
  <si>
    <t>Sub-Category</t>
  </si>
  <si>
    <t>Product Name</t>
  </si>
  <si>
    <t>Quantity</t>
  </si>
  <si>
    <t>Unit Price</t>
  </si>
  <si>
    <t>Sales</t>
  </si>
  <si>
    <t>Discount %</t>
  </si>
  <si>
    <t>Profit</t>
  </si>
  <si>
    <t>Shipping Cost</t>
  </si>
  <si>
    <t>Payment Method</t>
  </si>
  <si>
    <t>Order Priority</t>
  </si>
  <si>
    <t>ORD-10153</t>
  </si>
  <si>
    <t>Simran Sharma</t>
  </si>
  <si>
    <t>Corporate</t>
  </si>
  <si>
    <t>East</t>
  </si>
  <si>
    <t>Bihar</t>
  </si>
  <si>
    <t>Electronics</t>
  </si>
  <si>
    <t>Cameras</t>
  </si>
  <si>
    <t>ActionCam 4K</t>
  </si>
  <si>
    <t>Debit Card</t>
  </si>
  <si>
    <t>Low</t>
  </si>
  <si>
    <t>ORD-10104</t>
  </si>
  <si>
    <t>Ishaan Nair</t>
  </si>
  <si>
    <t>Small Business</t>
  </si>
  <si>
    <t>West</t>
  </si>
  <si>
    <t>Rajasthan</t>
  </si>
  <si>
    <t>Home &amp; Kitchen</t>
  </si>
  <si>
    <t>Cookware</t>
  </si>
  <si>
    <t>Steel Kadai</t>
  </si>
  <si>
    <t>Credit Card</t>
  </si>
  <si>
    <t>Critical</t>
  </si>
  <si>
    <t>ORD-10121</t>
  </si>
  <si>
    <t>Ayaan Reddy</t>
  </si>
  <si>
    <t>Consumer</t>
  </si>
  <si>
    <t>South</t>
  </si>
  <si>
    <t>Kerala</t>
  </si>
  <si>
    <t>Books</t>
  </si>
  <si>
    <t>Academic</t>
  </si>
  <si>
    <t>Calculus Made Easy</t>
  </si>
  <si>
    <t>Cash on Delivery</t>
  </si>
  <si>
    <t>ORD-10178</t>
  </si>
  <si>
    <t>Kabir Kapoor</t>
  </si>
  <si>
    <t>Maharashtra</t>
  </si>
  <si>
    <t>Sports &amp; Fitness</t>
  </si>
  <si>
    <t>Outdoor Gear</t>
  </si>
  <si>
    <t>Hiking Backpack</t>
  </si>
  <si>
    <t>ORD-10648</t>
  </si>
  <si>
    <t>Raj Mishra</t>
  </si>
  <si>
    <t>West Bengal</t>
  </si>
  <si>
    <t>Mobiles</t>
  </si>
  <si>
    <t>iSmart X2</t>
  </si>
  <si>
    <t>High</t>
  </si>
  <si>
    <t>ORD-10310</t>
  </si>
  <si>
    <t>Dhruv Joshi</t>
  </si>
  <si>
    <t>North</t>
  </si>
  <si>
    <t>Delhi</t>
  </si>
  <si>
    <t>Apparel</t>
  </si>
  <si>
    <t>Sports T-Shirt</t>
  </si>
  <si>
    <t>UPI</t>
  </si>
  <si>
    <t>Medium</t>
  </si>
  <si>
    <t>ORD-10043</t>
  </si>
  <si>
    <t>Meera Mehta</t>
  </si>
  <si>
    <t>Punjab</t>
  </si>
  <si>
    <t>Non-Stick Pan Set</t>
  </si>
  <si>
    <t>ORD-10807</t>
  </si>
  <si>
    <t>Simran Gupta</t>
  </si>
  <si>
    <t>Haryana</t>
  </si>
  <si>
    <t>Appliances</t>
  </si>
  <si>
    <t>Air Fryer</t>
  </si>
  <si>
    <t>ORD-10610</t>
  </si>
  <si>
    <t>Anika Chopra</t>
  </si>
  <si>
    <t>Telangana</t>
  </si>
  <si>
    <t>PixelPro DSLR</t>
  </si>
  <si>
    <t>ORD-10698</t>
  </si>
  <si>
    <t>Raj Sharma</t>
  </si>
  <si>
    <t>Fiction</t>
  </si>
  <si>
    <t>Mystery of Ashgrove</t>
  </si>
  <si>
    <t>Net Banking</t>
  </si>
  <si>
    <t>ORD-10850</t>
  </si>
  <si>
    <t>Ishaan Joshi</t>
  </si>
  <si>
    <t>Furniture</t>
  </si>
  <si>
    <t>Study Table</t>
  </si>
  <si>
    <t>ORD-10607</t>
  </si>
  <si>
    <t>Sai Patel</t>
  </si>
  <si>
    <t>Karnataka</t>
  </si>
  <si>
    <t>Footwear</t>
  </si>
  <si>
    <t>Running Shoes</t>
  </si>
  <si>
    <t>ORD-10066</t>
  </si>
  <si>
    <t>Pooja Iyer</t>
  </si>
  <si>
    <t>Trekking Pole</t>
  </si>
  <si>
    <t>ORD-10134</t>
  </si>
  <si>
    <t>Vihaan Kapoor</t>
  </si>
  <si>
    <t>Gym Equipment</t>
  </si>
  <si>
    <t>Yoga Mat Pro</t>
  </si>
  <si>
    <t>ORD-10044</t>
  </si>
  <si>
    <t>Priya Mishra</t>
  </si>
  <si>
    <t>ORD-10412</t>
  </si>
  <si>
    <t>Ananya Desai</t>
  </si>
  <si>
    <t>Uttar Pradesh</t>
  </si>
  <si>
    <t>Accessories</t>
  </si>
  <si>
    <t>Phone Case Pro</t>
  </si>
  <si>
    <t>ORD-10110</t>
  </si>
  <si>
    <t>Dhruv Iyer</t>
  </si>
  <si>
    <t>Tamil Nadu</t>
  </si>
  <si>
    <t>Headphones</t>
  </si>
  <si>
    <t>EchoBuds</t>
  </si>
  <si>
    <t>ORD-10879</t>
  </si>
  <si>
    <t>Aadhya Iyer</t>
  </si>
  <si>
    <t>Electric Kettle</t>
  </si>
  <si>
    <t>ORD-10660</t>
  </si>
  <si>
    <t>Navya Bose</t>
  </si>
  <si>
    <t>Beauty &amp; Personal Care</t>
  </si>
  <si>
    <t>Haircare</t>
  </si>
  <si>
    <t>Argan Oil Shampoo</t>
  </si>
  <si>
    <t>ORD-10291</t>
  </si>
  <si>
    <t>Neha Patel</t>
  </si>
  <si>
    <t>Track Pants</t>
  </si>
  <si>
    <t>ORD-10897</t>
  </si>
  <si>
    <t>Aadhya Patel</t>
  </si>
  <si>
    <t>Fragrances</t>
  </si>
  <si>
    <t>Woody Cologne</t>
  </si>
  <si>
    <t>ORD-10414</t>
  </si>
  <si>
    <t>Dhruv Malhotra</t>
  </si>
  <si>
    <t>Odisha</t>
  </si>
  <si>
    <t>Makeup</t>
  </si>
  <si>
    <t>Compact Powder</t>
  </si>
  <si>
    <t>ORD-10382</t>
  </si>
  <si>
    <t>Aditya Das</t>
  </si>
  <si>
    <t>Clothing</t>
  </si>
  <si>
    <t>Men's Wear</t>
  </si>
  <si>
    <t>Casual Blazer</t>
  </si>
  <si>
    <t>ORD-10413</t>
  </si>
  <si>
    <t>Neha Iyer</t>
  </si>
  <si>
    <t>Women's Wear</t>
  </si>
  <si>
    <t>Floral Dress</t>
  </si>
  <si>
    <t>ORD-10771</t>
  </si>
  <si>
    <t>Vihaan Khan</t>
  </si>
  <si>
    <t>Decor</t>
  </si>
  <si>
    <t>Table Lamp</t>
  </si>
  <si>
    <t>ORD-10016</t>
  </si>
  <si>
    <t>Arjun Rao</t>
  </si>
  <si>
    <t>Ethnic Kurti</t>
  </si>
  <si>
    <t>ORD-10169</t>
  </si>
  <si>
    <t>Arjun Singh</t>
  </si>
  <si>
    <t>OnePlus Edge</t>
  </si>
  <si>
    <t>ORD-10962</t>
  </si>
  <si>
    <t>Aditya Gupta</t>
  </si>
  <si>
    <t>Skincare</t>
  </si>
  <si>
    <t>Aloe Moisturizer</t>
  </si>
  <si>
    <t>ORD-10892</t>
  </si>
  <si>
    <t>Rohan Das</t>
  </si>
  <si>
    <t>FastCharge Cable</t>
  </si>
  <si>
    <t>ORD-10220</t>
  </si>
  <si>
    <t>Myra Verma</t>
  </si>
  <si>
    <t>ORD-10207</t>
  </si>
  <si>
    <t>Priya Iyer</t>
  </si>
  <si>
    <t>ORD-10408</t>
  </si>
  <si>
    <t>Simran Bose</t>
  </si>
  <si>
    <t>Non-Fiction</t>
  </si>
  <si>
    <t>Mind Over Matter</t>
  </si>
  <si>
    <t>ORD-10417</t>
  </si>
  <si>
    <t>Arjun Gupta</t>
  </si>
  <si>
    <t>Sandals</t>
  </si>
  <si>
    <t>ORD-10419</t>
  </si>
  <si>
    <t>ORD-10061</t>
  </si>
  <si>
    <t>Aarav Agarwal</t>
  </si>
  <si>
    <t>Comics</t>
  </si>
  <si>
    <t>SuperHero Chronicles</t>
  </si>
  <si>
    <t>ORD-10883</t>
  </si>
  <si>
    <t>Diya Verma</t>
  </si>
  <si>
    <t>SnapLite Mini</t>
  </si>
  <si>
    <t>ORD-10331</t>
  </si>
  <si>
    <t>Pooja Das</t>
  </si>
  <si>
    <t>ORD-10700</t>
  </si>
  <si>
    <t>Simran Nair</t>
  </si>
  <si>
    <t>ORD-10551</t>
  </si>
  <si>
    <t>Meera Malhotra</t>
  </si>
  <si>
    <t>ORD-10845</t>
  </si>
  <si>
    <t>Navya Nair</t>
  </si>
  <si>
    <t>Classic Shirt</t>
  </si>
  <si>
    <t>ORD-10262</t>
  </si>
  <si>
    <t>Aadhya Verma</t>
  </si>
  <si>
    <t>Casual Sneakers</t>
  </si>
  <si>
    <t>ORD-10447</t>
  </si>
  <si>
    <t>Sai Nair</t>
  </si>
  <si>
    <t>ORD-10564</t>
  </si>
  <si>
    <t>Krishna Patel</t>
  </si>
  <si>
    <t>Camping Tent</t>
  </si>
  <si>
    <t>ORD-10519</t>
  </si>
  <si>
    <t>Saanvi Malhotra</t>
  </si>
  <si>
    <t>Floral Mist</t>
  </si>
  <si>
    <t>ORD-10295</t>
  </si>
  <si>
    <t>Vivaan Chopra</t>
  </si>
  <si>
    <t>The Growth Mindset</t>
  </si>
  <si>
    <t>ORD-10603</t>
  </si>
  <si>
    <t>Ananya Gupta</t>
  </si>
  <si>
    <t>ORD-10445</t>
  </si>
  <si>
    <t>Reyansh Reddy</t>
  </si>
  <si>
    <t>ORD-10212</t>
  </si>
  <si>
    <t>Vivaan Singh</t>
  </si>
  <si>
    <t>Formal Loafers</t>
  </si>
  <si>
    <t>ORD-10959</t>
  </si>
  <si>
    <t>Statistics Handbook</t>
  </si>
  <si>
    <t>ORD-10450</t>
  </si>
  <si>
    <t>Pooja Bose</t>
  </si>
  <si>
    <t>Wooden Chair</t>
  </si>
  <si>
    <t>ORD-10948</t>
  </si>
  <si>
    <t>Karan Das</t>
  </si>
  <si>
    <t>Microwave Oven</t>
  </si>
  <si>
    <t>ORD-10350</t>
  </si>
  <si>
    <t>Reyansh Khan</t>
  </si>
  <si>
    <t>Musk Perfume</t>
  </si>
  <si>
    <t>ORD-10054</t>
  </si>
  <si>
    <t>Kabir Gupta</t>
  </si>
  <si>
    <t>Denim Jacket</t>
  </si>
  <si>
    <t>ORD-10418</t>
  </si>
  <si>
    <t>Ayaan Nair</t>
  </si>
  <si>
    <t>Graphic Tales</t>
  </si>
  <si>
    <t>ORD-10102</t>
  </si>
  <si>
    <t>Aditya Mishra</t>
  </si>
  <si>
    <t>Gujarat</t>
  </si>
  <si>
    <t>Sofa Set</t>
  </si>
  <si>
    <t>ORD-10250</t>
  </si>
  <si>
    <t>Pooja Singh</t>
  </si>
  <si>
    <t>Mixer Grinder</t>
  </si>
  <si>
    <t>ORD-10149</t>
  </si>
  <si>
    <t>Kabir Joshi</t>
  </si>
  <si>
    <t>Bookshelf Unit</t>
  </si>
  <si>
    <t>ORD-10019</t>
  </si>
  <si>
    <t>Anika Gupta</t>
  </si>
  <si>
    <t>ORD-10094</t>
  </si>
  <si>
    <t>Pooja Chopra</t>
  </si>
  <si>
    <t>ClickShot X1</t>
  </si>
  <si>
    <t>ORD-10206</t>
  </si>
  <si>
    <t>Rohan Iyer</t>
  </si>
  <si>
    <t>ORD-10218</t>
  </si>
  <si>
    <t>ORD-10131</t>
  </si>
  <si>
    <t>Reyansh Nair</t>
  </si>
  <si>
    <t>Kids Wear</t>
  </si>
  <si>
    <t>Winter Jacket Jr</t>
  </si>
  <si>
    <t>ORD-10684</t>
  </si>
  <si>
    <t>Rohan Verma</t>
  </si>
  <si>
    <t>Whispering Pines</t>
  </si>
  <si>
    <t>ORD-10080</t>
  </si>
  <si>
    <t>Riya Patel</t>
  </si>
  <si>
    <t>PowerBank 20K</t>
  </si>
  <si>
    <t>ORD-10453</t>
  </si>
  <si>
    <t>Dhruv Rao</t>
  </si>
  <si>
    <t>ORD-10885</t>
  </si>
  <si>
    <t>Aadhya Khan</t>
  </si>
  <si>
    <t>ORD-10257</t>
  </si>
  <si>
    <t>Aditya Chopra</t>
  </si>
  <si>
    <t>Treadmill Compact</t>
  </si>
  <si>
    <t>ORD-10686</t>
  </si>
  <si>
    <t>ORD-10995</t>
  </si>
  <si>
    <t>Kiara Rao</t>
  </si>
  <si>
    <t>ORD-10985</t>
  </si>
  <si>
    <t>Karan Khan</t>
  </si>
  <si>
    <t>ORD-10063</t>
  </si>
  <si>
    <t>Meera Joshi</t>
  </si>
  <si>
    <t>ORD-10015</t>
  </si>
  <si>
    <t>Aadhya Rao</t>
  </si>
  <si>
    <t>ORD-10130</t>
  </si>
  <si>
    <t>Ananya Singh</t>
  </si>
  <si>
    <t>Cartoon T-Shirt</t>
  </si>
  <si>
    <t>ORD-10957</t>
  </si>
  <si>
    <t>Reyansh Mishra</t>
  </si>
  <si>
    <t>ORD-10065</t>
  </si>
  <si>
    <t>Saanvi Iyer</t>
  </si>
  <si>
    <t>ORD-10243</t>
  </si>
  <si>
    <t>Sai Bose</t>
  </si>
  <si>
    <t>ORD-10822</t>
  </si>
  <si>
    <t>Rohan Patel</t>
  </si>
  <si>
    <t>Hair Mask Deep Repair</t>
  </si>
  <si>
    <t>ORD-10106</t>
  </si>
  <si>
    <t>Kiara Agarwal</t>
  </si>
  <si>
    <t>ORD-10452</t>
  </si>
  <si>
    <t>Vivaan Verma</t>
  </si>
  <si>
    <t>Face Wash Gel</t>
  </si>
  <si>
    <t>ORD-10626</t>
  </si>
  <si>
    <t>Riya Desai</t>
  </si>
  <si>
    <t>Slim Fit Jeans</t>
  </si>
  <si>
    <t>ORD-10988</t>
  </si>
  <si>
    <t>Myra Das</t>
  </si>
  <si>
    <t>ORD-10202</t>
  </si>
  <si>
    <t>Reyansh Iyer</t>
  </si>
  <si>
    <t>ORD-10662</t>
  </si>
  <si>
    <t>Anika Malhotra</t>
  </si>
  <si>
    <t>ORD-10311</t>
  </si>
  <si>
    <t>Saanvi Singh</t>
  </si>
  <si>
    <t>Sunscreen SPF50</t>
  </si>
  <si>
    <t>ORD-10273</t>
  </si>
  <si>
    <t>Pooja Verma</t>
  </si>
  <si>
    <t>Adjustable Dumbbells</t>
  </si>
  <si>
    <t>ORD-10238</t>
  </si>
  <si>
    <t>Diya Desai</t>
  </si>
  <si>
    <t>Comic Universe</t>
  </si>
  <si>
    <t>ORD-10089</t>
  </si>
  <si>
    <t>Meera Chopra</t>
  </si>
  <si>
    <t>ORD-10744</t>
  </si>
  <si>
    <t>Myra Gupta</t>
  </si>
  <si>
    <t>ORD-10819</t>
  </si>
  <si>
    <t>ORD-10767</t>
  </si>
  <si>
    <t>Vihaan Nair</t>
  </si>
  <si>
    <t>Matte Lipstick</t>
  </si>
  <si>
    <t>ORD-10676</t>
  </si>
  <si>
    <t>Reyansh Gupta</t>
  </si>
  <si>
    <t>ORD-10366</t>
  </si>
  <si>
    <t>Priya Das</t>
  </si>
  <si>
    <t>ORD-10487</t>
  </si>
  <si>
    <t>Ananya Patel</t>
  </si>
  <si>
    <t>SoundWave Pro</t>
  </si>
  <si>
    <t>ORD-10939</t>
  </si>
  <si>
    <t>ORD-10914</t>
  </si>
  <si>
    <t>Pooja Desai</t>
  </si>
  <si>
    <t>Ceramic Vase</t>
  </si>
  <si>
    <t>ORD-10814</t>
  </si>
  <si>
    <t>Pixel Nano</t>
  </si>
  <si>
    <t>ORD-10724</t>
  </si>
  <si>
    <t>Aditya Rao</t>
  </si>
  <si>
    <t>Eyeliner Pro</t>
  </si>
  <si>
    <t>ORD-10620</t>
  </si>
  <si>
    <t>Ayaan Gupta</t>
  </si>
  <si>
    <t>Modern Economics</t>
  </si>
  <si>
    <t>ORD-10431</t>
  </si>
  <si>
    <t>Sai Gupta</t>
  </si>
  <si>
    <t>ORD-10181</t>
  </si>
  <si>
    <t>Krishna Kapoor</t>
  </si>
  <si>
    <t>School Uniform Set</t>
  </si>
  <si>
    <t>ORD-10651</t>
  </si>
  <si>
    <t>Myra Mehta</t>
  </si>
  <si>
    <t>ORD-10496</t>
  </si>
  <si>
    <t>Riya Kapoor</t>
  </si>
  <si>
    <t>ORD-10136</t>
  </si>
  <si>
    <t>Anika Joshi</t>
  </si>
  <si>
    <t>Compression Shorts</t>
  </si>
  <si>
    <t>ORD-10426</t>
  </si>
  <si>
    <t>Aarav Mehta</t>
  </si>
  <si>
    <t>ORD-10011</t>
  </si>
  <si>
    <t>Karan Mishra</t>
  </si>
  <si>
    <t>ORD-10481</t>
  </si>
  <si>
    <t>ORD-10270</t>
  </si>
  <si>
    <t>Myra Patel</t>
  </si>
  <si>
    <t>ORD-10981</t>
  </si>
  <si>
    <t>ORD-10639</t>
  </si>
  <si>
    <t>Vihaan Patel</t>
  </si>
  <si>
    <t>ORD-10935</t>
  </si>
  <si>
    <t>Pooja Mehta</t>
  </si>
  <si>
    <t>ORD-10082</t>
  </si>
  <si>
    <t>Myra Bose</t>
  </si>
  <si>
    <t>Vitamin C Serum</t>
  </si>
  <si>
    <t>ORD-10880</t>
  </si>
  <si>
    <t>Rohan Kapoor</t>
  </si>
  <si>
    <t>BassBoost 300</t>
  </si>
  <si>
    <t>ORD-10602</t>
  </si>
  <si>
    <t>Simran Mishra</t>
  </si>
  <si>
    <t>ORD-10835</t>
  </si>
  <si>
    <t>ORD-10540</t>
  </si>
  <si>
    <t>Krishna Rao</t>
  </si>
  <si>
    <t>ORD-10738</t>
  </si>
  <si>
    <t>ORD-10122</t>
  </si>
  <si>
    <t>ORD-10070</t>
  </si>
  <si>
    <t>Dhruv Khan</t>
  </si>
  <si>
    <t>ORD-10706</t>
  </si>
  <si>
    <t>Myra Rao</t>
  </si>
  <si>
    <t>ORD-10267</t>
  </si>
  <si>
    <t>Aarav Singh</t>
  </si>
  <si>
    <t>ORD-10583</t>
  </si>
  <si>
    <t>ORD-10003</t>
  </si>
  <si>
    <t>Priya Verma</t>
  </si>
  <si>
    <t>ORD-10463</t>
  </si>
  <si>
    <t>Sai Iyer</t>
  </si>
  <si>
    <t>ORD-10327</t>
  </si>
  <si>
    <t>Saanvi Mishra</t>
  </si>
  <si>
    <t>ORD-10588</t>
  </si>
  <si>
    <t>Diya Patel</t>
  </si>
  <si>
    <t>Cotton Kurta</t>
  </si>
  <si>
    <t>ORD-10865</t>
  </si>
  <si>
    <t>Ananya Bose</t>
  </si>
  <si>
    <t>Wall Art Frame</t>
  </si>
  <si>
    <t>ORD-10893</t>
  </si>
  <si>
    <t>Arjun Agarwal</t>
  </si>
  <si>
    <t>ORD-10506</t>
  </si>
  <si>
    <t>ORD-10805</t>
  </si>
  <si>
    <t>Anika Khan</t>
  </si>
  <si>
    <t>Foundation Stick</t>
  </si>
  <si>
    <t>ORD-10646</t>
  </si>
  <si>
    <t>Ayaan Khan</t>
  </si>
  <si>
    <t>ORD-10916</t>
  </si>
  <si>
    <t>Ananya Joshi</t>
  </si>
  <si>
    <t>ORD-10288</t>
  </si>
  <si>
    <t>ORD-10641</t>
  </si>
  <si>
    <t>Pooja Kapoor</t>
  </si>
  <si>
    <t>Nova 5G</t>
  </si>
  <si>
    <t>ORD-10787</t>
  </si>
  <si>
    <t>Aarav Nair</t>
  </si>
  <si>
    <t>ORD-10763</t>
  </si>
  <si>
    <t>Myra Joshi</t>
  </si>
  <si>
    <t>ORD-10972</t>
  </si>
  <si>
    <t>ORD-10284</t>
  </si>
  <si>
    <t>Navya Rao</t>
  </si>
  <si>
    <t>ORD-10277</t>
  </si>
  <si>
    <t>Kabir Singh</t>
  </si>
  <si>
    <t>ORD-10928</t>
  </si>
  <si>
    <t>Riya Chopra</t>
  </si>
  <si>
    <t>Denim Overalls</t>
  </si>
  <si>
    <t>ORD-10511</t>
  </si>
  <si>
    <t>Rohan Nair</t>
  </si>
  <si>
    <t>ORD-10396</t>
  </si>
  <si>
    <t>Kiara Reddy</t>
  </si>
  <si>
    <t>Galaxy Note Lite</t>
  </si>
  <si>
    <t>ORD-10196</t>
  </si>
  <si>
    <t>ORD-10961</t>
  </si>
  <si>
    <t>Aarav Reddy</t>
  </si>
  <si>
    <t>ORD-10733</t>
  </si>
  <si>
    <t>ORD-10958</t>
  </si>
  <si>
    <t>ORD-10313</t>
  </si>
  <si>
    <t>ORD-10552</t>
  </si>
  <si>
    <t>Sports Jacket</t>
  </si>
  <si>
    <t>ORD-10683</t>
  </si>
  <si>
    <t>Aadhya Sharma</t>
  </si>
  <si>
    <t>ORD-10856</t>
  </si>
  <si>
    <t>Anika Bose</t>
  </si>
  <si>
    <t>ORD-10831</t>
  </si>
  <si>
    <t>Karan Verma</t>
  </si>
  <si>
    <t>Beyond the Horizon</t>
  </si>
  <si>
    <t>ORD-10459</t>
  </si>
  <si>
    <t>Karan Bose</t>
  </si>
  <si>
    <t>ORD-10386</t>
  </si>
  <si>
    <t>Kiara Nair</t>
  </si>
  <si>
    <t>ORD-10170</t>
  </si>
  <si>
    <t>Ishaan Gupta</t>
  </si>
  <si>
    <t>Hair Growth Serum</t>
  </si>
  <si>
    <t>ORD-10268</t>
  </si>
  <si>
    <t>Ira Verma</t>
  </si>
  <si>
    <t>ORD-10464</t>
  </si>
  <si>
    <t>Arjun Malhotra</t>
  </si>
  <si>
    <t>ORD-10468</t>
  </si>
  <si>
    <t>Ira Agarwal</t>
  </si>
  <si>
    <t>ORD-10160</t>
  </si>
  <si>
    <t>Sai Desai</t>
  </si>
  <si>
    <t>ORD-10830</t>
  </si>
  <si>
    <t>Krishna Reddy</t>
  </si>
  <si>
    <t>Pressure Cooker</t>
  </si>
  <si>
    <t>ORD-10172</t>
  </si>
  <si>
    <t>Karan Desai</t>
  </si>
  <si>
    <t>ORD-10697</t>
  </si>
  <si>
    <t>ORD-10717</t>
  </si>
  <si>
    <t>Citrus Eau de Toilette</t>
  </si>
  <si>
    <t>ORD-10968</t>
  </si>
  <si>
    <t>Sai Sharma</t>
  </si>
  <si>
    <t>ORD-10922</t>
  </si>
  <si>
    <t>ORD-10129</t>
  </si>
  <si>
    <t>Dhruv Verma</t>
  </si>
  <si>
    <t>ORD-10537</t>
  </si>
  <si>
    <t>ORD-10339</t>
  </si>
  <si>
    <t>Aditya Nair</t>
  </si>
  <si>
    <t>ORD-10441</t>
  </si>
  <si>
    <t>Vihaan Mishra</t>
  </si>
  <si>
    <t>ORD-10998</t>
  </si>
  <si>
    <t>ORD-10092</t>
  </si>
  <si>
    <t>Ayaan Kapoor</t>
  </si>
  <si>
    <t>ORD-10955</t>
  </si>
  <si>
    <t>Navya Agarwal</t>
  </si>
  <si>
    <t>Cookware Combo</t>
  </si>
  <si>
    <t>ORD-10120</t>
  </si>
  <si>
    <t>ORD-10318</t>
  </si>
  <si>
    <t>Diya Mishra</t>
  </si>
  <si>
    <t>ORD-10142</t>
  </si>
  <si>
    <t>Vihaan Agarwal</t>
  </si>
  <si>
    <t>ORD-10884</t>
  </si>
  <si>
    <t>Ishaan Verma</t>
  </si>
  <si>
    <t>ORD-10973</t>
  </si>
  <si>
    <t>Sai Rao</t>
  </si>
  <si>
    <t>SilentPods</t>
  </si>
  <si>
    <t>ORD-10960</t>
  </si>
  <si>
    <t>Ananya Agarwal</t>
  </si>
  <si>
    <t>ORD-10397</t>
  </si>
  <si>
    <t>Krishna Gupta</t>
  </si>
  <si>
    <t>Water Bottle Steel</t>
  </si>
  <si>
    <t>ORD-10296</t>
  </si>
  <si>
    <t>Vivaan Mehta</t>
  </si>
  <si>
    <t>ORD-10341</t>
  </si>
  <si>
    <t>Neha Kapoor</t>
  </si>
  <si>
    <t>ORD-10072</t>
  </si>
  <si>
    <t>Kabir Iyer</t>
  </si>
  <si>
    <t>ORD-10480</t>
  </si>
  <si>
    <t>Vihaan Verma</t>
  </si>
  <si>
    <t>ORD-10806</t>
  </si>
  <si>
    <t>Diya Iyer</t>
  </si>
  <si>
    <t>ORD-10518</t>
  </si>
  <si>
    <t>Myra Malhotra</t>
  </si>
  <si>
    <t>ORD-10334</t>
  </si>
  <si>
    <t>Diya Nair</t>
  </si>
  <si>
    <t>ORD-10353</t>
  </si>
  <si>
    <t>Aarav Verma</t>
  </si>
  <si>
    <t>ORD-10193</t>
  </si>
  <si>
    <t>Aarav Das</t>
  </si>
  <si>
    <t>ORD-10279</t>
  </si>
  <si>
    <t>Kiara Mishra</t>
  </si>
  <si>
    <t>ORD-10858</t>
  </si>
  <si>
    <t>ORD-10389</t>
  </si>
  <si>
    <t>ORD-10869</t>
  </si>
  <si>
    <t>Diya Mehta</t>
  </si>
  <si>
    <t>ORD-10987</t>
  </si>
  <si>
    <t>Ishaan Desai</t>
  </si>
  <si>
    <t>ORD-10443</t>
  </si>
  <si>
    <t>Meera Gupta</t>
  </si>
  <si>
    <t>ORD-10776</t>
  </si>
  <si>
    <t>Aditya Khan</t>
  </si>
  <si>
    <t>LED Fairy Lights</t>
  </si>
  <si>
    <t>ORD-10183</t>
  </si>
  <si>
    <t>Priya Kapoor</t>
  </si>
  <si>
    <t>ORD-10197</t>
  </si>
  <si>
    <t>Navya Khan</t>
  </si>
  <si>
    <t>ORD-10230</t>
  </si>
  <si>
    <t>ORD-10789</t>
  </si>
  <si>
    <t>Myra Agarwal</t>
  </si>
  <si>
    <t>ORD-10820</t>
  </si>
  <si>
    <t>ORD-10899</t>
  </si>
  <si>
    <t>Meera Patel</t>
  </si>
  <si>
    <t>ORD-10696</t>
  </si>
  <si>
    <t>ORD-10857</t>
  </si>
  <si>
    <t>Simran Joshi</t>
  </si>
  <si>
    <t>ORD-10794</t>
  </si>
  <si>
    <t>ORD-10797</t>
  </si>
  <si>
    <t>Navya Mishra</t>
  </si>
  <si>
    <t>ORD-10891</t>
  </si>
  <si>
    <t>Ananya Chopra</t>
  </si>
  <si>
    <t>ORD-10764</t>
  </si>
  <si>
    <t>Krishna Malhotra</t>
  </si>
  <si>
    <t>ORD-10317</t>
  </si>
  <si>
    <t>Karan Agarwal</t>
  </si>
  <si>
    <t>ORD-10190</t>
  </si>
  <si>
    <t>Kabir Das</t>
  </si>
  <si>
    <t>ORD-10557</t>
  </si>
  <si>
    <t>StudioMax</t>
  </si>
  <si>
    <t>ORD-10838</t>
  </si>
  <si>
    <t>Ira Desai</t>
  </si>
  <si>
    <t>ORD-10037</t>
  </si>
  <si>
    <t>ORD-10631</t>
  </si>
  <si>
    <t>ORD-10921</t>
  </si>
  <si>
    <t>ORD-10390</t>
  </si>
  <si>
    <t>Ira Khan</t>
  </si>
  <si>
    <t>ORD-10388</t>
  </si>
  <si>
    <t>Rohan Malhotra</t>
  </si>
  <si>
    <t>ORD-10556</t>
  </si>
  <si>
    <t>Conditioner Pro</t>
  </si>
  <si>
    <t>ORD-10792</t>
  </si>
  <si>
    <t>Ananya Reddy</t>
  </si>
  <si>
    <t>ORD-10810</t>
  </si>
  <si>
    <t>Aadhya Mishra</t>
  </si>
  <si>
    <t>ORD-10342</t>
  </si>
  <si>
    <t>ORD-10864</t>
  </si>
  <si>
    <t>Reyansh Joshi</t>
  </si>
  <si>
    <t>ORD-10107</t>
  </si>
  <si>
    <t>ORD-10918</t>
  </si>
  <si>
    <t>Kiara Mehta</t>
  </si>
  <si>
    <t>ORD-10719</t>
  </si>
  <si>
    <t>Karan Gupta</t>
  </si>
  <si>
    <t>ORD-10599</t>
  </si>
  <si>
    <t>ORD-10910</t>
  </si>
  <si>
    <t>Krishna Nair</t>
  </si>
  <si>
    <t>ORD-10477</t>
  </si>
  <si>
    <t>ORD-10671</t>
  </si>
  <si>
    <t>Priya Sharma</t>
  </si>
  <si>
    <t>ORD-10289</t>
  </si>
  <si>
    <t>ORD-10045</t>
  </si>
  <si>
    <t>Rohan Bose</t>
  </si>
  <si>
    <t>ORD-10355</t>
  </si>
  <si>
    <t>Raj Iyer</t>
  </si>
  <si>
    <t>ORD-10793</t>
  </si>
  <si>
    <t>Raj Nair</t>
  </si>
  <si>
    <t>ORD-10416</t>
  </si>
  <si>
    <t>Myra Iyer</t>
  </si>
  <si>
    <t>ORD-10685</t>
  </si>
  <si>
    <t>Kabir Chopra</t>
  </si>
  <si>
    <t>ORD-10515</t>
  </si>
  <si>
    <t>Simran Das</t>
  </si>
  <si>
    <t>ORD-10383</t>
  </si>
  <si>
    <t>Vivaan Rao</t>
  </si>
  <si>
    <t>Silk Saree</t>
  </si>
  <si>
    <t>ORD-10244</t>
  </si>
  <si>
    <t>Neha Mishra</t>
  </si>
  <si>
    <t>ORD-10545</t>
  </si>
  <si>
    <t>Karan Iyer</t>
  </si>
  <si>
    <t>ORD-10022</t>
  </si>
  <si>
    <t>Kabir Desai</t>
  </si>
  <si>
    <t>ORD-10242</t>
  </si>
  <si>
    <t>Sai Mehta</t>
  </si>
  <si>
    <t>ORD-10575</t>
  </si>
  <si>
    <t>Kiara Sharma</t>
  </si>
  <si>
    <t>ORD-10394</t>
  </si>
  <si>
    <t>Anika Rao</t>
  </si>
  <si>
    <t>ORD-10103</t>
  </si>
  <si>
    <t>Simran Iyer</t>
  </si>
  <si>
    <t>ORD-10191</t>
  </si>
  <si>
    <t>ORD-10777</t>
  </si>
  <si>
    <t>Saanvi Reddy</t>
  </si>
  <si>
    <t>ORD-10075</t>
  </si>
  <si>
    <t>Diya Khan</t>
  </si>
  <si>
    <t>ORD-10894</t>
  </si>
  <si>
    <t>Ira Reddy</t>
  </si>
  <si>
    <t>ORD-10201</t>
  </si>
  <si>
    <t>Priya Chopra</t>
  </si>
  <si>
    <t>ORD-10818</t>
  </si>
  <si>
    <t>Saanvi Gupta</t>
  </si>
  <si>
    <t>ORD-10475</t>
  </si>
  <si>
    <t>Ishaan Mehta</t>
  </si>
  <si>
    <t>ORD-10882</t>
  </si>
  <si>
    <t>Arjun Sharma</t>
  </si>
  <si>
    <t>ORD-10544</t>
  </si>
  <si>
    <t>Sai Joshi</t>
  </si>
  <si>
    <t>ORD-10168</t>
  </si>
  <si>
    <t>Navya Desai</t>
  </si>
  <si>
    <t>The Silent Valley</t>
  </si>
  <si>
    <t>ORD-10303</t>
  </si>
  <si>
    <t>Myra Chopra</t>
  </si>
  <si>
    <t>Laptops</t>
  </si>
  <si>
    <t>WorkStation Pro</t>
  </si>
  <si>
    <t>ORD-10159</t>
  </si>
  <si>
    <t>ORD-10752</t>
  </si>
  <si>
    <t>Dhruv Agarwal</t>
  </si>
  <si>
    <t>Screen Guard</t>
  </si>
  <si>
    <t>ORD-10097</t>
  </si>
  <si>
    <t>Ira Iyer</t>
  </si>
  <si>
    <t>ORD-10860</t>
  </si>
  <si>
    <t>ORD-10815</t>
  </si>
  <si>
    <t>Ira Singh</t>
  </si>
  <si>
    <t>ORD-10974</t>
  </si>
  <si>
    <t>Navya Verma</t>
  </si>
  <si>
    <t>ORD-10868</t>
  </si>
  <si>
    <t>ORD-10108</t>
  </si>
  <si>
    <t>Kiara Joshi</t>
  </si>
  <si>
    <t>GameForce X</t>
  </si>
  <si>
    <t>ORD-10576</t>
  </si>
  <si>
    <t>ORD-10758</t>
  </si>
  <si>
    <t>Riya Bose</t>
  </si>
  <si>
    <t>ORD-10205</t>
  </si>
  <si>
    <t>Ananya Malhotra</t>
  </si>
  <si>
    <t>ORD-10837</t>
  </si>
  <si>
    <t>Raj Singh</t>
  </si>
  <si>
    <t>ORD-10870</t>
  </si>
  <si>
    <t>Vivaan Reddy</t>
  </si>
  <si>
    <t>ORD-10775</t>
  </si>
  <si>
    <t>Vivaan Patel</t>
  </si>
  <si>
    <t>ORD-10991</t>
  </si>
  <si>
    <t>ORD-10283</t>
  </si>
  <si>
    <t>Dhruv Chopra</t>
  </si>
  <si>
    <t>ORD-10387</t>
  </si>
  <si>
    <t>Aadhya Chopra</t>
  </si>
  <si>
    <t>ORD-10934</t>
  </si>
  <si>
    <t>Raj Chopra</t>
  </si>
  <si>
    <t>ORD-10799</t>
  </si>
  <si>
    <t>ORD-10999</t>
  </si>
  <si>
    <t>ORD-10623</t>
  </si>
  <si>
    <t>ORD-10297</t>
  </si>
  <si>
    <t>Simran Reddy</t>
  </si>
  <si>
    <t>ORD-10826</t>
  </si>
  <si>
    <t>Ananya Kapoor</t>
  </si>
  <si>
    <t>ORD-10232</t>
  </si>
  <si>
    <t>ORD-10722</t>
  </si>
  <si>
    <t>ORD-10801</t>
  </si>
  <si>
    <t>Vivaan Kapoor</t>
  </si>
  <si>
    <t>ORD-10115</t>
  </si>
  <si>
    <t>Priya Patel</t>
  </si>
  <si>
    <t>ORD-10077</t>
  </si>
  <si>
    <t>ORD-10873</t>
  </si>
  <si>
    <t>Anika Nair</t>
  </si>
  <si>
    <t>ORD-10951</t>
  </si>
  <si>
    <t>ORD-10567</t>
  </si>
  <si>
    <t>ORD-10155</t>
  </si>
  <si>
    <t>ORD-10650</t>
  </si>
  <si>
    <t>Simran Singh</t>
  </si>
  <si>
    <t>ORD-10875</t>
  </si>
  <si>
    <t>Aditya Singh</t>
  </si>
  <si>
    <t>ORD-10251</t>
  </si>
  <si>
    <t>Raj Das</t>
  </si>
  <si>
    <t>ORD-10528</t>
  </si>
  <si>
    <t>ORD-10336</t>
  </si>
  <si>
    <t>Ishaan Khan</t>
  </si>
  <si>
    <t>ORD-10813</t>
  </si>
  <si>
    <t>ORD-10627</t>
  </si>
  <si>
    <t>ORD-10786</t>
  </si>
  <si>
    <t>ORD-10945</t>
  </si>
  <si>
    <t>ORD-10033</t>
  </si>
  <si>
    <t>ORD-10779</t>
  </si>
  <si>
    <t>ORD-10013</t>
  </si>
  <si>
    <t>ORD-10634</t>
  </si>
  <si>
    <t>Karan Rao</t>
  </si>
  <si>
    <t>ORD-10804</t>
  </si>
  <si>
    <t>ORD-10616</t>
  </si>
  <si>
    <t>Kiara Malhotra</t>
  </si>
  <si>
    <t>ORD-10140</t>
  </si>
  <si>
    <t>ORD-10584</t>
  </si>
  <si>
    <t>ORD-10996</t>
  </si>
  <si>
    <t>Kiara Kapoor</t>
  </si>
  <si>
    <t>ORD-10780</t>
  </si>
  <si>
    <t>ORD-10306</t>
  </si>
  <si>
    <t>Karan Sharma</t>
  </si>
  <si>
    <t>ORD-10778</t>
  </si>
  <si>
    <t>Navya Patel</t>
  </si>
  <si>
    <t>ORD-10803</t>
  </si>
  <si>
    <t>Arjun Bose</t>
  </si>
  <si>
    <t>ORD-10469</t>
  </si>
  <si>
    <t>ORD-10049</t>
  </si>
  <si>
    <t>Dhruv Bose</t>
  </si>
  <si>
    <t>ORD-10052</t>
  </si>
  <si>
    <t>Sai Verma</t>
  </si>
  <si>
    <t>ORD-10085</t>
  </si>
  <si>
    <t>ORD-10532</t>
  </si>
  <si>
    <t>ORD-10843</t>
  </si>
  <si>
    <t>Ayaan Rao</t>
  </si>
  <si>
    <t>ORD-10407</t>
  </si>
  <si>
    <t>Sai Agarwal</t>
  </si>
  <si>
    <t>ORD-10628</t>
  </si>
  <si>
    <t>ORD-10471</t>
  </si>
  <si>
    <t>Aadhya Nair</t>
  </si>
  <si>
    <t>ORD-10088</t>
  </si>
  <si>
    <t>Riya Singh</t>
  </si>
  <si>
    <t>ORD-10635</t>
  </si>
  <si>
    <t>Neha Malhotra</t>
  </si>
  <si>
    <t>ORD-10536</t>
  </si>
  <si>
    <t>Vihaan Sharma</t>
  </si>
  <si>
    <t>ORD-10204</t>
  </si>
  <si>
    <t>Aarav Sharma</t>
  </si>
  <si>
    <t>ORD-10720</t>
  </si>
  <si>
    <t>Diya Agarwal</t>
  </si>
  <si>
    <t>ORD-10630</t>
  </si>
  <si>
    <t>ORD-10827</t>
  </si>
  <si>
    <t>ORD-10117</t>
  </si>
  <si>
    <t>ORD-10674</t>
  </si>
  <si>
    <t>ORD-10941</t>
  </si>
  <si>
    <t>ORD-10661</t>
  </si>
  <si>
    <t>ORD-10828</t>
  </si>
  <si>
    <t>ORD-10458</t>
  </si>
  <si>
    <t>Diya Bose</t>
  </si>
  <si>
    <t>ORD-10539</t>
  </si>
  <si>
    <t>Anika Mishra</t>
  </si>
  <si>
    <t>ORD-10709</t>
  </si>
  <si>
    <t>Ayaan Patel</t>
  </si>
  <si>
    <t>ORD-10184</t>
  </si>
  <si>
    <t>Neha Singh</t>
  </si>
  <si>
    <t>ORD-10485</t>
  </si>
  <si>
    <t>Ira Mehta</t>
  </si>
  <si>
    <t>Physics Fundamentals</t>
  </si>
  <si>
    <t>ORD-10825</t>
  </si>
  <si>
    <t>Saanvi Chopra</t>
  </si>
  <si>
    <t>ORD-10911</t>
  </si>
  <si>
    <t>Raj Gupta</t>
  </si>
  <si>
    <t>ORD-10374</t>
  </si>
  <si>
    <t>Dhruv Sharma</t>
  </si>
  <si>
    <t>ORD-10550</t>
  </si>
  <si>
    <t>ORD-10398</t>
  </si>
  <si>
    <t>Meera Das</t>
  </si>
  <si>
    <t>ORD-10863</t>
  </si>
  <si>
    <t>Simran Chopra</t>
  </si>
  <si>
    <t>Resistance Bands Set</t>
  </si>
  <si>
    <t>ORD-10712</t>
  </si>
  <si>
    <t>Vihaan Iyer</t>
  </si>
  <si>
    <t>ORD-10472</t>
  </si>
  <si>
    <t>ORD-10165</t>
  </si>
  <si>
    <t>Arjun Patel</t>
  </si>
  <si>
    <t>ORD-10444</t>
  </si>
  <si>
    <t>Aadhya Singh</t>
  </si>
  <si>
    <t>ORD-10664</t>
  </si>
  <si>
    <t>ORD-10369</t>
  </si>
  <si>
    <t>Aadhya Mehta</t>
  </si>
  <si>
    <t>ORD-10568</t>
  </si>
  <si>
    <t>ORD-10636</t>
  </si>
  <si>
    <t>Neha Rao</t>
  </si>
  <si>
    <t>ORD-10912</t>
  </si>
  <si>
    <t>Myra Reddy</t>
  </si>
  <si>
    <t>ORD-10500</t>
  </si>
  <si>
    <t>Meera Desai</t>
  </si>
  <si>
    <t>ORD-10940</t>
  </si>
  <si>
    <t>Ishaan Agarwal</t>
  </si>
  <si>
    <t>ORD-10171</t>
  </si>
  <si>
    <t>ORD-10821</t>
  </si>
  <si>
    <t>ORD-10833</t>
  </si>
  <si>
    <t>Myra Desai</t>
  </si>
  <si>
    <t>ORD-10516</t>
  </si>
  <si>
    <t>Ira Patel</t>
  </si>
  <si>
    <t>ORD-10449</t>
  </si>
  <si>
    <t>Sai Kapoor</t>
  </si>
  <si>
    <t>ORD-10036</t>
  </si>
  <si>
    <t>Krishna Bose</t>
  </si>
  <si>
    <t>ORD-10978</t>
  </si>
  <si>
    <t>ORD-10907</t>
  </si>
  <si>
    <t>ORD-10298</t>
  </si>
  <si>
    <t>Vivaan Gupta</t>
  </si>
  <si>
    <t>ORD-10432</t>
  </si>
  <si>
    <t>Ira Kapoor</t>
  </si>
  <si>
    <t>ORD-10692</t>
  </si>
  <si>
    <t>ORD-10672</t>
  </si>
  <si>
    <t>Meera Sharma</t>
  </si>
  <si>
    <t>ORD-10161</t>
  </si>
  <si>
    <t>ORD-10781</t>
  </si>
  <si>
    <t>Vihaan Mehta</t>
  </si>
  <si>
    <t>ORD-10896</t>
  </si>
  <si>
    <t>ORD-10014</t>
  </si>
  <si>
    <t>Navya Iyer</t>
  </si>
  <si>
    <t>ORD-10889</t>
  </si>
  <si>
    <t>Reyansh Sharma</t>
  </si>
  <si>
    <t>ORD-10493</t>
  </si>
  <si>
    <t>Neha Mehta</t>
  </si>
  <si>
    <t>ORD-10507</t>
  </si>
  <si>
    <t>ORD-10100</t>
  </si>
  <si>
    <t>Vivaan Bose</t>
  </si>
  <si>
    <t>ORD-10173</t>
  </si>
  <si>
    <t>ORD-10403</t>
  </si>
  <si>
    <t>Reyansh Verma</t>
  </si>
  <si>
    <t>ORD-10430</t>
  </si>
  <si>
    <t>Kabir Mishra</t>
  </si>
  <si>
    <t>ORD-10984</t>
  </si>
  <si>
    <t>ORD-10898</t>
  </si>
  <si>
    <t>Diya Sharma</t>
  </si>
  <si>
    <t>ORD-10304</t>
  </si>
  <si>
    <t>Riya Mishra</t>
  </si>
  <si>
    <t>ORD-10701</t>
  </si>
  <si>
    <t>Vihaan Joshi</t>
  </si>
  <si>
    <t>ORD-10543</t>
  </si>
  <si>
    <t>Ira Das</t>
  </si>
  <si>
    <t>ORD-10320</t>
  </si>
  <si>
    <t>ORD-10756</t>
  </si>
  <si>
    <t>ORD-10929</t>
  </si>
  <si>
    <t>Aarav Desai</t>
  </si>
  <si>
    <t>ORD-10064</t>
  </si>
  <si>
    <t>ORD-10533</t>
  </si>
  <si>
    <t>Priya Nair</t>
  </si>
  <si>
    <t>ORD-10721</t>
  </si>
  <si>
    <t>ORD-10640</t>
  </si>
  <si>
    <t>ORD-10937</t>
  </si>
  <si>
    <t>Vivaan Desai</t>
  </si>
  <si>
    <t>ORD-10263</t>
  </si>
  <si>
    <t>ORD-10470</t>
  </si>
  <si>
    <t>ORD-10455</t>
  </si>
  <si>
    <t>Ishaan Rao</t>
  </si>
  <si>
    <t>ORD-10596</t>
  </si>
  <si>
    <t>ORD-10315</t>
  </si>
  <si>
    <t>ORD-10384</t>
  </si>
  <si>
    <t>ORD-10643</t>
  </si>
  <si>
    <t>Saanvi Agarwal</t>
  </si>
  <si>
    <t>ORD-10979</t>
  </si>
  <si>
    <t>ORD-10241</t>
  </si>
  <si>
    <t>ORD-10514</t>
  </si>
  <si>
    <t>Dhruv Nair</t>
  </si>
  <si>
    <t>History Untold</t>
  </si>
  <si>
    <t>ORD-10363</t>
  </si>
  <si>
    <t>ORD-10615</t>
  </si>
  <si>
    <t>ORD-10704</t>
  </si>
  <si>
    <t>Krishna Das</t>
  </si>
  <si>
    <t>ORD-10215</t>
  </si>
  <si>
    <t>Sai Khan</t>
  </si>
  <si>
    <t>ORD-10337</t>
  </si>
  <si>
    <t>ORD-10307</t>
  </si>
  <si>
    <t>Diya Kapoor</t>
  </si>
  <si>
    <t>ORD-10433</t>
  </si>
  <si>
    <t>ORD-10658</t>
  </si>
  <si>
    <t>Saanvi Das</t>
  </si>
  <si>
    <t>ORD-10983</t>
  </si>
  <si>
    <t>Dhruv Patel</t>
  </si>
  <si>
    <t>ORD-10649</t>
  </si>
  <si>
    <t>ORD-10736</t>
  </si>
  <si>
    <t>ORD-10905</t>
  </si>
  <si>
    <t>ORD-10677</t>
  </si>
  <si>
    <t>ORD-10654</t>
  </si>
  <si>
    <t>ORD-10249</t>
  </si>
  <si>
    <t>ORD-10855</t>
  </si>
  <si>
    <t>ORD-10909</t>
  </si>
  <si>
    <t>Rohan Reddy</t>
  </si>
  <si>
    <t>ORD-10926</t>
  </si>
  <si>
    <t>Neha Gupta</t>
  </si>
  <si>
    <t>ORD-10735</t>
  </si>
  <si>
    <t>Rohan Mehta</t>
  </si>
  <si>
    <t>ORD-10188</t>
  </si>
  <si>
    <t>ORD-10156</t>
  </si>
  <si>
    <t>Arjun Khan</t>
  </si>
  <si>
    <t>ORD-10030</t>
  </si>
  <si>
    <t>Ira Chopra</t>
  </si>
  <si>
    <t>ORD-10669</t>
  </si>
  <si>
    <t>Kabir Agarwal</t>
  </si>
  <si>
    <t>ORD-10221</t>
  </si>
  <si>
    <t>Anika Iyer</t>
  </si>
  <si>
    <t>ORD-10502</t>
  </si>
  <si>
    <t>ORD-10158</t>
  </si>
  <si>
    <t>ORD-10347</t>
  </si>
  <si>
    <t>ORD-10278</t>
  </si>
  <si>
    <t>Pooja Nair</t>
  </si>
  <si>
    <t>ORD-10563</t>
  </si>
  <si>
    <t>Navya Reddy</t>
  </si>
  <si>
    <t>ORD-10668</t>
  </si>
  <si>
    <t>Myra Mishra</t>
  </si>
  <si>
    <t>ORD-10621</t>
  </si>
  <si>
    <t>ORD-10731</t>
  </si>
  <si>
    <t>ORD-10056</t>
  </si>
  <si>
    <t>Priya Mehta</t>
  </si>
  <si>
    <t>ORD-10332</t>
  </si>
  <si>
    <t>Vivaan Joshi</t>
  </si>
  <si>
    <t>ORD-10492</t>
  </si>
  <si>
    <t>Dhruv Kapoor</t>
  </si>
  <si>
    <t>ORD-10175</t>
  </si>
  <si>
    <t>Navya Kapoor</t>
  </si>
  <si>
    <t>ORD-10322</t>
  </si>
  <si>
    <t>Saanvi Sharma</t>
  </si>
  <si>
    <t>ORD-10491</t>
  </si>
  <si>
    <t>Aadhya Reddy</t>
  </si>
  <si>
    <t>ORD-10038</t>
  </si>
  <si>
    <t>Ishaan Kapoor</t>
  </si>
  <si>
    <t>ORD-10917</t>
  </si>
  <si>
    <t>ORD-10675</t>
  </si>
  <si>
    <t>ORD-10330</t>
  </si>
  <si>
    <t>Reyansh Singh</t>
  </si>
  <si>
    <t>ORD-10482</t>
  </si>
  <si>
    <t>ORD-10328</t>
  </si>
  <si>
    <t>ORD-10194</t>
  </si>
  <si>
    <t>Priya Singh</t>
  </si>
  <si>
    <t>ORD-10248</t>
  </si>
  <si>
    <t>Riya Reddy</t>
  </si>
  <si>
    <t>ORD-10925</t>
  </si>
  <si>
    <t>Ishaan Mishra</t>
  </si>
  <si>
    <t>ORD-10245</t>
  </si>
  <si>
    <t>ORD-10548</t>
  </si>
  <si>
    <t>ORD-10395</t>
  </si>
  <si>
    <t>ORD-10997</t>
  </si>
  <si>
    <t>ORD-10936</t>
  </si>
  <si>
    <t>ProBook 14</t>
  </si>
  <si>
    <t>ORD-11000</t>
  </si>
  <si>
    <t>ORD-10688</t>
  </si>
  <si>
    <t>Aditya Desai</t>
  </si>
  <si>
    <t>ORD-10324</t>
  </si>
  <si>
    <t>Vivaan Agarwal</t>
  </si>
  <si>
    <t>ORD-10247</t>
  </si>
  <si>
    <t>Saanvi Desai</t>
  </si>
  <si>
    <t>ORD-10510</t>
  </si>
  <si>
    <t>Pooja Gupta</t>
  </si>
  <si>
    <t>ORD-10301</t>
  </si>
  <si>
    <t>ORD-10486</t>
  </si>
  <si>
    <t>ORD-10932</t>
  </si>
  <si>
    <t>ORD-10963</t>
  </si>
  <si>
    <t>ORD-10333</t>
  </si>
  <si>
    <t>Ananya Sharma</t>
  </si>
  <si>
    <t>ORD-10695</t>
  </si>
  <si>
    <t>Rohan Khan</t>
  </si>
  <si>
    <t>ORD-10729</t>
  </si>
  <si>
    <t>Anika Patel</t>
  </si>
  <si>
    <t>ORD-10226</t>
  </si>
  <si>
    <t>ORD-10260</t>
  </si>
  <si>
    <t>ORD-10128</t>
  </si>
  <si>
    <t>Vivaan Mishra</t>
  </si>
  <si>
    <t>ORD-10127</t>
  </si>
  <si>
    <t>ORD-10725</t>
  </si>
  <si>
    <t>Sai Mishra</t>
  </si>
  <si>
    <t>ORD-10655</t>
  </si>
  <si>
    <t>Vihaan Malhotra</t>
  </si>
  <si>
    <t>ORD-10748</t>
  </si>
  <si>
    <t>ORD-10903</t>
  </si>
  <si>
    <t>ORD-10535</t>
  </si>
  <si>
    <t>ORD-10208</t>
  </si>
  <si>
    <t>ORD-10186</t>
  </si>
  <si>
    <t>ORD-10915</t>
  </si>
  <si>
    <t>ORD-10503</t>
  </si>
  <si>
    <t>Aarav Khan</t>
  </si>
  <si>
    <t>ORD-10017</t>
  </si>
  <si>
    <t>ORD-10375</t>
  </si>
  <si>
    <t>Saanvi Khan</t>
  </si>
  <si>
    <t>ORD-10039</t>
  </si>
  <si>
    <t>ORD-10042</t>
  </si>
  <si>
    <t>Ayaan Iyer</t>
  </si>
  <si>
    <t>ORD-10028</t>
  </si>
  <si>
    <t>ORD-10359</t>
  </si>
  <si>
    <t>Vivaan Malhotra</t>
  </si>
  <si>
    <t>ORD-10067</t>
  </si>
  <si>
    <t>ORD-10148</t>
  </si>
  <si>
    <t>Ayaan Bose</t>
  </si>
  <si>
    <t>ORD-10137</t>
  </si>
  <si>
    <t>Riya Das</t>
  </si>
  <si>
    <t>ORD-10513</t>
  </si>
  <si>
    <t>ORD-10294</t>
  </si>
  <si>
    <t>ORD-10942</t>
  </si>
  <si>
    <t>ORD-10990</t>
  </si>
  <si>
    <t>ORD-10558</t>
  </si>
  <si>
    <t>ORD-10614</t>
  </si>
  <si>
    <t>ORD-10074</t>
  </si>
  <si>
    <t>Kiara Gupta</t>
  </si>
  <si>
    <t>ORD-10111</t>
  </si>
  <si>
    <t>Ishaan Reddy</t>
  </si>
  <si>
    <t>ORD-10604</t>
  </si>
  <si>
    <t>ORD-10497</t>
  </si>
  <si>
    <t>Rohan Gupta</t>
  </si>
  <si>
    <t>ORD-10952</t>
  </si>
  <si>
    <t>ORD-10216</t>
  </si>
  <si>
    <t>ORD-10258</t>
  </si>
  <si>
    <t>ORD-10754</t>
  </si>
  <si>
    <t>Meera Bose</t>
  </si>
  <si>
    <t>ORD-10687</t>
  </si>
  <si>
    <t>Karan Reddy</t>
  </si>
  <si>
    <t>ORD-10751</t>
  </si>
  <si>
    <t>ORD-10409</t>
  </si>
  <si>
    <t>ORD-10812</t>
  </si>
  <si>
    <t>ORD-10971</t>
  </si>
  <si>
    <t>Aditya Joshi</t>
  </si>
  <si>
    <t>ORD-10673</t>
  </si>
  <si>
    <t>ORD-10931</t>
  </si>
  <si>
    <t>Pooja Patel</t>
  </si>
  <si>
    <t>ORD-10144</t>
  </si>
  <si>
    <t>Rohan Mishra</t>
  </si>
  <si>
    <t>ORD-10965</t>
  </si>
  <si>
    <t>Manga Vol. 1</t>
  </si>
  <si>
    <t>ORD-10531</t>
  </si>
  <si>
    <t>ORD-10924</t>
  </si>
  <si>
    <t>Vihaan Rao</t>
  </si>
  <si>
    <t>ORD-10287</t>
  </si>
  <si>
    <t>ORD-10442</t>
  </si>
  <si>
    <t>Sai Malhotra</t>
  </si>
  <si>
    <t>ORD-10228</t>
  </si>
  <si>
    <t>ORD-10116</t>
  </si>
  <si>
    <t>ORD-10785</t>
  </si>
  <si>
    <t>Kabir Reddy</t>
  </si>
  <si>
    <t>ORD-10483</t>
  </si>
  <si>
    <t>Dhruv Mishra</t>
  </si>
  <si>
    <t>ORD-10526</t>
  </si>
  <si>
    <t>ORD-10338</t>
  </si>
  <si>
    <t>Neha Bose</t>
  </si>
  <si>
    <t>ORD-10157</t>
  </si>
  <si>
    <t>ORD-10784</t>
  </si>
  <si>
    <t>Pooja Agarwal</t>
  </si>
  <si>
    <t>ORD-10029</t>
  </si>
  <si>
    <t>Ira Joshi</t>
  </si>
  <si>
    <t>ORD-10146</t>
  </si>
  <si>
    <t>ORD-10591</t>
  </si>
  <si>
    <t>Ishaan Bose</t>
  </si>
  <si>
    <t>ORD-10454</t>
  </si>
  <si>
    <t>Kiara Iyer</t>
  </si>
  <si>
    <t>ORD-10018</t>
  </si>
  <si>
    <t>Reyansh Mehta</t>
  </si>
  <si>
    <t>ORD-10520</t>
  </si>
  <si>
    <t>ORD-10560</t>
  </si>
  <si>
    <t>ORD-10370</t>
  </si>
  <si>
    <t>ORD-10302</t>
  </si>
  <si>
    <t>ORD-10354</t>
  </si>
  <si>
    <t>ORD-10946</t>
  </si>
  <si>
    <t>Reyansh Malhotra</t>
  </si>
  <si>
    <t>ORD-10954</t>
  </si>
  <si>
    <t>Rohan Joshi</t>
  </si>
  <si>
    <t>ORD-10802</t>
  </si>
  <si>
    <t>Meera Verma</t>
  </si>
  <si>
    <t>ORD-10852</t>
  </si>
  <si>
    <t>ORD-10699</t>
  </si>
  <si>
    <t>ORD-10035</t>
  </si>
  <si>
    <t>ORD-10118</t>
  </si>
  <si>
    <t>Kabir Mehta</t>
  </si>
  <si>
    <t>ORD-10059</t>
  </si>
  <si>
    <t>ORD-10200</t>
  </si>
  <si>
    <t>Raj Bose</t>
  </si>
  <si>
    <t>ORD-10004</t>
  </si>
  <si>
    <t>ORD-10800</t>
  </si>
  <si>
    <t>ORD-10271</t>
  </si>
  <si>
    <t>Dhruv Das</t>
  </si>
  <si>
    <t>ORD-10009</t>
  </si>
  <si>
    <t>Neha Khan</t>
  </si>
  <si>
    <t>ORD-10124</t>
  </si>
  <si>
    <t>ORD-10705</t>
  </si>
  <si>
    <t>Kiara Das</t>
  </si>
  <si>
    <t>ORD-10234</t>
  </si>
  <si>
    <t>Ananya Iyer</t>
  </si>
  <si>
    <t>ORD-10609</t>
  </si>
  <si>
    <t>ORD-10795</t>
  </si>
  <si>
    <t>ORD-10373</t>
  </si>
  <si>
    <t>Aarav Chopra</t>
  </si>
  <si>
    <t>ORD-10817</t>
  </si>
  <si>
    <t>Meera Mishra</t>
  </si>
  <si>
    <t>ORD-10947</t>
  </si>
  <si>
    <t>Kabir Nair</t>
  </si>
  <si>
    <t>ORD-10571</t>
  </si>
  <si>
    <t>ORD-10280</t>
  </si>
  <si>
    <t>ORD-10749</t>
  </si>
  <si>
    <t>ORD-10151</t>
  </si>
  <si>
    <t>ORD-10867</t>
  </si>
  <si>
    <t>ORD-10023</t>
  </si>
  <si>
    <t>ORD-10600</t>
  </si>
  <si>
    <t>Meera Singh</t>
  </si>
  <si>
    <t>ORD-10143</t>
  </si>
  <si>
    <t>ORD-10467</t>
  </si>
  <si>
    <t>Riya Joshi</t>
  </si>
  <si>
    <t>ORD-10367</t>
  </si>
  <si>
    <t>ORD-10790</t>
  </si>
  <si>
    <t>Aditya Verma</t>
  </si>
  <si>
    <t>ORD-10632</t>
  </si>
  <si>
    <t>Anika Das</t>
  </si>
  <si>
    <t>ORD-10755</t>
  </si>
  <si>
    <t>Raj Mehta</t>
  </si>
  <si>
    <t>ORD-10476</t>
  </si>
  <si>
    <t>Kabir Malhotra</t>
  </si>
  <si>
    <t>ORD-10739</t>
  </si>
  <si>
    <t>ORD-10125</t>
  </si>
  <si>
    <t>ORD-10399</t>
  </si>
  <si>
    <t>ORD-10666</t>
  </si>
  <si>
    <t>ORD-10769</t>
  </si>
  <si>
    <t>ORD-10135</t>
  </si>
  <si>
    <t>ORD-10494</t>
  </si>
  <si>
    <t>Diya Rao</t>
  </si>
  <si>
    <t>ORD-10177</t>
  </si>
  <si>
    <t>Aarav Gupta</t>
  </si>
  <si>
    <t>ORD-10566</t>
  </si>
  <si>
    <t>ORD-10166</t>
  </si>
  <si>
    <t>ORD-10716</t>
  </si>
  <si>
    <t>Reyansh Agarwal</t>
  </si>
  <si>
    <t>ORD-10259</t>
  </si>
  <si>
    <t>ORD-10708</t>
  </si>
  <si>
    <t>Navya Das</t>
  </si>
  <si>
    <t>ORD-10400</t>
  </si>
  <si>
    <t>Rohan Desai</t>
  </si>
  <si>
    <t>ORD-10890</t>
  </si>
  <si>
    <t>Aditya Agarwal</t>
  </si>
  <si>
    <t>ORD-10849</t>
  </si>
  <si>
    <t>Raj Desai</t>
  </si>
  <si>
    <t>ORD-10101</t>
  </si>
  <si>
    <t>ORD-10233</t>
  </si>
  <si>
    <t>Ananya Nair</t>
  </si>
  <si>
    <t>ORD-10534</t>
  </si>
  <si>
    <t>ORD-10713</t>
  </si>
  <si>
    <t>Dhruv Singh</t>
  </si>
  <si>
    <t>ORD-10326</t>
  </si>
  <si>
    <t>Meera Kapoor</t>
  </si>
  <si>
    <t>ORD-10335</t>
  </si>
  <si>
    <t>Raj Khan</t>
  </si>
  <si>
    <t>ORD-10509</t>
  </si>
  <si>
    <t>ORD-10385</t>
  </si>
  <si>
    <t>Anika Desai</t>
  </si>
  <si>
    <t>ORD-10046</t>
  </si>
  <si>
    <t>ORD-10378</t>
  </si>
  <si>
    <t>ORD-10949</t>
  </si>
  <si>
    <t>Myra Nair</t>
  </si>
  <si>
    <t>ORD-10900</t>
  </si>
  <si>
    <t>Priya Agarwal</t>
  </si>
  <si>
    <t>ORD-10440</t>
  </si>
  <si>
    <t>ORD-10314</t>
  </si>
  <si>
    <t>Meera Nair</t>
  </si>
  <si>
    <t>ORD-10523</t>
  </si>
  <si>
    <t>ORD-10966</t>
  </si>
  <si>
    <t>Aditya Iyer</t>
  </si>
  <si>
    <t>ORD-10611</t>
  </si>
  <si>
    <t>Ira Nair</t>
  </si>
  <si>
    <t>ORD-10573</t>
  </si>
  <si>
    <t>ORD-10930</t>
  </si>
  <si>
    <t>ORD-10235</t>
  </si>
  <si>
    <t>ORD-10992</t>
  </si>
  <si>
    <t>ORD-10601</t>
  </si>
  <si>
    <t>ORD-10391</t>
  </si>
  <si>
    <t>ORD-10001</t>
  </si>
  <si>
    <t>ORD-10415</t>
  </si>
  <si>
    <t>ORD-10747</t>
  </si>
  <si>
    <t>ORD-10484</t>
  </si>
  <si>
    <t>ORD-10841</t>
  </si>
  <si>
    <t>ORD-10980</t>
  </si>
  <si>
    <t>Saanvi Rao</t>
  </si>
  <si>
    <t>ORD-10343</t>
  </si>
  <si>
    <t>Arjun Desai</t>
  </si>
  <si>
    <t>ORD-10774</t>
  </si>
  <si>
    <t>ORD-10239</t>
  </si>
  <si>
    <t>Ananya Khan</t>
  </si>
  <si>
    <t>ORD-10521</t>
  </si>
  <si>
    <t>ORD-10644</t>
  </si>
  <si>
    <t>Pooja Joshi</t>
  </si>
  <si>
    <t>ORD-10702</t>
  </si>
  <si>
    <t>ORD-10090</t>
  </si>
  <si>
    <t>ORD-10824</t>
  </si>
  <si>
    <t>Aditya Malhotra</t>
  </si>
  <si>
    <t>ORD-10851</t>
  </si>
  <si>
    <t>ORD-10164</t>
  </si>
  <si>
    <t>ORD-10679</t>
  </si>
  <si>
    <t>ORD-10718</t>
  </si>
  <si>
    <t>Ananya Rao</t>
  </si>
  <si>
    <t>ORD-10411</t>
  </si>
  <si>
    <t>ORD-10617</t>
  </si>
  <si>
    <t>ORD-10561</t>
  </si>
  <si>
    <t>Karan Chopra</t>
  </si>
  <si>
    <t>ORD-10622</t>
  </si>
  <si>
    <t>Saanvi Joshi</t>
  </si>
  <si>
    <t>ORD-10653</t>
  </si>
  <si>
    <t>ORD-10577</t>
  </si>
  <si>
    <t>ORD-10091</t>
  </si>
  <si>
    <t>ORD-10581</t>
  </si>
  <si>
    <t>Ananya Mehta</t>
  </si>
  <si>
    <t>ORD-10565</t>
  </si>
  <si>
    <t>ORD-10348</t>
  </si>
  <si>
    <t>Sai Reddy</t>
  </si>
  <si>
    <t>ORD-10269</t>
  </si>
  <si>
    <t>ORD-10360</t>
  </si>
  <si>
    <t>Anika Verma</t>
  </si>
  <si>
    <t>ORD-10264</t>
  </si>
  <si>
    <t>ORD-10005</t>
  </si>
  <si>
    <t>Kabir Khan</t>
  </si>
  <si>
    <t>ORD-10757</t>
  </si>
  <si>
    <t>ORD-10176</t>
  </si>
  <si>
    <t>ORD-10908</t>
  </si>
  <si>
    <t>Krishna Agarwal</t>
  </si>
  <si>
    <t>ORD-10406</t>
  </si>
  <si>
    <t>ORD-10405</t>
  </si>
  <si>
    <t>Arjun Nair</t>
  </si>
  <si>
    <t>ORD-10002</t>
  </si>
  <si>
    <t>ORD-10185</t>
  </si>
  <si>
    <t>Krishna Singh</t>
  </si>
  <si>
    <t>ORD-10093</t>
  </si>
  <si>
    <t>Arjun Kapoor</t>
  </si>
  <si>
    <t>ORD-10051</t>
  </si>
  <si>
    <t>Krishna Verma</t>
  </si>
  <si>
    <t>ORD-10062</t>
  </si>
  <si>
    <t>UltraSlim 15</t>
  </si>
  <si>
    <t>ORD-10811</t>
  </si>
  <si>
    <t>Ayaan Desai</t>
  </si>
  <si>
    <t>ORD-10041</t>
  </si>
  <si>
    <t>Myra Sharma</t>
  </si>
  <si>
    <t>Data Science Basics</t>
  </si>
  <si>
    <t>ORD-10069</t>
  </si>
  <si>
    <t>ORD-10652</t>
  </si>
  <si>
    <t>ORD-10119</t>
  </si>
  <si>
    <t>Aditya Kapoor</t>
  </si>
  <si>
    <t>ORD-10425</t>
  </si>
  <si>
    <t>Riya Malhotra</t>
  </si>
  <si>
    <t>ORD-10356</t>
  </si>
  <si>
    <t>ORD-10189</t>
  </si>
  <si>
    <t>Aarav Patel</t>
  </si>
  <si>
    <t>ORD-10489</t>
  </si>
  <si>
    <t>ORD-10012</t>
  </si>
  <si>
    <t>Reyansh Desai</t>
  </si>
  <si>
    <t>ORD-10300</t>
  </si>
  <si>
    <t>ORD-10219</t>
  </si>
  <si>
    <t>ORD-10737</t>
  </si>
  <si>
    <t>ORD-10816</t>
  </si>
  <si>
    <t>Karan Mehta</t>
  </si>
  <si>
    <t>ORD-10969</t>
  </si>
  <si>
    <t>ORD-10424</t>
  </si>
  <si>
    <t>ORD-10266</t>
  </si>
  <si>
    <t>ORD-10874</t>
  </si>
  <si>
    <t>Priya Malhotra</t>
  </si>
  <si>
    <t>ORD-10379</t>
  </si>
  <si>
    <t>ORD-10473</t>
  </si>
  <si>
    <t>ORD-10261</t>
  </si>
  <si>
    <t>Krishna Mishra</t>
  </si>
  <si>
    <t>ORD-10222</t>
  </si>
  <si>
    <t>ORD-10529</t>
  </si>
  <si>
    <t>ORD-10008</t>
  </si>
  <si>
    <t>ORD-10970</t>
  </si>
  <si>
    <t>Ayaan Mishra</t>
  </si>
  <si>
    <t>ORD-10585</t>
  </si>
  <si>
    <t>Rohan Sharma</t>
  </si>
  <si>
    <t>ORD-10071</t>
  </si>
  <si>
    <t>Simran Kapoor</t>
  </si>
  <si>
    <t>ORD-10663</t>
  </si>
  <si>
    <t>ORD-10598</t>
  </si>
  <si>
    <t>ORD-10229</t>
  </si>
  <si>
    <t>ORD-10788</t>
  </si>
  <si>
    <t>ORD-10364</t>
  </si>
  <si>
    <t>Ira Sharma</t>
  </si>
  <si>
    <t>ORD-10964</t>
  </si>
  <si>
    <t>ORD-10376</t>
  </si>
  <si>
    <t>ORD-10871</t>
  </si>
  <si>
    <t>ORD-10490</t>
  </si>
  <si>
    <t>ORD-10618</t>
  </si>
  <si>
    <t>ORD-10808</t>
  </si>
  <si>
    <t>ORD-10393</t>
  </si>
  <si>
    <t>ORD-10217</t>
  </si>
  <si>
    <t>ORD-10579</t>
  </si>
  <si>
    <t>ORD-10836</t>
  </si>
  <si>
    <t>ORD-10689</t>
  </si>
  <si>
    <t>Karan Malhotra</t>
  </si>
  <si>
    <t>ORD-10163</t>
  </si>
  <si>
    <t>ORD-10105</t>
  </si>
  <si>
    <t>ORD-10060</t>
  </si>
  <si>
    <t>ORD-10010</t>
  </si>
  <si>
    <t>ORD-10346</t>
  </si>
  <si>
    <t>ORD-10047</t>
  </si>
  <si>
    <t>ORD-10913</t>
  </si>
  <si>
    <t>Riya Agarwal</t>
  </si>
  <si>
    <t>ORD-10109</t>
  </si>
  <si>
    <t>ORD-10743</t>
  </si>
  <si>
    <t>ORD-10358</t>
  </si>
  <si>
    <t>ORD-10076</t>
  </si>
  <si>
    <t>ORD-10098</t>
  </si>
  <si>
    <t>ORD-10901</t>
  </si>
  <si>
    <t>ORD-10167</t>
  </si>
  <si>
    <t>ORD-10272</t>
  </si>
  <si>
    <t>Rohan Singh</t>
  </si>
  <si>
    <t>ORD-10586</t>
  </si>
  <si>
    <t>Aadhya Das</t>
  </si>
  <si>
    <t>ORD-10741</t>
  </si>
  <si>
    <t>Aarav Rao</t>
  </si>
  <si>
    <t>ORD-10595</t>
  </si>
  <si>
    <t>ORD-10402</t>
  </si>
  <si>
    <t>Anika Sharma</t>
  </si>
  <si>
    <t>ORD-10349</t>
  </si>
  <si>
    <t>ORD-10986</t>
  </si>
  <si>
    <t>ORD-10255</t>
  </si>
  <si>
    <t>Pooja Sharma</t>
  </si>
  <si>
    <t>ORD-10590</t>
  </si>
  <si>
    <t>ORD-10368</t>
  </si>
  <si>
    <t>ORD-10759</t>
  </si>
  <si>
    <t>Neha Das</t>
  </si>
  <si>
    <t>ORD-10223</t>
  </si>
  <si>
    <t>Vihaan Desai</t>
  </si>
  <si>
    <t>ORD-10224</t>
  </si>
  <si>
    <t>ORD-10842</t>
  </si>
  <si>
    <t>Simran Agarwal</t>
  </si>
  <si>
    <t>ORD-10021</t>
  </si>
  <si>
    <t>ORD-10199</t>
  </si>
  <si>
    <t>ORD-10555</t>
  </si>
  <si>
    <t>ORD-10989</t>
  </si>
  <si>
    <t>ORD-10753</t>
  </si>
  <si>
    <t>ORD-10796</t>
  </si>
  <si>
    <t>ORD-10642</t>
  </si>
  <si>
    <t>Kabir Patel</t>
  </si>
  <si>
    <t>ORD-10504</t>
  </si>
  <si>
    <t>ORD-10943</t>
  </si>
  <si>
    <t>ORD-10633</t>
  </si>
  <si>
    <t>ORD-10457</t>
  </si>
  <si>
    <t>ORD-10967</t>
  </si>
  <si>
    <t>Raj Malhotra</t>
  </si>
  <si>
    <t>ORD-10730</t>
  </si>
  <si>
    <t>ORD-10254</t>
  </si>
  <si>
    <t>Aarav Kapoor</t>
  </si>
  <si>
    <t>ORD-10114</t>
  </si>
  <si>
    <t>ORD-10456</t>
  </si>
  <si>
    <t>ORD-10895</t>
  </si>
  <si>
    <t>Aadhya Agarwal</t>
  </si>
  <si>
    <t>ORD-10613</t>
  </si>
  <si>
    <t>ORD-10569</t>
  </si>
  <si>
    <t>ORD-10187</t>
  </si>
  <si>
    <t>Kiara Bose</t>
  </si>
  <si>
    <t>ORD-10734</t>
  </si>
  <si>
    <t>Diya Malhotra</t>
  </si>
  <si>
    <t>ORD-10647</t>
  </si>
  <si>
    <t>ORD-10024</t>
  </si>
  <si>
    <t>ORD-10057</t>
  </si>
  <si>
    <t>ORD-10240</t>
  </si>
  <si>
    <t>Ira Rao</t>
  </si>
  <si>
    <t>ORD-10766</t>
  </si>
  <si>
    <t>Saanvi Kapoor</t>
  </si>
  <si>
    <t>ORD-10498</t>
  </si>
  <si>
    <t>ORD-10608</t>
  </si>
  <si>
    <t>ORD-10740</t>
  </si>
  <si>
    <t>ORD-10026</t>
  </si>
  <si>
    <t>ORD-10381</t>
  </si>
  <si>
    <t>ORD-10321</t>
  </si>
  <si>
    <t>ORD-10549</t>
  </si>
  <si>
    <t>Aarav Bose</t>
  </si>
  <si>
    <t>ORD-10853</t>
  </si>
  <si>
    <t>Riya Mehta</t>
  </si>
  <si>
    <t>ORD-10162</t>
  </si>
  <si>
    <t>ORD-10524</t>
  </si>
  <si>
    <t>ORD-10446</t>
  </si>
  <si>
    <t>ORD-10629</t>
  </si>
  <si>
    <t>ORD-10953</t>
  </si>
  <si>
    <t>ORD-10436</t>
  </si>
  <si>
    <t>ORD-10887</t>
  </si>
  <si>
    <t>ORD-10542</t>
  </si>
  <si>
    <t>Simran Malhotra</t>
  </si>
  <si>
    <t>ORD-10859</t>
  </si>
  <si>
    <t>ORD-10410</t>
  </si>
  <si>
    <t>ORD-10237</t>
  </si>
  <si>
    <t>ORD-10772</t>
  </si>
  <si>
    <t>ORD-10096</t>
  </si>
  <si>
    <t>Anika Reddy</t>
  </si>
  <si>
    <t>ORD-10281</t>
  </si>
  <si>
    <t>ORD-10319</t>
  </si>
  <si>
    <t>ORD-10256</t>
  </si>
  <si>
    <t>ORD-10982</t>
  </si>
  <si>
    <t>Simran Rao</t>
  </si>
  <si>
    <t>ORD-10847</t>
  </si>
  <si>
    <t>ORD-10665</t>
  </si>
  <si>
    <t>ORD-10659</t>
  </si>
  <si>
    <t>ORD-10619</t>
  </si>
  <si>
    <t>ORD-10380</t>
  </si>
  <si>
    <t>ORD-10083</t>
  </si>
  <si>
    <t>Myra Kapoor</t>
  </si>
  <si>
    <t>ORD-10427</t>
  </si>
  <si>
    <t>Krishna Khan</t>
  </si>
  <si>
    <t>ORD-10195</t>
  </si>
  <si>
    <t>ORD-10809</t>
  </si>
  <si>
    <t>Raj Agarwal</t>
  </si>
  <si>
    <t>ORD-10150</t>
  </si>
  <si>
    <t>ORD-10081</t>
  </si>
  <si>
    <t>ORD-10055</t>
  </si>
  <si>
    <t>ORD-10377</t>
  </si>
  <si>
    <t>ORD-10861</t>
  </si>
  <si>
    <t>ORD-10678</t>
  </si>
  <si>
    <t>ORD-10478</t>
  </si>
  <si>
    <t>ORD-10854</t>
  </si>
  <si>
    <t>ORD-10460</t>
  </si>
  <si>
    <t>ORD-10145</t>
  </si>
  <si>
    <t>ORD-10711</t>
  </si>
  <si>
    <t>Neha Nair</t>
  </si>
  <si>
    <t>ORD-10681</t>
  </si>
  <si>
    <t>ORD-10434</t>
  </si>
  <si>
    <t>ORD-10572</t>
  </si>
  <si>
    <t>ORD-10428</t>
  </si>
  <si>
    <t>Navya Sharma</t>
  </si>
  <si>
    <t>ORD-10027</t>
  </si>
  <si>
    <t>Reyansh Bose</t>
  </si>
  <si>
    <t>ORD-10309</t>
  </si>
  <si>
    <t>Diya Singh</t>
  </si>
  <si>
    <t>ORD-10862</t>
  </si>
  <si>
    <t>ORD-10746</t>
  </si>
  <si>
    <t>Pooja Malhotra</t>
  </si>
  <si>
    <t>ORD-10214</t>
  </si>
  <si>
    <t>Priya Rao</t>
  </si>
  <si>
    <t>ORD-10710</t>
  </si>
  <si>
    <t>ORD-10834</t>
  </si>
  <si>
    <t>ORD-10084</t>
  </si>
  <si>
    <t>ORD-10525</t>
  </si>
  <si>
    <t>ORD-10637</t>
  </si>
  <si>
    <t>ORD-10723</t>
  </si>
  <si>
    <t>ORD-10329</t>
  </si>
  <si>
    <t>ORD-10512</t>
  </si>
  <si>
    <t>ORD-10305</t>
  </si>
  <si>
    <t>ORD-10141</t>
  </si>
  <si>
    <t>ORD-10488</t>
  </si>
  <si>
    <t>ORD-10435</t>
  </si>
  <si>
    <t>ORD-10562</t>
  </si>
  <si>
    <t>ORD-10308</t>
  </si>
  <si>
    <t>ORD-10095</t>
  </si>
  <si>
    <t>ORD-10246</t>
  </si>
  <si>
    <t>Arjun Verma</t>
  </si>
  <si>
    <t>ORD-10286</t>
  </si>
  <si>
    <t>Dhruv Desai</t>
  </si>
  <si>
    <t>ORD-10299</t>
  </si>
  <si>
    <t>ORD-10783</t>
  </si>
  <si>
    <t>ORD-10906</t>
  </si>
  <si>
    <t>ORD-10040</t>
  </si>
  <si>
    <t>Rohan Rao</t>
  </si>
  <si>
    <t>ORD-10474</t>
  </si>
  <si>
    <t>Diya Joshi</t>
  </si>
  <si>
    <t>ORD-10050</t>
  </si>
  <si>
    <t>ORD-10182</t>
  </si>
  <si>
    <t>ORD-10352</t>
  </si>
  <si>
    <t>ORD-10877</t>
  </si>
  <si>
    <t>Navya Gupta</t>
  </si>
  <si>
    <t>ORD-10192</t>
  </si>
  <si>
    <t>ORD-10770</t>
  </si>
  <si>
    <t>Ishaan Chopra</t>
  </si>
  <si>
    <t>ORD-10798</t>
  </si>
  <si>
    <t>ORD-10323</t>
  </si>
  <si>
    <t>ORD-10938</t>
  </si>
  <si>
    <t>ORD-10732</t>
  </si>
  <si>
    <t>ORD-10209</t>
  </si>
  <si>
    <t>ORD-10265</t>
  </si>
  <si>
    <t>Kabir Sharma</t>
  </si>
  <si>
    <t>ORD-10530</t>
  </si>
  <si>
    <t>ORD-10994</t>
  </si>
  <si>
    <t>Arjun Mehta</t>
  </si>
  <si>
    <t>ORD-10466</t>
  </si>
  <si>
    <t>ORD-10554</t>
  </si>
  <si>
    <t>ORD-10351</t>
  </si>
  <si>
    <t>ORD-10499</t>
  </si>
  <si>
    <t>Aadhya Kapoor</t>
  </si>
  <si>
    <t>ORD-10112</t>
  </si>
  <si>
    <t>ORD-10099</t>
  </si>
  <si>
    <t>ORD-10461</t>
  </si>
  <si>
    <t>ORD-10582</t>
  </si>
  <si>
    <t>Ananya Verma</t>
  </si>
  <si>
    <t>ORD-10782</t>
  </si>
  <si>
    <t>ORD-10638</t>
  </si>
  <si>
    <t>ORD-10587</t>
  </si>
  <si>
    <t>ORD-10680</t>
  </si>
  <si>
    <t>Arjun Iyer</t>
  </si>
  <si>
    <t>ORD-10742</t>
  </si>
  <si>
    <t>Ayaan Singh</t>
  </si>
  <si>
    <t>ORD-10645</t>
  </si>
  <si>
    <t>ORD-10761</t>
  </si>
  <si>
    <t>ORD-10392</t>
  </si>
  <si>
    <t>ORD-10927</t>
  </si>
  <si>
    <t>ORD-10578</t>
  </si>
  <si>
    <t>ORD-10920</t>
  </si>
  <si>
    <t>ORD-10846</t>
  </si>
  <si>
    <t>ORD-10371</t>
  </si>
  <si>
    <t>ORD-10372</t>
  </si>
  <si>
    <t>ORD-10361</t>
  </si>
  <si>
    <t>Riya Nair</t>
  </si>
  <si>
    <t>ORD-10025</t>
  </si>
  <si>
    <t>ORD-10848</t>
  </si>
  <si>
    <t>ORD-10451</t>
  </si>
  <si>
    <t>ORD-10345</t>
  </si>
  <si>
    <t>ORD-10904</t>
  </si>
  <si>
    <t>Priya Bose</t>
  </si>
  <si>
    <t>ORD-10508</t>
  </si>
  <si>
    <t>Krishna Desai</t>
  </si>
  <si>
    <t>ORD-10517</t>
  </si>
  <si>
    <t>ORD-10580</t>
  </si>
  <si>
    <t>ORD-10479</t>
  </si>
  <si>
    <t>ORD-10656</t>
  </si>
  <si>
    <t>ORD-10053</t>
  </si>
  <si>
    <t>ORD-10505</t>
  </si>
  <si>
    <t>ORD-10726</t>
  </si>
  <si>
    <t>ORD-10773</t>
  </si>
  <si>
    <t>ORD-10657</t>
  </si>
  <si>
    <t>ORD-10282</t>
  </si>
  <si>
    <t>Vivaan Nair</t>
  </si>
  <si>
    <t>ORD-10344</t>
  </si>
  <si>
    <t>ORD-10179</t>
  </si>
  <si>
    <t>Ayaan Das</t>
  </si>
  <si>
    <t>ORD-10762</t>
  </si>
  <si>
    <t>ORD-10404</t>
  </si>
  <si>
    <t>Anika Mehta</t>
  </si>
  <si>
    <t>ORD-10707</t>
  </si>
  <si>
    <t>ORD-10956</t>
  </si>
  <si>
    <t>ORD-10058</t>
  </si>
  <si>
    <t>ORD-10881</t>
  </si>
  <si>
    <t>Ira Bose</t>
  </si>
  <si>
    <t>ORD-10087</t>
  </si>
  <si>
    <t>ORD-10538</t>
  </si>
  <si>
    <t>ORD-10422</t>
  </si>
  <si>
    <t>ORD-10594</t>
  </si>
  <si>
    <t>ORD-10703</t>
  </si>
  <si>
    <t>ORD-10236</t>
  </si>
  <si>
    <t>ORD-10760</t>
  </si>
  <si>
    <t>ORD-10465</t>
  </si>
  <si>
    <t>ORD-10180</t>
  </si>
  <si>
    <t>ORD-10139</t>
  </si>
  <si>
    <t>Kiara Desai</t>
  </si>
  <si>
    <t>ORD-10923</t>
  </si>
  <si>
    <t>ORD-10527</t>
  </si>
  <si>
    <t>ORD-10133</t>
  </si>
  <si>
    <t>ORD-10612</t>
  </si>
  <si>
    <t>ORD-10522</t>
  </si>
  <si>
    <t>ORD-10495</t>
  </si>
  <si>
    <t>Navya Chopra</t>
  </si>
  <si>
    <t>ORD-10316</t>
  </si>
  <si>
    <t>ORD-10068</t>
  </si>
  <si>
    <t>ORD-10462</t>
  </si>
  <si>
    <t>ORD-10357</t>
  </si>
  <si>
    <t>ORD-10421</t>
  </si>
  <si>
    <t>Aadhya Malhotra</t>
  </si>
  <si>
    <t>ORD-10944</t>
  </si>
  <si>
    <t>Neha Joshi</t>
  </si>
  <si>
    <t>ORD-10902</t>
  </si>
  <si>
    <t>ORD-10439</t>
  </si>
  <si>
    <t>ORD-10198</t>
  </si>
  <si>
    <t>ORD-10154</t>
  </si>
  <si>
    <t>ORD-10123</t>
  </si>
  <si>
    <t>ORD-10714</t>
  </si>
  <si>
    <t>Saanvi Nair</t>
  </si>
  <si>
    <t>ORD-10624</t>
  </si>
  <si>
    <t>ORD-10589</t>
  </si>
  <si>
    <t>ORD-10213</t>
  </si>
  <si>
    <t>Sai Das</t>
  </si>
  <si>
    <t>ORD-10888</t>
  </si>
  <si>
    <t>ORD-10276</t>
  </si>
  <si>
    <t>Kiara Verma</t>
  </si>
  <si>
    <t>ORD-10745</t>
  </si>
  <si>
    <t>ORD-10365</t>
  </si>
  <si>
    <t>ORD-10715</t>
  </si>
  <si>
    <t>ORD-10791</t>
  </si>
  <si>
    <t>ORD-10448</t>
  </si>
  <si>
    <t>ORD-10919</t>
  </si>
  <si>
    <t>ORD-10694</t>
  </si>
  <si>
    <t>ORD-10048</t>
  </si>
  <si>
    <t>ORD-10252</t>
  </si>
  <si>
    <t>Reyansh Patel</t>
  </si>
  <si>
    <t>ORD-10553</t>
  </si>
  <si>
    <t>ORD-10340</t>
  </si>
  <si>
    <t>ORD-10174</t>
  </si>
  <si>
    <t>ORD-10031</t>
  </si>
  <si>
    <t>ORD-10559</t>
  </si>
  <si>
    <t>Vihaan Reddy</t>
  </si>
  <si>
    <t>ORD-10210</t>
  </si>
  <si>
    <t>ORD-10872</t>
  </si>
  <si>
    <t>ORD-10541</t>
  </si>
  <si>
    <t>ORD-10401</t>
  </si>
  <si>
    <t>ORD-10606</t>
  </si>
  <si>
    <t>Reyansh Das</t>
  </si>
  <si>
    <t>ORD-10690</t>
  </si>
  <si>
    <t>Riya Verma</t>
  </si>
  <si>
    <t>ORD-10274</t>
  </si>
  <si>
    <t>ORD-10285</t>
  </si>
  <si>
    <t>ORD-10592</t>
  </si>
  <si>
    <t>ORD-10007</t>
  </si>
  <si>
    <t>ORD-10547</t>
  </si>
  <si>
    <t>ORD-10605</t>
  </si>
  <si>
    <t>Meera Iyer</t>
  </si>
  <si>
    <t>ORD-10227</t>
  </si>
  <si>
    <t>ORD-10086</t>
  </si>
  <si>
    <t>ORD-10670</t>
  </si>
  <si>
    <t>ORD-10501</t>
  </si>
  <si>
    <t>ORD-10078</t>
  </si>
  <si>
    <t>ORD-10682</t>
  </si>
  <si>
    <t>ORD-10438</t>
  </si>
  <si>
    <t>ORD-10750</t>
  </si>
  <si>
    <t>ORD-10546</t>
  </si>
  <si>
    <t>ORD-10691</t>
  </si>
  <si>
    <t>ORD-10079</t>
  </si>
  <si>
    <t>Vihaan Bose</t>
  </si>
  <si>
    <t>ORD-10574</t>
  </si>
  <si>
    <t>ORD-10977</t>
  </si>
  <si>
    <t>ORD-10950</t>
  </si>
  <si>
    <t>ORD-10886</t>
  </si>
  <si>
    <t>Vivaan Iyer</t>
  </si>
  <si>
    <t>ORD-10032</t>
  </si>
  <si>
    <t>ORD-10727</t>
  </si>
  <si>
    <t>ORD-10312</t>
  </si>
  <si>
    <t>ORD-10275</t>
  </si>
  <si>
    <t>ORD-10829</t>
  </si>
  <si>
    <t>Riya Rao</t>
  </si>
  <si>
    <t>ORD-10593</t>
  </si>
  <si>
    <t>Ayaan Malhotra</t>
  </si>
  <si>
    <t>ORD-10253</t>
  </si>
  <si>
    <t>ORD-10844</t>
  </si>
  <si>
    <t>Kiara Singh</t>
  </si>
  <si>
    <t>ORD-10693</t>
  </si>
  <si>
    <t>ORD-10292</t>
  </si>
  <si>
    <t>ORD-10132</t>
  </si>
  <si>
    <t>ORD-10437</t>
  </si>
  <si>
    <t>ORD-10073</t>
  </si>
  <si>
    <t>ORD-10420</t>
  </si>
  <si>
    <t>ORD-10976</t>
  </si>
  <si>
    <t>ORD-10034</t>
  </si>
  <si>
    <t>ORD-10876</t>
  </si>
  <si>
    <t>ORD-10006</t>
  </si>
  <si>
    <t>Simran Verma</t>
  </si>
  <si>
    <t>ORD-10823</t>
  </si>
  <si>
    <t>Arjun Joshi</t>
  </si>
  <si>
    <t>ORD-10290</t>
  </si>
  <si>
    <t>ORD-10839</t>
  </si>
  <si>
    <t>Simran Desai</t>
  </si>
  <si>
    <t>ORD-10211</t>
  </si>
  <si>
    <t>Aditya Mehta</t>
  </si>
  <si>
    <t>ORD-10362</t>
  </si>
  <si>
    <t>ORD-10878</t>
  </si>
  <si>
    <t>ORD-10423</t>
  </si>
  <si>
    <t>Raj Reddy</t>
  </si>
  <si>
    <t>ORD-10113</t>
  </si>
  <si>
    <t>ORD-10126</t>
  </si>
  <si>
    <t>ORD-10147</t>
  </si>
  <si>
    <t>ORD-10429</t>
  </si>
  <si>
    <t>ORD-10225</t>
  </si>
  <si>
    <t>ORD-10667</t>
  </si>
  <si>
    <t>ORD-10728</t>
  </si>
  <si>
    <t>ORD-10840</t>
  </si>
  <si>
    <t>ORD-10625</t>
  </si>
  <si>
    <t>ORD-10933</t>
  </si>
  <si>
    <t>ORD-10203</t>
  </si>
  <si>
    <t>Saanvi Mehta</t>
  </si>
  <si>
    <t>ORD-10768</t>
  </si>
  <si>
    <t>AirLight 13</t>
  </si>
  <si>
    <t>ORD-10231</t>
  </si>
  <si>
    <t>ORD-10765</t>
  </si>
  <si>
    <t>ORD-10993</t>
  </si>
  <si>
    <t>ORD-10293</t>
  </si>
  <si>
    <t>ORD-10152</t>
  </si>
  <si>
    <t>ORD-10325</t>
  </si>
  <si>
    <t>ORD-10975</t>
  </si>
  <si>
    <t>ORD-10866</t>
  </si>
  <si>
    <t>ORD-10138</t>
  </si>
  <si>
    <t>ORD-10570</t>
  </si>
  <si>
    <t>ORD-10832</t>
  </si>
  <si>
    <t>ORD-10020</t>
  </si>
  <si>
    <t>Reyansh Chopra</t>
  </si>
  <si>
    <t>ORD-10597</t>
  </si>
  <si>
    <t>Pivot Table Practice — E-Commerce Order Data</t>
  </si>
  <si>
    <t>1. Basic Aggregation — SUM / AVERAGE / COUNT</t>
  </si>
  <si>
    <t>Q1</t>
  </si>
  <si>
    <t>Find the total Sales for each Region. (Values: Sales — Sum)</t>
  </si>
  <si>
    <t>Q2</t>
  </si>
  <si>
    <t>Find the average Profit per Category. (Values: Profit — Average)</t>
  </si>
  <si>
    <t>Q3</t>
  </si>
  <si>
    <t>Count the number of orders placed by each Customer Segment. (Values: Order ID — Count)</t>
  </si>
  <si>
    <t>Q4</t>
  </si>
  <si>
    <t>Find the total Quantity sold for each Product Category.</t>
  </si>
  <si>
    <t>Q5</t>
  </si>
  <si>
    <t>What is the average Discount % given, broken down by Payment Method?</t>
  </si>
  <si>
    <t>2. Two-Dimension Cross-Tabs (Rows x Columns)</t>
  </si>
  <si>
    <t>Q6</t>
  </si>
  <si>
    <t>Build a cross-tab of total Sales with Region in Rows and Category in Columns. Which Region-Category combination has the highest sales?</t>
  </si>
  <si>
    <t>Q7</t>
  </si>
  <si>
    <t>Build a cross-tab of Order Count with Customer Segment in Rows and Order Priority in Columns.</t>
  </si>
  <si>
    <t>Q8</t>
  </si>
  <si>
    <t>Cross-tab total Profit with Category in Rows and Customer Segment in Columns. Which segment is least profitable for Electronics?</t>
  </si>
  <si>
    <t>3. Date Grouping (Group By Month / Quarter / Year)</t>
  </si>
  <si>
    <t>Q9</t>
  </si>
  <si>
    <t>Group Order Date by Month and find total Sales per month. Which month had the highest sales? (Right-click a date in the pivot &gt; Group &gt; Months)</t>
  </si>
  <si>
    <t>Q10</t>
  </si>
  <si>
    <t>Group Order Date by Quarter and Year. Compare total Sales across the 4 quarters of 2024 vs 2025.</t>
  </si>
  <si>
    <t>Q11</t>
  </si>
  <si>
    <t>Using monthly grouping, identify any seasonal spike — which months look like a festive/sale season?</t>
  </si>
  <si>
    <t>4. % of Total / % Difference (Show Values As)</t>
  </si>
  <si>
    <t>Q12</t>
  </si>
  <si>
    <t>Show each Category's Sales as a '% of Grand Total'. Which 2 categories together make up more than 50% of sales?</t>
  </si>
  <si>
    <t>Q13</t>
  </si>
  <si>
    <t>Show each Region's Profit as a '% of Column Total' within its own Region grouping — i.e., % contribution of each Category within a Region.</t>
  </si>
  <si>
    <t>Q14</t>
  </si>
  <si>
    <t>Use 'Show Values As &gt; % Difference From' to compare each month's Sales against the previous month. Which month had the biggest jump?</t>
  </si>
  <si>
    <t>5. Calculated Fields</t>
  </si>
  <si>
    <t>Q15</t>
  </si>
  <si>
    <t>Create a Calculated Field: Profit Margin % = Profit / Sales. Which Category has the healthiest average profit margin?</t>
  </si>
  <si>
    <t>Q16</t>
  </si>
  <si>
    <t>Create a Calculated Field: Average Order Value = Sales / Order Count won't work directly as a calc field (it needs Count) — instead, add Order ID as Count and Sales as Sum in the same pivot, then compute AOV manually in a cell outside the pivot. Compare AOV across Customer Segments.</t>
  </si>
  <si>
    <t>Q17</t>
  </si>
  <si>
    <t>Create a Calculated Field: Net Sales = Sales - Shipping Cost. Which Region has the highest Net Sales?</t>
  </si>
  <si>
    <t>6. Top-N / Filtering</t>
  </si>
  <si>
    <t>Q18</t>
  </si>
  <si>
    <t>Use Value Filters &gt; Top 10 to find the top 10 Product Names by total Sales.</t>
  </si>
  <si>
    <t>Q19</t>
  </si>
  <si>
    <t>Filter the pivot to only 'Critical' and 'High' priority orders — which Category dominates urgent orders?</t>
  </si>
  <si>
    <t>Q20</t>
  </si>
  <si>
    <t>Find the bottom 5 States by total Profit — are any of them net loss-making?</t>
  </si>
  <si>
    <t>7. Multiple Value Fields &amp; Layout</t>
  </si>
  <si>
    <t>Q21</t>
  </si>
  <si>
    <t>Build a pivot with Region in Rows, and both Sum of Sales AND Sum of Profit as Values, side by side. Which region has high sales but low profit (possible high-discount region)?</t>
  </si>
  <si>
    <t>Q22</t>
  </si>
  <si>
    <t>Add Category as a sub-row under Region (nested rows). Use '+/-' buttons to explore drill-down.</t>
  </si>
  <si>
    <t>Q23</t>
  </si>
  <si>
    <t>Add Discount % as a Row field (grouped in bins of 5) and see how average Profit changes as discount increases — does profit shrink or turn negative at high discount bins?</t>
  </si>
  <si>
    <t>Q24</t>
  </si>
  <si>
    <t>Insert a Slicer for 'Region' and a Slicer for 'Payment Method'. Use them together to answer: what are UPI sales like in the South region only?</t>
  </si>
  <si>
    <t>Q25</t>
  </si>
  <si>
    <t>Insert a Timeline slicer on Order Date. Filter to Q4 2024 only and observe how the Category mix changes vs. the full-year pivot.</t>
  </si>
  <si>
    <t>8. Slicers &amp; Interactivity</t>
  </si>
  <si>
    <t>Grand Total</t>
  </si>
  <si>
    <t>Sum of Sales</t>
  </si>
  <si>
    <t>REGION</t>
  </si>
  <si>
    <t>Sum of Profit</t>
  </si>
  <si>
    <t>Average of Profit</t>
  </si>
  <si>
    <t>QUES NO 1</t>
  </si>
  <si>
    <t xml:space="preserve">QUES NO 2 </t>
  </si>
  <si>
    <t>Count of Order ID</t>
  </si>
  <si>
    <t>PERCENTAGE</t>
  </si>
  <si>
    <t>CUSTOMER SEGMENT</t>
  </si>
  <si>
    <t xml:space="preserve">QUES  3 </t>
  </si>
  <si>
    <t xml:space="preserve">CATEGORY </t>
  </si>
  <si>
    <t>Average of Discount %</t>
  </si>
  <si>
    <t>Sum of Quantity</t>
  </si>
  <si>
    <t>QUES 4</t>
  </si>
  <si>
    <t>QUES NO 5</t>
  </si>
  <si>
    <t>QUES 6</t>
  </si>
  <si>
    <t>Column Labels</t>
  </si>
  <si>
    <t>QUES NO 7</t>
  </si>
  <si>
    <t>2024</t>
  </si>
  <si>
    <t>Qtr1</t>
  </si>
  <si>
    <t>Jan</t>
  </si>
  <si>
    <t>Feb</t>
  </si>
  <si>
    <t>Mar</t>
  </si>
  <si>
    <t>Qtr2</t>
  </si>
  <si>
    <t>Apr</t>
  </si>
  <si>
    <t>May</t>
  </si>
  <si>
    <t>Jun</t>
  </si>
  <si>
    <t>Qtr3</t>
  </si>
  <si>
    <t>Jul</t>
  </si>
  <si>
    <t>Aug</t>
  </si>
  <si>
    <t>Sep</t>
  </si>
  <si>
    <t>Qtr4</t>
  </si>
  <si>
    <t>Oct</t>
  </si>
  <si>
    <t>Nov</t>
  </si>
  <si>
    <t>Dec</t>
  </si>
  <si>
    <t>2025</t>
  </si>
  <si>
    <t xml:space="preserve">COLUMN TOTAL </t>
  </si>
  <si>
    <t>ROW TOTAL</t>
  </si>
  <si>
    <t>QUES 10</t>
  </si>
  <si>
    <t>QUES NO 9</t>
  </si>
  <si>
    <t xml:space="preserve">QUES NO 8 </t>
  </si>
  <si>
    <t>QUES NO 11</t>
  </si>
  <si>
    <t>QUES 12</t>
  </si>
  <si>
    <t>QUES 13</t>
  </si>
  <si>
    <t>QUES 14</t>
  </si>
  <si>
    <t xml:space="preserve">ques no 15 </t>
  </si>
  <si>
    <t xml:space="preserve">PM DATA </t>
  </si>
  <si>
    <t/>
  </si>
  <si>
    <t>Row Labels</t>
  </si>
  <si>
    <t xml:space="preserve">Average of PM DATA </t>
  </si>
  <si>
    <t xml:space="preserve">PROFIT MARGIN TABLE </t>
  </si>
  <si>
    <t>Sum of PM CALC</t>
  </si>
  <si>
    <t xml:space="preserve">ques no 16 </t>
  </si>
  <si>
    <t>AOV</t>
  </si>
  <si>
    <t>ques no 17</t>
  </si>
  <si>
    <t>Sum of NET SALES</t>
  </si>
  <si>
    <t>ques no 18</t>
  </si>
  <si>
    <t>(All)</t>
  </si>
  <si>
    <t>(Multiple Items)</t>
  </si>
  <si>
    <t>QUES NO 19</t>
  </si>
  <si>
    <t>QUES 20</t>
  </si>
  <si>
    <t>QUES 21</t>
  </si>
  <si>
    <t>QUES 22</t>
  </si>
  <si>
    <t>QUES 23</t>
  </si>
  <si>
    <t>QUES 24</t>
  </si>
  <si>
    <t>QUES 25</t>
  </si>
  <si>
    <t xml:space="preserve">ITEMS BOUGHT </t>
  </si>
  <si>
    <t>BUYERS</t>
  </si>
  <si>
    <t>&gt;=1</t>
  </si>
  <si>
    <t>&gt;=2</t>
  </si>
  <si>
    <t>&gt;=3</t>
  </si>
  <si>
    <t>&gt;=4</t>
  </si>
  <si>
    <t>&gt;=5</t>
  </si>
  <si>
    <t>Average of Sales2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</si>
</sst>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 &quot;₹&quot;\ * #,##0.00_ ;_ &quot;₹&quot;\ * \-#,##0.00_ ;_ &quot;₹&quot;\ * &quot;-&quot;??_ ;_ @_ "/>
    <numFmt numFmtId="43" formatCode="_ * #,##0.00_ ;_ * \-#,##0.00_ ;_ * &quot;-&quot;??_ ;_ @_ "/>
    <numFmt numFmtId="164" formatCode="0&quot;%&quot;"/>
    <numFmt numFmtId="165" formatCode="yyyy\-mm\-dd"/>
    <numFmt numFmtId="166" formatCode="_ &quot;₹&quot;\ * #,##0.0_ ;_ &quot;₹&quot;\ * \-#,##0.0_ ;_ &quot;₹&quot;\ * &quot;-&quot;??_ ;_ @_ "/>
    <numFmt numFmtId="167" formatCode="_ &quot;₹&quot;\ * #,##0_ ;_ &quot;₹&quot;\ * \-#,##0_ ;_ &quot;₹&quot;\ * &quot;-&quot;??_ ;_ @_ "/>
    <numFmt numFmtId="168" formatCode="0.0%"/>
    <numFmt numFmtId="169" formatCode="&quot;₹&quot;\ #,##0.00"/>
    <numFmt numFmtId="170" formatCode="_ &quot;₹&quot;\ * #,##0.000_ ;_ &quot;₹&quot;\ * \-#,##0.000_ ;_ &quot;₹&quot;\ * &quot;-&quot;??_ ;_ @_ "/>
    <numFmt numFmtId="171" formatCode="_ * #,##0_ ;_ * \-#,##0_ ;_ * &quot;-&quot;??_ ;_ @_ "/>
    <numFmt numFmtId="172" formatCode="0.0,&quot;K&quot;"/>
    <numFmt numFmtId="173" formatCode="&quot;₹&quot;#,##0.0,&quot;K&quot;"/>
    <numFmt numFmtId="174" formatCode="0,&quot;K&quot;"/>
    <numFmt numFmtId="175" formatCode="&quot;₹&quot;\ \ #,##0.0&quot;k&quot;"/>
    <numFmt numFmtId="176" formatCode="&quot;₹&quot;\ #,##0.0&quot;k&quot;"/>
  </numFmts>
  <fonts count="11" x14ac:knownFonts="1">
    <font>
      <sz val="11"/>
      <color theme="1"/>
      <name val="Calibri"/>
      <family val="2"/>
      <scheme val="minor"/>
    </font>
    <font>
      <sz val="10"/>
      <name val="Arial"/>
      <family val="2"/>
    </font>
    <font>
      <b/>
      <sz val="14"/>
      <color rgb="FF2E5395"/>
      <name val="Arial"/>
      <family val="2"/>
    </font>
    <font>
      <b/>
      <sz val="12"/>
      <color rgb="FFFFFFFF"/>
      <name val="Arial"/>
      <family val="2"/>
    </font>
    <font>
      <b/>
      <sz val="10"/>
      <name val="Arial"/>
      <family val="2"/>
    </font>
    <font>
      <sz val="11"/>
      <name val="Arial"/>
      <family val="2"/>
    </font>
    <font>
      <b/>
      <sz val="11"/>
      <name val="Arial"/>
      <family val="2"/>
    </font>
    <font>
      <b/>
      <sz val="12"/>
      <color rgb="FFFFFFFF"/>
      <name val="Arial"/>
      <family val="2"/>
    </font>
    <font>
      <b/>
      <sz val="16"/>
      <name val="Calibri"/>
      <family val="2"/>
      <scheme val="minor"/>
    </font>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4472C4"/>
        <bgColor rgb="FF4472C4"/>
      </patternFill>
    </fill>
    <fill>
      <patternFill patternType="solid">
        <fgColor theme="0"/>
        <bgColor theme="4" tint="0.59999389629810485"/>
      </patternFill>
    </fill>
    <fill>
      <patternFill patternType="solid">
        <fgColor theme="0"/>
        <bgColor theme="4" tint="0.79998168889431442"/>
      </patternFill>
    </fill>
    <fill>
      <patternFill patternType="solid">
        <fgColor theme="4" tint="0.79998168889431442"/>
        <bgColor rgb="FF2E539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
      <left/>
      <right/>
      <top/>
      <bottom style="thin">
        <color theme="4" tint="0.39997558519241921"/>
      </bottom>
      <diagonal/>
    </border>
    <border>
      <left style="thin">
        <color indexed="64"/>
      </left>
      <right style="thin">
        <color indexed="64"/>
      </right>
      <top/>
      <bottom/>
      <diagonal/>
    </border>
  </borders>
  <cellStyleXfs count="4">
    <xf numFmtId="0" fontId="0" fillId="0" borderId="0"/>
    <xf numFmtId="9"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cellStyleXfs>
  <cellXfs count="50">
    <xf numFmtId="0" fontId="0" fillId="0" borderId="0" xfId="0"/>
    <xf numFmtId="0" fontId="4" fillId="0" borderId="0" xfId="0" applyFont="1"/>
    <xf numFmtId="0" fontId="5" fillId="0" borderId="0" xfId="0" applyFont="1" applyAlignment="1">
      <alignment vertical="top" wrapText="1"/>
    </xf>
    <xf numFmtId="0" fontId="1" fillId="3" borderId="1" xfId="0" applyFont="1" applyFill="1" applyBorder="1"/>
    <xf numFmtId="165" fontId="1" fillId="3" borderId="1" xfId="0" applyNumberFormat="1" applyFont="1" applyFill="1" applyBorder="1"/>
    <xf numFmtId="4" fontId="1" fillId="3" borderId="1" xfId="0" applyNumberFormat="1" applyFont="1" applyFill="1" applyBorder="1"/>
    <xf numFmtId="164" fontId="1" fillId="3" borderId="1" xfId="0" applyNumberFormat="1" applyFont="1" applyFill="1" applyBorder="1"/>
    <xf numFmtId="0" fontId="1" fillId="4" borderId="1" xfId="0" applyFont="1" applyFill="1" applyBorder="1"/>
    <xf numFmtId="165" fontId="1" fillId="4" borderId="1" xfId="0" applyNumberFormat="1" applyFont="1" applyFill="1" applyBorder="1"/>
    <xf numFmtId="4" fontId="1" fillId="4" borderId="1" xfId="0" applyNumberFormat="1" applyFont="1" applyFill="1" applyBorder="1"/>
    <xf numFmtId="164" fontId="1" fillId="4" borderId="1" xfId="0" applyNumberFormat="1" applyFont="1" applyFill="1" applyBorder="1"/>
    <xf numFmtId="0" fontId="6" fillId="5" borderId="1" xfId="0" applyFont="1" applyFill="1" applyBorder="1" applyAlignment="1">
      <alignment horizontal="center" vertical="center"/>
    </xf>
    <xf numFmtId="0" fontId="0" fillId="0" borderId="0" xfId="0" pivotButton="1"/>
    <xf numFmtId="0" fontId="0" fillId="0" borderId="0" xfId="0" applyAlignment="1">
      <alignment horizontal="left"/>
    </xf>
    <xf numFmtId="1" fontId="0" fillId="0" borderId="0" xfId="0" applyNumberFormat="1"/>
    <xf numFmtId="44" fontId="0" fillId="0" borderId="0" xfId="0" applyNumberFormat="1"/>
    <xf numFmtId="166" fontId="0" fillId="0" borderId="0" xfId="0" applyNumberFormat="1"/>
    <xf numFmtId="167" fontId="0" fillId="0" borderId="0" xfId="0" applyNumberFormat="1"/>
    <xf numFmtId="10" fontId="0" fillId="0" borderId="0" xfId="0" applyNumberFormat="1"/>
    <xf numFmtId="9" fontId="0" fillId="0" borderId="0" xfId="0" applyNumberFormat="1"/>
    <xf numFmtId="165" fontId="0" fillId="0" borderId="0" xfId="0" applyNumberFormat="1" applyAlignment="1">
      <alignment horizontal="left"/>
    </xf>
    <xf numFmtId="0" fontId="8" fillId="0" borderId="0" xfId="0" applyFont="1"/>
    <xf numFmtId="0" fontId="10" fillId="6" borderId="2" xfId="0" applyFont="1" applyFill="1" applyBorder="1" applyAlignment="1">
      <alignment horizontal="left"/>
    </xf>
    <xf numFmtId="0" fontId="10" fillId="6" borderId="3" xfId="0" applyFont="1" applyFill="1" applyBorder="1"/>
    <xf numFmtId="0" fontId="10" fillId="6" borderId="2" xfId="0" applyFont="1" applyFill="1" applyBorder="1"/>
    <xf numFmtId="165" fontId="0" fillId="7" borderId="0" xfId="0" applyNumberFormat="1" applyFill="1" applyAlignment="1">
      <alignment horizontal="left"/>
    </xf>
    <xf numFmtId="0" fontId="0" fillId="7" borderId="0" xfId="0" applyFill="1"/>
    <xf numFmtId="0" fontId="6" fillId="5" borderId="4" xfId="0" applyFont="1" applyFill="1" applyBorder="1" applyAlignment="1">
      <alignment horizontal="center" vertical="center"/>
    </xf>
    <xf numFmtId="168" fontId="0" fillId="0" borderId="0" xfId="1" applyNumberFormat="1" applyFont="1" applyBorder="1"/>
    <xf numFmtId="169" fontId="0" fillId="0" borderId="0" xfId="0" applyNumberFormat="1"/>
    <xf numFmtId="0" fontId="0" fillId="0" borderId="0" xfId="0" applyAlignment="1">
      <alignment horizontal="left" indent="1"/>
    </xf>
    <xf numFmtId="0" fontId="0" fillId="8" borderId="0" xfId="0" applyFill="1"/>
    <xf numFmtId="165" fontId="0" fillId="8" borderId="0" xfId="0" applyNumberFormat="1" applyFill="1" applyAlignment="1">
      <alignment horizontal="left"/>
    </xf>
    <xf numFmtId="164" fontId="0" fillId="0" borderId="0" xfId="0" applyNumberFormat="1" applyAlignment="1">
      <alignment horizontal="left"/>
    </xf>
    <xf numFmtId="170" fontId="0" fillId="0" borderId="0" xfId="0" applyNumberFormat="1"/>
    <xf numFmtId="0" fontId="0" fillId="9" borderId="0" xfId="0" applyFill="1"/>
    <xf numFmtId="171" fontId="0" fillId="0" borderId="0" xfId="2" applyNumberFormat="1" applyFont="1"/>
    <xf numFmtId="0" fontId="0" fillId="0" borderId="0" xfId="3" applyNumberFormat="1" applyFont="1"/>
    <xf numFmtId="172" fontId="0" fillId="0" borderId="0" xfId="0" applyNumberFormat="1"/>
    <xf numFmtId="173" fontId="0" fillId="0" borderId="0" xfId="0" applyNumberFormat="1"/>
    <xf numFmtId="174" fontId="0" fillId="0" borderId="0" xfId="2" applyNumberFormat="1" applyFont="1"/>
    <xf numFmtId="175" fontId="0" fillId="0" borderId="0" xfId="0" applyNumberFormat="1"/>
    <xf numFmtId="176" fontId="0" fillId="0" borderId="0" xfId="0" applyNumberFormat="1"/>
    <xf numFmtId="0" fontId="2" fillId="0" borderId="0" xfId="0" applyFont="1"/>
    <xf numFmtId="0" fontId="0" fillId="0" borderId="0" xfId="0"/>
    <xf numFmtId="0" fontId="7" fillId="2" borderId="0" xfId="0" applyFont="1" applyFill="1"/>
    <xf numFmtId="0" fontId="3" fillId="2" borderId="0" xfId="0" applyFont="1" applyFill="1"/>
    <xf numFmtId="169" fontId="6" fillId="5" borderId="1" xfId="0" applyNumberFormat="1" applyFont="1" applyFill="1" applyBorder="1" applyAlignment="1">
      <alignment horizontal="center" vertical="center"/>
    </xf>
    <xf numFmtId="169" fontId="1" fillId="3" borderId="1" xfId="0" applyNumberFormat="1" applyFont="1" applyFill="1" applyBorder="1"/>
    <xf numFmtId="169" fontId="1" fillId="4" borderId="1" xfId="0" applyNumberFormat="1" applyFont="1" applyFill="1" applyBorder="1"/>
  </cellXfs>
  <cellStyles count="4">
    <cellStyle name="Comma" xfId="2" builtinId="3"/>
    <cellStyle name="Currency" xfId="3" builtinId="4"/>
    <cellStyle name="Normal" xfId="0" builtinId="0"/>
    <cellStyle name="Percent" xfId="1" builtinId="5"/>
  </cellStyles>
  <dxfs count="326">
    <dxf>
      <numFmt numFmtId="13" formatCode="0%"/>
    </dxf>
    <dxf>
      <numFmt numFmtId="2" formatCode="0.00"/>
    </dxf>
    <dxf>
      <numFmt numFmtId="0" formatCode="General"/>
    </dxf>
    <dxf>
      <numFmt numFmtId="34" formatCode="_ &quot;₹&quot;\ * #,##0.00_ ;_ &quot;₹&quot;\ * \-#,##0.00_ ;_ &quot;₹&quot;\ * &quot;-&quot;??_ ;_ @_ "/>
    </dxf>
    <dxf>
      <numFmt numFmtId="166" formatCode="_ &quot;₹&quot;\ * #,##0.0_ ;_ &quot;₹&quot;\ * \-#,##0.0_ ;_ &quot;₹&quot;\ * &quot;-&quot;??_ ;_ @_ "/>
    </dxf>
    <dxf>
      <numFmt numFmtId="167" formatCode="_ &quot;₹&quot;\ * #,##0_ ;_ &quot;₹&quot;\ * \-#,##0_ ;_ &quot;₹&quot;\ * &quot;-&quot;??_ ;_ @_ "/>
    </dxf>
    <dxf>
      <numFmt numFmtId="176" formatCode="&quot;₹&quot;\ #,##0.0&quot;k&quot;"/>
    </dxf>
    <dxf>
      <numFmt numFmtId="13" formatCode="0%"/>
    </dxf>
    <dxf>
      <numFmt numFmtId="2" formatCode="0.00"/>
    </dxf>
    <dxf>
      <numFmt numFmtId="0" formatCode="General"/>
    </dxf>
    <dxf>
      <numFmt numFmtId="34" formatCode="_ &quot;₹&quot;\ * #,##0.00_ ;_ &quot;₹&quot;\ * \-#,##0.00_ ;_ &quot;₹&quot;\ * &quot;-&quot;??_ ;_ @_ "/>
    </dxf>
    <dxf>
      <numFmt numFmtId="166" formatCode="_ &quot;₹&quot;\ * #,##0.0_ ;_ &quot;₹&quot;\ * \-#,##0.0_ ;_ &quot;₹&quot;\ * &quot;-&quot;??_ ;_ @_ "/>
    </dxf>
    <dxf>
      <numFmt numFmtId="167" formatCode="_ &quot;₹&quot;\ * #,##0_ ;_ &quot;₹&quot;\ * \-#,##0_ ;_ &quot;₹&quot;\ * &quot;-&quot;??_ ;_ @_ "/>
    </dxf>
    <dxf>
      <numFmt numFmtId="176" formatCode="&quot;₹&quot;\ #,##0.0&quot;k&quot;"/>
    </dxf>
    <dxf>
      <numFmt numFmtId="13" formatCode="0%"/>
    </dxf>
    <dxf>
      <numFmt numFmtId="2" formatCode="0.00"/>
    </dxf>
    <dxf>
      <numFmt numFmtId="0" formatCode="General"/>
    </dxf>
    <dxf>
      <numFmt numFmtId="34" formatCode="_ &quot;₹&quot;\ * #,##0.00_ ;_ &quot;₹&quot;\ * \-#,##0.00_ ;_ &quot;₹&quot;\ * &quot;-&quot;??_ ;_ @_ "/>
    </dxf>
    <dxf>
      <numFmt numFmtId="166" formatCode="_ &quot;₹&quot;\ * #,##0.0_ ;_ &quot;₹&quot;\ * \-#,##0.0_ ;_ &quot;₹&quot;\ * &quot;-&quot;??_ ;_ @_ "/>
    </dxf>
    <dxf>
      <numFmt numFmtId="167" formatCode="_ &quot;₹&quot;\ * #,##0_ ;_ &quot;₹&quot;\ * \-#,##0_ ;_ &quot;₹&quot;\ * &quot;-&quot;??_ ;_ @_ "/>
    </dxf>
    <dxf>
      <numFmt numFmtId="176" formatCode="&quot;₹&quot;\ #,##0.0&quot;k&quot;"/>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0" formatCode="General"/>
    </dxf>
    <dxf>
      <numFmt numFmtId="2" formatCode="0.00"/>
    </dxf>
    <dxf>
      <numFmt numFmtId="13" formatCode="0%"/>
    </dxf>
    <dxf>
      <numFmt numFmtId="166" formatCode="_ &quot;₹&quot;\ * #,##0.0_ ;_ &quot;₹&quot;\ * \-#,##0.0_ ;_ &quot;₹&quot;\ * &quot;-&quot;??_ ;_ @_ "/>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1" formatCode="0"/>
    </dxf>
    <dxf>
      <numFmt numFmtId="177" formatCode="0.0"/>
    </dxf>
    <dxf>
      <numFmt numFmtId="14" formatCode="0.00%"/>
    </dxf>
    <dxf>
      <numFmt numFmtId="34" formatCode="_ &quot;₹&quot;\ * #,##0.00_ ;_ &quot;₹&quot;\ * \-#,##0.00_ ;_ &quot;₹&quot;\ * &quot;-&quot;??_ ;_ @_ "/>
    </dxf>
    <dxf>
      <numFmt numFmtId="1" formatCode="0"/>
    </dxf>
    <dxf>
      <numFmt numFmtId="177" formatCode="0.0"/>
    </dxf>
    <dxf>
      <numFmt numFmtId="34" formatCode="_ &quot;₹&quot;\ * #,##0.00_ ;_ &quot;₹&quot;\ * \-#,##0.00_ ;_ &quot;₹&quot;\ * &quot;-&quot;??_ ;_ @_ "/>
    </dxf>
    <dxf>
      <numFmt numFmtId="1" formatCode="0"/>
    </dxf>
    <dxf>
      <numFmt numFmtId="177" formatCode="0.0"/>
    </dxf>
    <dxf>
      <numFmt numFmtId="14" formatCode="0.00%"/>
    </dxf>
    <dxf>
      <numFmt numFmtId="34" formatCode="_ &quot;₹&quot;\ * #,##0.00_ ;_ &quot;₹&quot;\ * \-#,##0.00_ ;_ &quot;₹&quot;\ * &quot;-&quot;??_ ;_ @_ "/>
    </dxf>
    <dxf>
      <numFmt numFmtId="1" formatCode="0"/>
    </dxf>
    <dxf>
      <numFmt numFmtId="177" formatCode="0.0"/>
    </dxf>
    <dxf>
      <numFmt numFmtId="13" formatCode="0%"/>
    </dxf>
    <dxf>
      <numFmt numFmtId="168" formatCode="0.0%"/>
    </dxf>
    <dxf>
      <numFmt numFmtId="14" formatCode="0.00%"/>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1" formatCode="0"/>
    </dxf>
    <dxf>
      <numFmt numFmtId="177" formatCode="0.0"/>
    </dxf>
    <dxf>
      <numFmt numFmtId="14" formatCode="0.00%"/>
    </dxf>
    <dxf>
      <numFmt numFmtId="34" formatCode="_ &quot;₹&quot;\ * #,##0.00_ ;_ &quot;₹&quot;\ * \-#,##0.00_ ;_ &quot;₹&quot;\ * &quot;-&quot;??_ ;_ @_ "/>
    </dxf>
    <dxf>
      <numFmt numFmtId="1" formatCode="0"/>
    </dxf>
    <dxf>
      <numFmt numFmtId="177" formatCode="0.0"/>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0" formatCode="General"/>
    </dxf>
    <dxf>
      <numFmt numFmtId="2" formatCode="0.00"/>
    </dxf>
    <dxf>
      <numFmt numFmtId="13" formatCode="0%"/>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0" formatCode="General"/>
    </dxf>
    <dxf>
      <numFmt numFmtId="2" formatCode="0.00"/>
    </dxf>
    <dxf>
      <numFmt numFmtId="13" formatCode="0%"/>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1" formatCode="0"/>
    </dxf>
    <dxf>
      <numFmt numFmtId="177" formatCode="0.0"/>
    </dxf>
    <dxf>
      <numFmt numFmtId="0" formatCode="General"/>
    </dxf>
    <dxf>
      <numFmt numFmtId="14" formatCode="0.00%"/>
    </dxf>
    <dxf>
      <numFmt numFmtId="168" formatCode="0.0%"/>
    </dxf>
    <dxf>
      <numFmt numFmtId="13" formatCode="0%"/>
    </dxf>
    <dxf>
      <numFmt numFmtId="168" formatCode="0.0%"/>
    </dxf>
    <dxf>
      <numFmt numFmtId="167" formatCode="_ &quot;₹&quot;\ * #,##0_ ;_ &quot;₹&quot;\ * \-#,##0_ ;_ &quot;₹&quot;\ * &quot;-&quot;??_ ;_ @_ "/>
    </dxf>
    <dxf>
      <numFmt numFmtId="166" formatCode="_ &quot;₹&quot;\ * #,##0.0_ ;_ &quot;₹&quot;\ * \-#,##0.0_ ;_ &quot;₹&quot;\ * &quot;-&quot;??_ ;_ @_ "/>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1" formatCode="0"/>
    </dxf>
    <dxf>
      <numFmt numFmtId="177" formatCode="0.0"/>
    </dxf>
    <dxf>
      <numFmt numFmtId="0" formatCode="General"/>
    </dxf>
    <dxf>
      <numFmt numFmtId="14" formatCode="0.00%"/>
    </dxf>
    <dxf>
      <numFmt numFmtId="168" formatCode="0.0%"/>
    </dxf>
    <dxf>
      <numFmt numFmtId="13" formatCode="0%"/>
    </dxf>
    <dxf>
      <numFmt numFmtId="168" formatCode="0.0%"/>
    </dxf>
    <dxf>
      <numFmt numFmtId="167" formatCode="_ &quot;₹&quot;\ * #,##0_ ;_ &quot;₹&quot;\ * \-#,##0_ ;_ &quot;₹&quot;\ * &quot;-&quot;??_ ;_ @_ "/>
    </dxf>
    <dxf>
      <numFmt numFmtId="166" formatCode="_ &quot;₹&quot;\ * #,##0.0_ ;_ &quot;₹&quot;\ * \-#,##0.0_ ;_ &quot;₹&quot;\ * &quot;-&quot;??_ ;_ @_ "/>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1" formatCode="0"/>
    </dxf>
    <dxf>
      <numFmt numFmtId="177" formatCode="0.0"/>
    </dxf>
    <dxf>
      <numFmt numFmtId="172" formatCode="0.0,&quot;K&quot;"/>
    </dxf>
    <dxf>
      <numFmt numFmtId="172" formatCode="0.0,&quot;K&quot;"/>
    </dxf>
    <dxf>
      <numFmt numFmtId="172" formatCode="0.0,&quot;K&quot;"/>
    </dxf>
    <dxf>
      <numFmt numFmtId="172" formatCode="0.0,&quot;K&quot;"/>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1" formatCode="0"/>
    </dxf>
    <dxf>
      <numFmt numFmtId="177" formatCode="0.0"/>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0" formatCode="General"/>
    </dxf>
    <dxf>
      <numFmt numFmtId="2" formatCode="0.00"/>
    </dxf>
    <dxf>
      <numFmt numFmtId="13" formatCode="0%"/>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1" formatCode="0"/>
    </dxf>
    <dxf>
      <numFmt numFmtId="177" formatCode="0.0"/>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0" formatCode="General"/>
    </dxf>
    <dxf>
      <numFmt numFmtId="2" formatCode="0.00"/>
    </dxf>
    <dxf>
      <numFmt numFmtId="13" formatCode="0%"/>
    </dxf>
    <dxf>
      <numFmt numFmtId="13" formatCode="0%"/>
    </dxf>
    <dxf>
      <numFmt numFmtId="168" formatCode="0.0%"/>
    </dxf>
    <dxf>
      <numFmt numFmtId="14" formatCode="0.00%"/>
    </dxf>
    <dxf>
      <numFmt numFmtId="184" formatCode="0.000%"/>
    </dxf>
    <dxf>
      <numFmt numFmtId="14" formatCode="0.00%"/>
    </dxf>
    <dxf>
      <numFmt numFmtId="169" formatCode="&quot;₹&quot;\ #,##0.00"/>
    </dxf>
    <dxf>
      <numFmt numFmtId="0" formatCode="General"/>
    </dxf>
    <dxf>
      <numFmt numFmtId="14" formatCode="0.00%"/>
    </dxf>
    <dxf>
      <numFmt numFmtId="168" formatCode="0.0%"/>
    </dxf>
    <dxf>
      <numFmt numFmtId="13" formatCode="0%"/>
    </dxf>
    <dxf>
      <numFmt numFmtId="168" formatCode="0.0%"/>
    </dxf>
    <dxf>
      <numFmt numFmtId="167" formatCode="_ &quot;₹&quot;\ * #,##0_ ;_ &quot;₹&quot;\ * \-#,##0_ ;_ &quot;₹&quot;\ * &quot;-&quot;??_ ;_ @_ "/>
    </dxf>
    <dxf>
      <numFmt numFmtId="166" formatCode="_ &quot;₹&quot;\ * #,##0.0_ ;_ &quot;₹&quot;\ * \-#,##0.0_ ;_ &quot;₹&quot;\ * &quot;-&quot;??_ ;_ @_ "/>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1" formatCode="0"/>
    </dxf>
    <dxf>
      <numFmt numFmtId="177" formatCode="0.0"/>
    </dxf>
    <dxf>
      <numFmt numFmtId="14" formatCode="0.00%"/>
    </dxf>
    <dxf>
      <numFmt numFmtId="14" formatCode="0.00%"/>
    </dxf>
    <dxf>
      <numFmt numFmtId="14" formatCode="0.00%"/>
    </dxf>
    <dxf>
      <numFmt numFmtId="1" formatCode="0"/>
    </dxf>
    <dxf>
      <numFmt numFmtId="177" formatCode="0.0"/>
    </dxf>
    <dxf>
      <numFmt numFmtId="2" formatCode="0.00"/>
    </dxf>
    <dxf>
      <numFmt numFmtId="183" formatCode="0.000"/>
    </dxf>
    <dxf>
      <numFmt numFmtId="182" formatCode="0.0000"/>
    </dxf>
    <dxf>
      <numFmt numFmtId="181" formatCode="0.00000"/>
    </dxf>
    <dxf>
      <numFmt numFmtId="180" formatCode="0.000000"/>
    </dxf>
    <dxf>
      <numFmt numFmtId="179" formatCode="0.0000000"/>
    </dxf>
    <dxf>
      <numFmt numFmtId="178" formatCode="0.00000000"/>
    </dxf>
    <dxf>
      <numFmt numFmtId="0" formatCode="General"/>
    </dxf>
    <dxf>
      <numFmt numFmtId="13" formatCode="0%"/>
    </dxf>
    <dxf>
      <numFmt numFmtId="168" formatCode="0.0%"/>
    </dxf>
    <dxf>
      <numFmt numFmtId="34" formatCode="_ &quot;₹&quot;\ * #,##0.00_ ;_ &quot;₹&quot;\ * \-#,##0.00_ ;_ &quot;₹&quot;\ * &quot;-&quot;??_ ;_ @_ "/>
    </dxf>
    <dxf>
      <numFmt numFmtId="1" formatCode="0"/>
    </dxf>
    <dxf>
      <numFmt numFmtId="177" formatCode="0.0"/>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1" formatCode="0"/>
    </dxf>
    <dxf>
      <numFmt numFmtId="177" formatCode="0.0"/>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170" formatCode="_ &quot;₹&quot;\ * #,##0.000_ ;_ &quot;₹&quot;\ * \-#,##0.000_ ;_ &quot;₹&quot;\ * &quot;-&quot;??_ ;_ @_ "/>
    </dxf>
    <dxf>
      <numFmt numFmtId="34" formatCode="_ &quot;₹&quot;\ * #,##0.00_ ;_ &quot;₹&quot;\ * \-#,##0.00_ ;_ &quot;₹&quot;\ * &quot;-&quot;??_ ;_ @_ "/>
    </dxf>
    <dxf>
      <numFmt numFmtId="177" formatCode="0.0"/>
    </dxf>
    <dxf>
      <numFmt numFmtId="2" formatCode="0.00"/>
    </dxf>
    <dxf>
      <numFmt numFmtId="183" formatCode="0.000"/>
    </dxf>
    <dxf>
      <numFmt numFmtId="0" formatCode="General"/>
    </dxf>
    <dxf>
      <numFmt numFmtId="13" formatCode="0%"/>
    </dxf>
    <dxf>
      <numFmt numFmtId="13" formatCode="0%"/>
    </dxf>
    <dxf>
      <numFmt numFmtId="168" formatCode="0.0%"/>
    </dxf>
    <dxf>
      <numFmt numFmtId="14" formatCode="0.00%"/>
    </dxf>
    <dxf>
      <numFmt numFmtId="1" formatCode="0"/>
    </dxf>
    <dxf>
      <numFmt numFmtId="177" formatCode="0.0"/>
    </dxf>
    <dxf>
      <numFmt numFmtId="0" formatCode="General"/>
    </dxf>
    <dxf>
      <numFmt numFmtId="14" formatCode="0.00%"/>
    </dxf>
    <dxf>
      <numFmt numFmtId="168" formatCode="0.0%"/>
    </dxf>
    <dxf>
      <numFmt numFmtId="13" formatCode="0%"/>
    </dxf>
    <dxf>
      <numFmt numFmtId="168" formatCode="0.0%"/>
    </dxf>
    <dxf>
      <numFmt numFmtId="167" formatCode="_ &quot;₹&quot;\ * #,##0_ ;_ &quot;₹&quot;\ * \-#,##0_ ;_ &quot;₹&quot;\ * &quot;-&quot;??_ ;_ @_ "/>
    </dxf>
    <dxf>
      <numFmt numFmtId="166" formatCode="_ &quot;₹&quot;\ * #,##0.0_ ;_ &quot;₹&quot;\ * \-#,##0.0_ ;_ &quot;₹&quot;\ * &quot;-&quot;??_ ;_ @_ "/>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1" formatCode="0"/>
    </dxf>
    <dxf>
      <numFmt numFmtId="177" formatCode="0.0"/>
    </dxf>
    <dxf>
      <numFmt numFmtId="170" formatCode="_ &quot;₹&quot;\ * #,##0.000_ ;_ &quot;₹&quot;\ * \-#,##0.000_ ;_ &quot;₹&quot;\ * &quot;-&quot;??_ ;_ @_ "/>
    </dxf>
    <dxf>
      <numFmt numFmtId="170" formatCode="_ &quot;₹&quot;\ * #,##0.000_ ;_ &quot;₹&quot;\ * \-#,##0.000_ ;_ &quot;₹&quot;\ * &quot;-&quot;??_ ;_ @_ "/>
    </dxf>
    <dxf>
      <numFmt numFmtId="170" formatCode="_ &quot;₹&quot;\ * #,##0.000_ ;_ &quot;₹&quot;\ * \-#,##0.000_ ;_ &quot;₹&quot;\ * &quot;-&quot;??_ ;_ @_ "/>
    </dxf>
    <dxf>
      <numFmt numFmtId="170" formatCode="_ &quot;₹&quot;\ * #,##0.000_ ;_ &quot;₹&quot;\ * \-#,##0.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6" formatCode="_ &quot;₹&quot;\ * #,##0.0_ ;_ &quot;₹&quot;\ * \-#,##0.0_ ;_ &quot;₹&quot;\ * &quot;-&quot;??_ ;_ @_ "/>
    </dxf>
    <dxf>
      <numFmt numFmtId="166" formatCode="_ &quot;₹&quot;\ * #,##0.0_ ;_ &quot;₹&quot;\ * \-#,##0.0_ ;_ &quot;₹&quot;\ * &quot;-&quot;??_ ;_ @_ "/>
    </dxf>
    <dxf>
      <numFmt numFmtId="166" formatCode="_ &quot;₹&quot;\ * #,##0.0_ ;_ &quot;₹&quot;\ * \-#,##0.0_ ;_ &quot;₹&quot;\ * &quot;-&quot;??_ ;_ @_ "/>
    </dxf>
    <dxf>
      <numFmt numFmtId="166" formatCode="_ &quot;₹&quot;\ * #,##0.0_ ;_ &quot;₹&quot;\ * \-#,##0.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6" formatCode="_ &quot;₹&quot;\ * #,##0.0_ ;_ &quot;₹&quot;\ * \-#,##0.0_ ;_ &quot;₹&quot;\ * &quot;-&quot;??_ ;_ @_ "/>
    </dxf>
    <dxf>
      <numFmt numFmtId="166" formatCode="_ &quot;₹&quot;\ * #,##0.0_ ;_ &quot;₹&quot;\ * \-#,##0.0_ ;_ &quot;₹&quot;\ * &quot;-&quot;??_ ;_ @_ "/>
    </dxf>
    <dxf>
      <numFmt numFmtId="166" formatCode="_ &quot;₹&quot;\ * #,##0.0_ ;_ &quot;₹&quot;\ * \-#,##0.0_ ;_ &quot;₹&quot;\ * &quot;-&quot;??_ ;_ @_ "/>
    </dxf>
    <dxf>
      <numFmt numFmtId="166" formatCode="_ &quot;₹&quot;\ * #,##0.0_ ;_ &quot;₹&quot;\ * \-#,##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4" formatCode="0.00%"/>
    </dxf>
    <dxf>
      <numFmt numFmtId="168" formatCode="0.0%"/>
    </dxf>
    <dxf>
      <numFmt numFmtId="13" formatCode="0%"/>
    </dxf>
    <dxf>
      <numFmt numFmtId="168" formatCode="0.0%"/>
    </dxf>
    <dxf>
      <numFmt numFmtId="14" formatCode="0.00%"/>
    </dxf>
    <dxf>
      <numFmt numFmtId="167" formatCode="_ &quot;₹&quot;\ * #,##0_ ;_ &quot;₹&quot;\ * \-#,##0_ ;_ &quot;₹&quot;\ * &quot;-&quot;??_ ;_ @_ "/>
    </dxf>
    <dxf>
      <numFmt numFmtId="166" formatCode="_ &quot;₹&quot;\ * #,##0.0_ ;_ &quot;₹&quot;\ * \-#,##0.0_ ;_ &quot;₹&quot;\ * &quot;-&quot;??_ ;_ @_ "/>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1" formatCode="0"/>
    </dxf>
    <dxf>
      <numFmt numFmtId="177" formatCode="0.0"/>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0" formatCode="General"/>
    </dxf>
    <dxf>
      <numFmt numFmtId="2" formatCode="0.00"/>
    </dxf>
    <dxf>
      <numFmt numFmtId="13" formatCode="0%"/>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1" formatCode="0"/>
    </dxf>
    <dxf>
      <numFmt numFmtId="177" formatCode="0.0"/>
    </dxf>
    <dxf>
      <numFmt numFmtId="14" formatCode="0.00%"/>
    </dxf>
    <dxf>
      <numFmt numFmtId="0" formatCode="General"/>
    </dxf>
    <dxf>
      <numFmt numFmtId="34" formatCode="_ &quot;₹&quot;\ * #,##0.00_ ;_ &quot;₹&quot;\ * \-#,##0.00_ ;_ &quot;₹&quot;\ * &quot;-&quot;??_ ;_ @_ "/>
    </dxf>
    <dxf>
      <numFmt numFmtId="1" formatCode="0"/>
    </dxf>
    <dxf>
      <numFmt numFmtId="177" formatCode="0.0"/>
    </dxf>
    <dxf>
      <numFmt numFmtId="34" formatCode="_ &quot;₹&quot;\ * #,##0.00_ ;_ &quot;₹&quot;\ * \-#,##0.00_ ;_ &quot;₹&quot;\ * &quot;-&quot;??_ ;_ @_ "/>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1" formatCode="0"/>
    </dxf>
    <dxf>
      <numFmt numFmtId="177" formatCode="0.0"/>
    </dxf>
    <dxf>
      <numFmt numFmtId="169" formatCode="&quot;₹&quot;\ #,##0.00"/>
    </dxf>
    <dxf>
      <numFmt numFmtId="34" formatCode="_ &quot;₹&quot;\ * #,##0.00_ ;_ &quot;₹&quot;\ * \-#,##0.00_ ;_ &quot;₹&quot;\ * &quot;-&quot;??_ ;_ @_ "/>
    </dxf>
    <dxf>
      <numFmt numFmtId="0" formatCode="General"/>
    </dxf>
    <dxf>
      <numFmt numFmtId="2" formatCode="0.00"/>
    </dxf>
    <dxf>
      <numFmt numFmtId="13" formatCode="0%"/>
    </dxf>
    <dxf>
      <numFmt numFmtId="175" formatCode="&quot;₹&quot;\ \ #,##0.0&quot;k&quot;"/>
    </dxf>
    <dxf>
      <numFmt numFmtId="34" formatCode="_ &quot;₹&quot;\ * #,##0.00_ ;_ &quot;₹&quot;\ * \-#,##0.00_ ;_ &quot;₹&quot;\ * &quot;-&quot;??_ ;_ @_ "/>
    </dxf>
    <dxf>
      <numFmt numFmtId="1" formatCode="0"/>
    </dxf>
    <dxf>
      <numFmt numFmtId="177" formatCode="0.0"/>
    </dxf>
    <dxf>
      <numFmt numFmtId="14" formatCode="0.00%"/>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0" formatCode="General"/>
    </dxf>
    <dxf>
      <numFmt numFmtId="2" formatCode="0.00"/>
    </dxf>
    <dxf>
      <numFmt numFmtId="13" formatCode="0%"/>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0" formatCode="General"/>
    </dxf>
    <dxf>
      <numFmt numFmtId="2" formatCode="0.00"/>
    </dxf>
    <dxf>
      <numFmt numFmtId="13" formatCode="0%"/>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0" formatCode="General"/>
    </dxf>
    <dxf>
      <numFmt numFmtId="2" formatCode="0.00"/>
    </dxf>
    <dxf>
      <numFmt numFmtId="13" formatCode="0%"/>
    </dxf>
    <dxf>
      <numFmt numFmtId="176" formatCode="&quot;₹&quot;\ #,##0.0&quot;k&quot;"/>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0" formatCode="General"/>
    </dxf>
    <dxf>
      <numFmt numFmtId="2" formatCode="0.00"/>
    </dxf>
    <dxf>
      <numFmt numFmtId="13" formatCode="0%"/>
    </dxf>
    <dxf>
      <numFmt numFmtId="34" formatCode="_ &quot;₹&quot;\ * #,##0.00_ ;_ &quot;₹&quot;\ * \-#,##0.00_ ;_ &quot;₹&quot;\ * &quot;-&quot;??_ ;_ @_ "/>
    </dxf>
    <dxf>
      <numFmt numFmtId="1" formatCode="0"/>
    </dxf>
    <dxf>
      <numFmt numFmtId="177" formatCode="0.0"/>
    </dxf>
    <dxf>
      <numFmt numFmtId="1" formatCode="0"/>
    </dxf>
    <dxf>
      <numFmt numFmtId="177" formatCode="0.0"/>
    </dxf>
    <dxf>
      <numFmt numFmtId="2" formatCode="0.00"/>
    </dxf>
    <dxf>
      <numFmt numFmtId="183" formatCode="0.000"/>
    </dxf>
    <dxf>
      <numFmt numFmtId="182" formatCode="0.0000"/>
    </dxf>
    <dxf>
      <numFmt numFmtId="181" formatCode="0.00000"/>
    </dxf>
    <dxf>
      <numFmt numFmtId="180" formatCode="0.000000"/>
    </dxf>
    <dxf>
      <numFmt numFmtId="179" formatCode="0.0000000"/>
    </dxf>
    <dxf>
      <numFmt numFmtId="178" formatCode="0.00000000"/>
    </dxf>
    <dxf>
      <numFmt numFmtId="0" formatCode="General"/>
    </dxf>
    <dxf>
      <numFmt numFmtId="13" formatCode="0%"/>
    </dxf>
    <dxf>
      <numFmt numFmtId="168" formatCode="0.0%"/>
    </dxf>
    <dxf>
      <numFmt numFmtId="34" formatCode="_ &quot;₹&quot;\ * #,##0.00_ ;_ &quot;₹&quot;\ * \-#,##0.00_ ;_ &quot;₹&quot;\ * &quot;-&quot;??_ ;_ @_ "/>
    </dxf>
    <dxf>
      <numFmt numFmtId="1" formatCode="0"/>
    </dxf>
    <dxf>
      <numFmt numFmtId="177" formatCode="0.0"/>
    </dxf>
    <dxf>
      <numFmt numFmtId="0" formatCode="General"/>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0" formatCode="General"/>
    </dxf>
    <dxf>
      <numFmt numFmtId="2" formatCode="0.00"/>
    </dxf>
    <dxf>
      <numFmt numFmtId="13" formatCode="0%"/>
    </dxf>
    <dxf>
      <numFmt numFmtId="166" formatCode="_ &quot;₹&quot;\ * #,##0.0_ ;_ &quot;₹&quot;\ * \-#,##0.0_ ;_ &quot;₹&quot;\ * &quot;-&quot;??_ ;_ @_ "/>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1" formatCode="0"/>
    </dxf>
    <dxf>
      <numFmt numFmtId="177" formatCode="0.0"/>
    </dxf>
    <dxf>
      <numFmt numFmtId="14" formatCode="0.00%"/>
    </dxf>
    <dxf>
      <numFmt numFmtId="167"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0" formatCode="General"/>
    </dxf>
    <dxf>
      <numFmt numFmtId="2" formatCode="0.00"/>
    </dxf>
    <dxf>
      <numFmt numFmtId="1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11/relationships/timelineCache" Target="timelineCaches/timelineCache2.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[Sales_Profit_Dashboard.xlsx]PIVOT TABLE !PivotTable2</c:name>
    <c:fmtId val="1"/>
  </c:pivotSource>
  <c:chart>
    <c:autoTitleDeleted val="1"/>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66666666666668"/>
          <c:y val="0.14712744240303297"/>
          <c:w val="0.78555555555555556"/>
          <c:h val="0.80657626130067073"/>
        </c:manualLayout>
      </c:layout>
      <c:barChart>
        <c:barDir val="bar"/>
        <c:grouping val="clustered"/>
        <c:varyColors val="0"/>
        <c:ser>
          <c:idx val="0"/>
          <c:order val="0"/>
          <c:tx>
            <c:strRef>
              <c:f>'PIVOT TABLE '!$B$10</c:f>
              <c:strCache>
                <c:ptCount val="1"/>
                <c:pt idx="0">
                  <c:v>Total</c:v>
                </c:pt>
              </c:strCache>
            </c:strRef>
          </c:tx>
          <c:spPr>
            <a:solidFill>
              <a:schemeClr val="accent1"/>
            </a:solidFill>
            <a:ln>
              <a:noFill/>
            </a:ln>
            <a:effectLst/>
          </c:spPr>
          <c:invertIfNegative val="0"/>
          <c:cat>
            <c:strRef>
              <c:f>'PIVOT TABLE '!$A$11:$A$17</c:f>
              <c:strCache>
                <c:ptCount val="6"/>
                <c:pt idx="0">
                  <c:v>Electronics</c:v>
                </c:pt>
                <c:pt idx="1">
                  <c:v>Sports &amp; Fitness</c:v>
                </c:pt>
                <c:pt idx="2">
                  <c:v>Home &amp; Kitchen</c:v>
                </c:pt>
                <c:pt idx="3">
                  <c:v>Clothing</c:v>
                </c:pt>
                <c:pt idx="4">
                  <c:v>Beauty &amp; Personal Care</c:v>
                </c:pt>
                <c:pt idx="5">
                  <c:v>Books</c:v>
                </c:pt>
              </c:strCache>
            </c:strRef>
          </c:cat>
          <c:val>
            <c:numRef>
              <c:f>'PIVOT TABLE '!$B$11:$B$17</c:f>
              <c:numCache>
                <c:formatCode>_ "₹"\ * #,##0_ ;_ "₹"\ * \-#,##0_ ;_ "₹"\ * "-"??_ ;_ @_ </c:formatCode>
                <c:ptCount val="6"/>
                <c:pt idx="0">
                  <c:v>3329.7423214285727</c:v>
                </c:pt>
                <c:pt idx="1">
                  <c:v>1830.6555000000005</c:v>
                </c:pt>
                <c:pt idx="2">
                  <c:v>1375.4592727272723</c:v>
                </c:pt>
                <c:pt idx="3">
                  <c:v>762.51463855421673</c:v>
                </c:pt>
                <c:pt idx="4">
                  <c:v>584.36300613496962</c:v>
                </c:pt>
                <c:pt idx="5">
                  <c:v>100.25626582278483</c:v>
                </c:pt>
              </c:numCache>
            </c:numRef>
          </c:val>
          <c:extLst>
            <c:ext xmlns:c16="http://schemas.microsoft.com/office/drawing/2014/chart" uri="{C3380CC4-5D6E-409C-BE32-E72D297353CC}">
              <c16:uniqueId val="{00000000-9E68-46CC-AF65-E71DBC1B9F9E}"/>
            </c:ext>
          </c:extLst>
        </c:ser>
        <c:dLbls>
          <c:showLegendKey val="0"/>
          <c:showVal val="0"/>
          <c:showCatName val="0"/>
          <c:showSerName val="0"/>
          <c:showPercent val="0"/>
          <c:showBubbleSize val="0"/>
        </c:dLbls>
        <c:gapWidth val="182"/>
        <c:axId val="121696159"/>
        <c:axId val="121702399"/>
      </c:barChart>
      <c:catAx>
        <c:axId val="1216961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02399"/>
        <c:crosses val="autoZero"/>
        <c:auto val="1"/>
        <c:lblAlgn val="ctr"/>
        <c:lblOffset val="100"/>
        <c:noMultiLvlLbl val="0"/>
      </c:catAx>
      <c:valAx>
        <c:axId val="121702399"/>
        <c:scaling>
          <c:orientation val="minMax"/>
        </c:scaling>
        <c:delete val="0"/>
        <c:axPos val="b"/>
        <c:numFmt formatCode="_ &quot;₹&quot;\ * #,##0_ ;_ &quot;₹&quot;\ * \-#,##0_ ;_ &quot;₹&quot;\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96159"/>
        <c:crosses val="autoZero"/>
        <c:crossBetween val="between"/>
      </c:valAx>
      <c:spPr>
        <a:noFill/>
        <a:ln>
          <a:noFill/>
        </a:ln>
        <a:effectLst>
          <a:glow rad="723900">
            <a:schemeClr val="accent1">
              <a:alpha val="40000"/>
            </a:schemeClr>
          </a:glow>
          <a:softEdge rad="63500"/>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[Sales_Profit_Dashboard.xlsx]PIVOT TABLE !PivotTable6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'!$B$42:$B$43</c:f>
              <c:strCache>
                <c:ptCount val="1"/>
                <c:pt idx="0">
                  <c:v>East</c:v>
                </c:pt>
              </c:strCache>
            </c:strRef>
          </c:tx>
          <c:spPr>
            <a:solidFill>
              <a:schemeClr val="accent1"/>
            </a:solidFill>
            <a:ln>
              <a:noFill/>
            </a:ln>
            <a:effectLst/>
          </c:spPr>
          <c:invertIfNegative val="0"/>
          <c:cat>
            <c:strRef>
              <c:f>'PIVOT TABLE '!$A$44:$A$50</c:f>
              <c:strCache>
                <c:ptCount val="6"/>
                <c:pt idx="0">
                  <c:v>Beauty &amp; Personal Care</c:v>
                </c:pt>
                <c:pt idx="1">
                  <c:v>Books</c:v>
                </c:pt>
                <c:pt idx="2">
                  <c:v>Clothing</c:v>
                </c:pt>
                <c:pt idx="3">
                  <c:v>Electronics</c:v>
                </c:pt>
                <c:pt idx="4">
                  <c:v>Home &amp; Kitchen</c:v>
                </c:pt>
                <c:pt idx="5">
                  <c:v>Sports &amp; Fitness</c:v>
                </c:pt>
              </c:strCache>
            </c:strRef>
          </c:cat>
          <c:val>
            <c:numRef>
              <c:f>'PIVOT TABLE '!$B$44:$B$50</c:f>
              <c:numCache>
                <c:formatCode>0.00%</c:formatCode>
                <c:ptCount val="6"/>
                <c:pt idx="0">
                  <c:v>8.8717188932069188E-3</c:v>
                </c:pt>
                <c:pt idx="1">
                  <c:v>3.1796993145881631E-3</c:v>
                </c:pt>
                <c:pt idx="2">
                  <c:v>1.3507884871955606E-2</c:v>
                </c:pt>
                <c:pt idx="3">
                  <c:v>0.14279792010351877</c:v>
                </c:pt>
                <c:pt idx="4">
                  <c:v>2.4978134699579616E-2</c:v>
                </c:pt>
                <c:pt idx="5">
                  <c:v>3.7006725321019285E-2</c:v>
                </c:pt>
              </c:numCache>
            </c:numRef>
          </c:val>
          <c:extLst>
            <c:ext xmlns:c16="http://schemas.microsoft.com/office/drawing/2014/chart" uri="{C3380CC4-5D6E-409C-BE32-E72D297353CC}">
              <c16:uniqueId val="{00000000-079B-45E4-AF53-B1DF1618545E}"/>
            </c:ext>
          </c:extLst>
        </c:ser>
        <c:ser>
          <c:idx val="1"/>
          <c:order val="1"/>
          <c:tx>
            <c:strRef>
              <c:f>'PIVOT TABLE '!$C$42:$C$43</c:f>
              <c:strCache>
                <c:ptCount val="1"/>
                <c:pt idx="0">
                  <c:v>North</c:v>
                </c:pt>
              </c:strCache>
            </c:strRef>
          </c:tx>
          <c:spPr>
            <a:solidFill>
              <a:schemeClr val="accent2"/>
            </a:solidFill>
            <a:ln>
              <a:noFill/>
            </a:ln>
            <a:effectLst/>
          </c:spPr>
          <c:invertIfNegative val="0"/>
          <c:cat>
            <c:strRef>
              <c:f>'PIVOT TABLE '!$A$44:$A$50</c:f>
              <c:strCache>
                <c:ptCount val="6"/>
                <c:pt idx="0">
                  <c:v>Beauty &amp; Personal Care</c:v>
                </c:pt>
                <c:pt idx="1">
                  <c:v>Books</c:v>
                </c:pt>
                <c:pt idx="2">
                  <c:v>Clothing</c:v>
                </c:pt>
                <c:pt idx="3">
                  <c:v>Electronics</c:v>
                </c:pt>
                <c:pt idx="4">
                  <c:v>Home &amp; Kitchen</c:v>
                </c:pt>
                <c:pt idx="5">
                  <c:v>Sports &amp; Fitness</c:v>
                </c:pt>
              </c:strCache>
            </c:strRef>
          </c:cat>
          <c:val>
            <c:numRef>
              <c:f>'PIVOT TABLE '!$C$44:$C$50</c:f>
              <c:numCache>
                <c:formatCode>_ "₹"\ * #,##0.000_ ;_ "₹"\ * \-#,##0.000_ ;_ "₹"\ * "-"??_ ;_ @_ </c:formatCode>
                <c:ptCount val="6"/>
                <c:pt idx="0">
                  <c:v>6.8799342527649954E-3</c:v>
                </c:pt>
                <c:pt idx="1">
                  <c:v>3.3834680777736124E-3</c:v>
                </c:pt>
                <c:pt idx="2">
                  <c:v>1.1415866440796597E-2</c:v>
                </c:pt>
                <c:pt idx="3">
                  <c:v>0.20402203521333631</c:v>
                </c:pt>
                <c:pt idx="4">
                  <c:v>3.2827539000346594E-2</c:v>
                </c:pt>
                <c:pt idx="5">
                  <c:v>3.8686765209496835E-2</c:v>
                </c:pt>
              </c:numCache>
            </c:numRef>
          </c:val>
          <c:extLst>
            <c:ext xmlns:c16="http://schemas.microsoft.com/office/drawing/2014/chart" uri="{C3380CC4-5D6E-409C-BE32-E72D297353CC}">
              <c16:uniqueId val="{00000001-079B-45E4-AF53-B1DF1618545E}"/>
            </c:ext>
          </c:extLst>
        </c:ser>
        <c:ser>
          <c:idx val="2"/>
          <c:order val="2"/>
          <c:tx>
            <c:strRef>
              <c:f>'PIVOT TABLE '!$D$42:$D$43</c:f>
              <c:strCache>
                <c:ptCount val="1"/>
                <c:pt idx="0">
                  <c:v>South</c:v>
                </c:pt>
              </c:strCache>
            </c:strRef>
          </c:tx>
          <c:spPr>
            <a:solidFill>
              <a:schemeClr val="accent3"/>
            </a:solidFill>
            <a:ln>
              <a:noFill/>
            </a:ln>
            <a:effectLst/>
          </c:spPr>
          <c:invertIfNegative val="0"/>
          <c:cat>
            <c:strRef>
              <c:f>'PIVOT TABLE '!$A$44:$A$50</c:f>
              <c:strCache>
                <c:ptCount val="6"/>
                <c:pt idx="0">
                  <c:v>Beauty &amp; Personal Care</c:v>
                </c:pt>
                <c:pt idx="1">
                  <c:v>Books</c:v>
                </c:pt>
                <c:pt idx="2">
                  <c:v>Clothing</c:v>
                </c:pt>
                <c:pt idx="3">
                  <c:v>Electronics</c:v>
                </c:pt>
                <c:pt idx="4">
                  <c:v>Home &amp; Kitchen</c:v>
                </c:pt>
                <c:pt idx="5">
                  <c:v>Sports &amp; Fitness</c:v>
                </c:pt>
              </c:strCache>
            </c:strRef>
          </c:cat>
          <c:val>
            <c:numRef>
              <c:f>'PIVOT TABLE '!$D$44:$D$50</c:f>
              <c:numCache>
                <c:formatCode>_ "₹"\ * #,##0.000_ ;_ "₹"\ * \-#,##0.000_ ;_ "₹"\ * "-"??_ ;_ @_ </c:formatCode>
                <c:ptCount val="6"/>
                <c:pt idx="0">
                  <c:v>7.0422594464814572E-3</c:v>
                </c:pt>
                <c:pt idx="1">
                  <c:v>3.5064933009240989E-3</c:v>
                </c:pt>
                <c:pt idx="2">
                  <c:v>1.1874638018716067E-2</c:v>
                </c:pt>
                <c:pt idx="3">
                  <c:v>0.12761157362611725</c:v>
                </c:pt>
                <c:pt idx="4">
                  <c:v>3.0170339453328143E-2</c:v>
                </c:pt>
                <c:pt idx="5">
                  <c:v>3.3888853814471875E-2</c:v>
                </c:pt>
              </c:numCache>
            </c:numRef>
          </c:val>
          <c:extLst>
            <c:ext xmlns:c16="http://schemas.microsoft.com/office/drawing/2014/chart" uri="{C3380CC4-5D6E-409C-BE32-E72D297353CC}">
              <c16:uniqueId val="{00000002-079B-45E4-AF53-B1DF1618545E}"/>
            </c:ext>
          </c:extLst>
        </c:ser>
        <c:ser>
          <c:idx val="3"/>
          <c:order val="3"/>
          <c:tx>
            <c:strRef>
              <c:f>'PIVOT TABLE '!$E$42:$E$43</c:f>
              <c:strCache>
                <c:ptCount val="1"/>
                <c:pt idx="0">
                  <c:v>West</c:v>
                </c:pt>
              </c:strCache>
            </c:strRef>
          </c:tx>
          <c:spPr>
            <a:solidFill>
              <a:schemeClr val="accent4"/>
            </a:solidFill>
            <a:ln>
              <a:noFill/>
            </a:ln>
            <a:effectLst/>
          </c:spPr>
          <c:invertIfNegative val="0"/>
          <c:cat>
            <c:strRef>
              <c:f>'PIVOT TABLE '!$A$44:$A$50</c:f>
              <c:strCache>
                <c:ptCount val="6"/>
                <c:pt idx="0">
                  <c:v>Beauty &amp; Personal Care</c:v>
                </c:pt>
                <c:pt idx="1">
                  <c:v>Books</c:v>
                </c:pt>
                <c:pt idx="2">
                  <c:v>Clothing</c:v>
                </c:pt>
                <c:pt idx="3">
                  <c:v>Electronics</c:v>
                </c:pt>
                <c:pt idx="4">
                  <c:v>Home &amp; Kitchen</c:v>
                </c:pt>
                <c:pt idx="5">
                  <c:v>Sports &amp; Fitness</c:v>
                </c:pt>
              </c:strCache>
            </c:strRef>
          </c:cat>
          <c:val>
            <c:numRef>
              <c:f>'PIVOT TABLE '!$E$44:$E$50</c:f>
              <c:numCache>
                <c:formatCode>_ "₹"\ * #,##0.000_ ;_ "₹"\ * \-#,##0.000_ ;_ "₹"\ * "-"??_ ;_ @_ </c:formatCode>
                <c:ptCount val="6"/>
                <c:pt idx="0">
                  <c:v>4.5492539222752367E-3</c:v>
                </c:pt>
                <c:pt idx="1">
                  <c:v>1.8393866563646316E-3</c:v>
                </c:pt>
                <c:pt idx="2">
                  <c:v>1.3467987375660455E-2</c:v>
                </c:pt>
                <c:pt idx="3">
                  <c:v>0.16411031727995684</c:v>
                </c:pt>
                <c:pt idx="4">
                  <c:v>3.4166557348162256E-2</c:v>
                </c:pt>
                <c:pt idx="5">
                  <c:v>4.0214648359158466E-2</c:v>
                </c:pt>
              </c:numCache>
            </c:numRef>
          </c:val>
          <c:extLst>
            <c:ext xmlns:c16="http://schemas.microsoft.com/office/drawing/2014/chart" uri="{C3380CC4-5D6E-409C-BE32-E72D297353CC}">
              <c16:uniqueId val="{00000003-079B-45E4-AF53-B1DF1618545E}"/>
            </c:ext>
          </c:extLst>
        </c:ser>
        <c:dLbls>
          <c:showLegendKey val="0"/>
          <c:showVal val="0"/>
          <c:showCatName val="0"/>
          <c:showSerName val="0"/>
          <c:showPercent val="0"/>
          <c:showBubbleSize val="0"/>
        </c:dLbls>
        <c:gapWidth val="219"/>
        <c:overlap val="-27"/>
        <c:axId val="121701567"/>
        <c:axId val="121703647"/>
      </c:barChart>
      <c:catAx>
        <c:axId val="12170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03647"/>
        <c:crosses val="autoZero"/>
        <c:auto val="1"/>
        <c:lblAlgn val="ctr"/>
        <c:lblOffset val="100"/>
        <c:noMultiLvlLbl val="0"/>
      </c:catAx>
      <c:valAx>
        <c:axId val="1217036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0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[Sales_Profit_Dashboard.xlsx]PIVOT TABLE !PivotTable4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 '!$B$25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68-4EFA-AC78-438D03982B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68-4EFA-AC78-438D03982B1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68-4EFA-AC78-438D03982B1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A68-4EFA-AC78-438D03982B1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A68-4EFA-AC78-438D03982B1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A68-4EFA-AC78-438D03982B11}"/>
              </c:ext>
            </c:extLst>
          </c:dPt>
          <c:cat>
            <c:strRef>
              <c:f>'PIVOT TABLE '!$A$26:$A$32</c:f>
              <c:strCache>
                <c:ptCount val="6"/>
                <c:pt idx="0">
                  <c:v>Beauty &amp; Personal Care</c:v>
                </c:pt>
                <c:pt idx="1">
                  <c:v>Books</c:v>
                </c:pt>
                <c:pt idx="2">
                  <c:v>Clothing</c:v>
                </c:pt>
                <c:pt idx="3">
                  <c:v>Electronics</c:v>
                </c:pt>
                <c:pt idx="4">
                  <c:v>Home &amp; Kitchen</c:v>
                </c:pt>
                <c:pt idx="5">
                  <c:v>Sports &amp; Fitness</c:v>
                </c:pt>
              </c:strCache>
            </c:strRef>
          </c:cat>
          <c:val>
            <c:numRef>
              <c:f>'PIVOT TABLE '!$B$26:$B$32</c:f>
              <c:numCache>
                <c:formatCode>_ "₹"\ * #,##0_ ;_ "₹"\ * \-#,##0_ ;_ "₹"\ * "-"??_ ;_ @_ </c:formatCode>
                <c:ptCount val="6"/>
                <c:pt idx="0">
                  <c:v>355</c:v>
                </c:pt>
                <c:pt idx="1">
                  <c:v>327</c:v>
                </c:pt>
                <c:pt idx="2">
                  <c:v>346</c:v>
                </c:pt>
                <c:pt idx="3">
                  <c:v>333</c:v>
                </c:pt>
                <c:pt idx="4">
                  <c:v>331</c:v>
                </c:pt>
                <c:pt idx="5">
                  <c:v>336</c:v>
                </c:pt>
              </c:numCache>
            </c:numRef>
          </c:val>
          <c:extLst>
            <c:ext xmlns:c16="http://schemas.microsoft.com/office/drawing/2014/chart" uri="{C3380CC4-5D6E-409C-BE32-E72D297353CC}">
              <c16:uniqueId val="{00000000-C55F-401D-AD4F-32990C579F5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[Sales_Profit_Dashboard.xlsx]PIVOT TABLE !PivotTable4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'PIVOT TABLE '!$B$25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29-4F4D-95E9-683FC20615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29-4F4D-95E9-683FC20615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29-4F4D-95E9-683FC20615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029-4F4D-95E9-683FC20615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029-4F4D-95E9-683FC206156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029-4F4D-95E9-683FC206156D}"/>
              </c:ext>
            </c:extLst>
          </c:dPt>
          <c:cat>
            <c:strRef>
              <c:f>'PIVOT TABLE '!$A$26:$A$32</c:f>
              <c:strCache>
                <c:ptCount val="6"/>
                <c:pt idx="0">
                  <c:v>Beauty &amp; Personal Care</c:v>
                </c:pt>
                <c:pt idx="1">
                  <c:v>Books</c:v>
                </c:pt>
                <c:pt idx="2">
                  <c:v>Clothing</c:v>
                </c:pt>
                <c:pt idx="3">
                  <c:v>Electronics</c:v>
                </c:pt>
                <c:pt idx="4">
                  <c:v>Home &amp; Kitchen</c:v>
                </c:pt>
                <c:pt idx="5">
                  <c:v>Sports &amp; Fitness</c:v>
                </c:pt>
              </c:strCache>
            </c:strRef>
          </c:cat>
          <c:val>
            <c:numRef>
              <c:f>'PIVOT TABLE '!$B$26:$B$32</c:f>
              <c:numCache>
                <c:formatCode>_ "₹"\ * #,##0_ ;_ "₹"\ * \-#,##0_ ;_ "₹"\ * "-"??_ ;_ @_ </c:formatCode>
                <c:ptCount val="6"/>
                <c:pt idx="0">
                  <c:v>355</c:v>
                </c:pt>
                <c:pt idx="1">
                  <c:v>327</c:v>
                </c:pt>
                <c:pt idx="2">
                  <c:v>346</c:v>
                </c:pt>
                <c:pt idx="3">
                  <c:v>333</c:v>
                </c:pt>
                <c:pt idx="4">
                  <c:v>331</c:v>
                </c:pt>
                <c:pt idx="5">
                  <c:v>336</c:v>
                </c:pt>
              </c:numCache>
            </c:numRef>
          </c:val>
          <c:extLst>
            <c:ext xmlns:c16="http://schemas.microsoft.com/office/drawing/2014/chart" uri="{C3380CC4-5D6E-409C-BE32-E72D297353CC}">
              <c16:uniqueId val="{0000000C-0029-4F4D-95E9-683FC206156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9859208223972014"/>
          <c:y val="0.33816965587634878"/>
          <c:w val="0.28751902887139108"/>
          <c:h val="0.536019612131816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[Sales_Profit_Dashboard.xlsx]PIVOT TABLE !PivotTable39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'!$J$167</c:f>
              <c:strCache>
                <c:ptCount val="1"/>
                <c:pt idx="0">
                  <c:v>Total</c:v>
                </c:pt>
              </c:strCache>
            </c:strRef>
          </c:tx>
          <c:spPr>
            <a:solidFill>
              <a:schemeClr val="accent1"/>
            </a:solidFill>
            <a:ln>
              <a:noFill/>
            </a:ln>
            <a:effectLst/>
          </c:spPr>
          <c:invertIfNegative val="0"/>
          <c:cat>
            <c:strRef>
              <c:f>'PIVOT TABLE '!$I$168:$I$174</c:f>
              <c:strCache>
                <c:ptCount val="6"/>
                <c:pt idx="0">
                  <c:v>Beauty &amp; Personal Care</c:v>
                </c:pt>
                <c:pt idx="1">
                  <c:v>Books</c:v>
                </c:pt>
                <c:pt idx="2">
                  <c:v>Clothing</c:v>
                </c:pt>
                <c:pt idx="3">
                  <c:v>Electronics</c:v>
                </c:pt>
                <c:pt idx="4">
                  <c:v>Home &amp; Kitchen</c:v>
                </c:pt>
                <c:pt idx="5">
                  <c:v>Sports &amp; Fitness</c:v>
                </c:pt>
              </c:strCache>
            </c:strRef>
          </c:cat>
          <c:val>
            <c:numRef>
              <c:f>'PIVOT TABLE '!$J$168:$J$174</c:f>
              <c:numCache>
                <c:formatCode>_ "₹"\ * #,##0_ ;_ "₹"\ * \-#,##0_ ;_ "₹"\ * "-"??_ ;_ @_ </c:formatCode>
                <c:ptCount val="6"/>
                <c:pt idx="0">
                  <c:v>381211.4800000001</c:v>
                </c:pt>
                <c:pt idx="1">
                  <c:v>149696.01999999996</c:v>
                </c:pt>
                <c:pt idx="2">
                  <c:v>730806.65000000037</c:v>
                </c:pt>
                <c:pt idx="3">
                  <c:v>9679481.5499999989</c:v>
                </c:pt>
                <c:pt idx="4">
                  <c:v>1825692.5000000014</c:v>
                </c:pt>
                <c:pt idx="5">
                  <c:v>2241620.23</c:v>
                </c:pt>
              </c:numCache>
            </c:numRef>
          </c:val>
          <c:extLst>
            <c:ext xmlns:c16="http://schemas.microsoft.com/office/drawing/2014/chart" uri="{C3380CC4-5D6E-409C-BE32-E72D297353CC}">
              <c16:uniqueId val="{00000000-70A7-4768-99A5-B528A0087905}"/>
            </c:ext>
          </c:extLst>
        </c:ser>
        <c:dLbls>
          <c:showLegendKey val="0"/>
          <c:showVal val="0"/>
          <c:showCatName val="0"/>
          <c:showSerName val="0"/>
          <c:showPercent val="0"/>
          <c:showBubbleSize val="0"/>
        </c:dLbls>
        <c:gapWidth val="219"/>
        <c:overlap val="-27"/>
        <c:axId val="416518287"/>
        <c:axId val="416515791"/>
      </c:barChart>
      <c:catAx>
        <c:axId val="41651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515791"/>
        <c:crosses val="autoZero"/>
        <c:auto val="1"/>
        <c:lblAlgn val="ctr"/>
        <c:lblOffset val="100"/>
        <c:noMultiLvlLbl val="0"/>
      </c:catAx>
      <c:valAx>
        <c:axId val="416515791"/>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51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[Sales_Profit_Dashboard.xlsx]PIVOT TABLE !PivotTable36</c:name>
    <c:fmtId val="4"/>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w="28575" cap="rnd">
            <a:solidFill>
              <a:schemeClr val="accent1"/>
            </a:solidFill>
            <a:round/>
          </a:ln>
          <a:effectLst/>
        </c:spPr>
      </c:pivotFmt>
      <c:pivotFmt>
        <c:idx val="5"/>
      </c:pivotFmt>
      <c:pivotFmt>
        <c:idx val="6"/>
      </c:pivotFmt>
      <c:pivotFmt>
        <c:idx val="7"/>
      </c:pivotFmt>
      <c:pivotFmt>
        <c:idx val="8"/>
        <c:spPr>
          <a:solidFill>
            <a:schemeClr val="accent1"/>
          </a:solidFill>
          <a:ln>
            <a:noFill/>
          </a:ln>
          <a:effectLst/>
        </c:spPr>
        <c:marker>
          <c:symbol val="none"/>
        </c:marker>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'!$B$462</c:f>
              <c:strCache>
                <c:ptCount val="1"/>
                <c:pt idx="0">
                  <c:v>Sum of Sales</c:v>
                </c:pt>
              </c:strCache>
            </c:strRef>
          </c:tx>
          <c:spPr>
            <a:solidFill>
              <a:schemeClr val="accent1"/>
            </a:solidFill>
            <a:ln>
              <a:noFill/>
            </a:ln>
            <a:effectLst/>
          </c:spPr>
          <c:invertIfNegative val="0"/>
          <c:cat>
            <c:strRef>
              <c:f>'PIVOT TABLE '!$A$463:$A$464</c:f>
              <c:strCache>
                <c:ptCount val="1"/>
                <c:pt idx="0">
                  <c:v>East</c:v>
                </c:pt>
              </c:strCache>
            </c:strRef>
          </c:cat>
          <c:val>
            <c:numRef>
              <c:f>'PIVOT TABLE '!$B$463:$B$464</c:f>
              <c:numCache>
                <c:formatCode>_("₹"* #,##0.00_);_("₹"* \(#,##0.00\);_("₹"* "-"??_);_(@_)</c:formatCode>
                <c:ptCount val="1"/>
                <c:pt idx="0">
                  <c:v>3504132.85</c:v>
                </c:pt>
              </c:numCache>
            </c:numRef>
          </c:val>
          <c:extLst>
            <c:ext xmlns:c16="http://schemas.microsoft.com/office/drawing/2014/chart" uri="{C3380CC4-5D6E-409C-BE32-E72D297353CC}">
              <c16:uniqueId val="{00000000-B38C-4DE8-BCAB-9B18274DFC3C}"/>
            </c:ext>
          </c:extLst>
        </c:ser>
        <c:dLbls>
          <c:showLegendKey val="0"/>
          <c:showVal val="0"/>
          <c:showCatName val="0"/>
          <c:showSerName val="0"/>
          <c:showPercent val="0"/>
          <c:showBubbleSize val="0"/>
        </c:dLbls>
        <c:gapWidth val="150"/>
        <c:axId val="121690335"/>
        <c:axId val="121708639"/>
      </c:barChart>
      <c:lineChart>
        <c:grouping val="standard"/>
        <c:varyColors val="0"/>
        <c:ser>
          <c:idx val="1"/>
          <c:order val="1"/>
          <c:tx>
            <c:strRef>
              <c:f>'PIVOT TABLE '!$C$462</c:f>
              <c:strCache>
                <c:ptCount val="1"/>
                <c:pt idx="0">
                  <c:v>Average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'!$A$463:$A$464</c:f>
              <c:strCache>
                <c:ptCount val="1"/>
                <c:pt idx="0">
                  <c:v>East</c:v>
                </c:pt>
              </c:strCache>
            </c:strRef>
          </c:cat>
          <c:val>
            <c:numRef>
              <c:f>'PIVOT TABLE '!$C$463:$C$464</c:f>
              <c:numCache>
                <c:formatCode>_("₹"* #,##0.00_);_("₹"* \(#,##0.00\);_("₹"* "-"??_);_(@_)</c:formatCode>
                <c:ptCount val="1"/>
                <c:pt idx="0">
                  <c:v>1422.1327199999998</c:v>
                </c:pt>
              </c:numCache>
            </c:numRef>
          </c:val>
          <c:smooth val="0"/>
          <c:extLst>
            <c:ext xmlns:c16="http://schemas.microsoft.com/office/drawing/2014/chart" uri="{C3380CC4-5D6E-409C-BE32-E72D297353CC}">
              <c16:uniqueId val="{00000001-B38C-4DE8-BCAB-9B18274DFC3C}"/>
            </c:ext>
          </c:extLst>
        </c:ser>
        <c:dLbls>
          <c:showLegendKey val="0"/>
          <c:showVal val="0"/>
          <c:showCatName val="0"/>
          <c:showSerName val="0"/>
          <c:showPercent val="0"/>
          <c:showBubbleSize val="0"/>
        </c:dLbls>
        <c:marker val="1"/>
        <c:smooth val="0"/>
        <c:axId val="166925295"/>
        <c:axId val="166927791"/>
      </c:lineChart>
      <c:catAx>
        <c:axId val="1216903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08639"/>
        <c:crosses val="autoZero"/>
        <c:auto val="1"/>
        <c:lblAlgn val="ctr"/>
        <c:lblOffset val="100"/>
        <c:noMultiLvlLbl val="0"/>
      </c:catAx>
      <c:valAx>
        <c:axId val="121708639"/>
        <c:scaling>
          <c:orientation val="minMax"/>
        </c:scaling>
        <c:delete val="0"/>
        <c:axPos val="l"/>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90335"/>
        <c:crosses val="autoZero"/>
        <c:crossBetween val="between"/>
      </c:valAx>
      <c:valAx>
        <c:axId val="166927791"/>
        <c:scaling>
          <c:orientation val="minMax"/>
        </c:scaling>
        <c:delete val="0"/>
        <c:axPos val="r"/>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25295"/>
        <c:crosses val="max"/>
        <c:crossBetween val="between"/>
      </c:valAx>
      <c:catAx>
        <c:axId val="166925295"/>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27791"/>
        <c:crosses val="max"/>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[Sales_Profit_Dashboard.xlsx]PIVOT TABLE !PivotTable1</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quot;₹&quot;\ \ #,##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numFmt formatCode="&quot;₹&quot;\ \ #,##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 '!$A$4:$A$8</c:f>
              <c:strCache>
                <c:ptCount val="4"/>
                <c:pt idx="0">
                  <c:v>North</c:v>
                </c:pt>
                <c:pt idx="1">
                  <c:v>West</c:v>
                </c:pt>
                <c:pt idx="2">
                  <c:v>East</c:v>
                </c:pt>
                <c:pt idx="3">
                  <c:v>South</c:v>
                </c:pt>
              </c:strCache>
            </c:strRef>
          </c:cat>
          <c:val>
            <c:numRef>
              <c:f>'PIVOT TABLE '!$B$4:$B$8</c:f>
              <c:numCache>
                <c:formatCode>"₹"\ \ #,##0.0"k"</c:formatCode>
                <c:ptCount val="4"/>
                <c:pt idx="0">
                  <c:v>4521462.0000000019</c:v>
                </c:pt>
                <c:pt idx="1">
                  <c:v>3930181.7099999981</c:v>
                </c:pt>
                <c:pt idx="2">
                  <c:v>3504132.850000002</c:v>
                </c:pt>
                <c:pt idx="3">
                  <c:v>3256957.4799999991</c:v>
                </c:pt>
              </c:numCache>
            </c:numRef>
          </c:val>
          <c:extLst>
            <c:ext xmlns:c16="http://schemas.microsoft.com/office/drawing/2014/chart" uri="{C3380CC4-5D6E-409C-BE32-E72D297353CC}">
              <c16:uniqueId val="{00000000-0F53-4CD5-8E26-6836176981EA}"/>
            </c:ext>
          </c:extLst>
        </c:ser>
        <c:dLbls>
          <c:dLblPos val="outEnd"/>
          <c:showLegendKey val="0"/>
          <c:showVal val="1"/>
          <c:showCatName val="0"/>
          <c:showSerName val="0"/>
          <c:showPercent val="0"/>
          <c:showBubbleSize val="0"/>
        </c:dLbls>
        <c:gapWidth val="100"/>
        <c:overlap val="-24"/>
        <c:axId val="1620494272"/>
        <c:axId val="1620479296"/>
      </c:barChart>
      <c:catAx>
        <c:axId val="162049427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20479296"/>
        <c:crosses val="autoZero"/>
        <c:auto val="1"/>
        <c:lblAlgn val="ctr"/>
        <c:lblOffset val="100"/>
        <c:noMultiLvlLbl val="0"/>
      </c:catAx>
      <c:valAx>
        <c:axId val="1620479296"/>
        <c:scaling>
          <c:orientation val="minMax"/>
        </c:scaling>
        <c:delete val="1"/>
        <c:axPos val="l"/>
        <c:majorGridlines>
          <c:spPr>
            <a:ln w="9525" cap="flat" cmpd="sng" algn="ctr">
              <a:noFill/>
              <a:round/>
            </a:ln>
            <a:effectLst/>
          </c:spPr>
        </c:majorGridlines>
        <c:numFmt formatCode="&quot;₹&quot;\ \ #,##0.0&quot;k&quot;" sourceLinked="1"/>
        <c:majorTickMark val="out"/>
        <c:minorTickMark val="none"/>
        <c:tickLblPos val="nextTo"/>
        <c:crossAx val="16204942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[Sales_Profit_Dashboard.xlsx]PIVOT TABLE !PivotTable1</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Distribution</a:t>
            </a:r>
            <a:r>
              <a:rPr lang="en-US" baseline="0"/>
              <a:t> of Sales by Region </a:t>
            </a:r>
            <a:endParaRPr lang="en-US"/>
          </a:p>
        </c:rich>
      </c:tx>
      <c:layout>
        <c:manualLayout>
          <c:xMode val="edge"/>
          <c:yMode val="edge"/>
          <c:x val="0.22190437760376902"/>
          <c:y val="4.445239799570508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429983298401739"/>
          <c:y val="0.21067357182616459"/>
          <c:w val="0.51383371962422075"/>
          <c:h val="0.78932642817383547"/>
        </c:manualLayout>
      </c:layout>
      <c:pie3DChart>
        <c:varyColors val="1"/>
        <c:ser>
          <c:idx val="0"/>
          <c:order val="0"/>
          <c:tx>
            <c:strRef>
              <c:f>'PIVOT TABLE '!$B$3</c:f>
              <c:strCache>
                <c:ptCount val="1"/>
                <c:pt idx="0">
                  <c:v>Total</c:v>
                </c:pt>
              </c:strCache>
            </c:strRef>
          </c:tx>
          <c:dPt>
            <c:idx val="0"/>
            <c:bubble3D val="0"/>
            <c:explosion val="7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5E6C-42C8-A141-DE3FCB984371}"/>
              </c:ext>
            </c:extLst>
          </c:dPt>
          <c:dPt>
            <c:idx val="1"/>
            <c:bubble3D val="0"/>
            <c:explosion val="1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5E6C-42C8-A141-DE3FCB984371}"/>
              </c:ext>
            </c:extLst>
          </c:dPt>
          <c:dPt>
            <c:idx val="2"/>
            <c:bubble3D val="0"/>
            <c:explosion val="2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5E6C-42C8-A141-DE3FCB984371}"/>
              </c:ext>
            </c:extLst>
          </c:dPt>
          <c:dPt>
            <c:idx val="3"/>
            <c:bubble3D val="0"/>
            <c:explosion val="1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5E6C-42C8-A141-DE3FCB98437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'!$A$4:$A$8</c:f>
              <c:strCache>
                <c:ptCount val="4"/>
                <c:pt idx="0">
                  <c:v>North</c:v>
                </c:pt>
                <c:pt idx="1">
                  <c:v>West</c:v>
                </c:pt>
                <c:pt idx="2">
                  <c:v>East</c:v>
                </c:pt>
                <c:pt idx="3">
                  <c:v>South</c:v>
                </c:pt>
              </c:strCache>
            </c:strRef>
          </c:cat>
          <c:val>
            <c:numRef>
              <c:f>'PIVOT TABLE '!$B$4:$B$8</c:f>
              <c:numCache>
                <c:formatCode>"₹"\ \ #,##0.0"k"</c:formatCode>
                <c:ptCount val="4"/>
                <c:pt idx="0">
                  <c:v>4521462.0000000019</c:v>
                </c:pt>
                <c:pt idx="1">
                  <c:v>3930181.7099999981</c:v>
                </c:pt>
                <c:pt idx="2">
                  <c:v>3504132.850000002</c:v>
                </c:pt>
                <c:pt idx="3">
                  <c:v>3256957.4799999991</c:v>
                </c:pt>
              </c:numCache>
            </c:numRef>
          </c:val>
          <c:extLst>
            <c:ext xmlns:c16="http://schemas.microsoft.com/office/drawing/2014/chart" uri="{C3380CC4-5D6E-409C-BE32-E72D297353CC}">
              <c16:uniqueId val="{00000008-5E6C-42C8-A141-DE3FCB984371}"/>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[Sales_Profit_Dashboard.xlsx]PIVOT TABLE !PivotTable34</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Profit</a:t>
            </a:r>
            <a:r>
              <a:rPr lang="en-US" baseline="0"/>
              <a:t> by Region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quot;₹&quot;\ \ #,##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268842806192505E-2"/>
          <c:y val="0.17798561418131936"/>
          <c:w val="0.88012764401940347"/>
          <c:h val="0.78344297894095671"/>
        </c:manualLayout>
      </c:layout>
      <c:barChart>
        <c:barDir val="bar"/>
        <c:grouping val="clustered"/>
        <c:varyColors val="0"/>
        <c:ser>
          <c:idx val="0"/>
          <c:order val="0"/>
          <c:tx>
            <c:strRef>
              <c:f>'PIVOT TABLE '!$B$413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numFmt formatCode="&quot;₹&quot;\ \ #,##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 '!$A$414:$A$418</c:f>
              <c:strCache>
                <c:ptCount val="4"/>
                <c:pt idx="0">
                  <c:v>West</c:v>
                </c:pt>
                <c:pt idx="1">
                  <c:v>South</c:v>
                </c:pt>
                <c:pt idx="2">
                  <c:v>North</c:v>
                </c:pt>
                <c:pt idx="3">
                  <c:v>East</c:v>
                </c:pt>
              </c:strCache>
            </c:strRef>
          </c:cat>
          <c:val>
            <c:numRef>
              <c:f>'PIVOT TABLE '!$B$414:$B$418</c:f>
              <c:numCache>
                <c:formatCode>"₹"\ #,##0.0"k"</c:formatCode>
                <c:ptCount val="4"/>
                <c:pt idx="0">
                  <c:v>145398.37</c:v>
                </c:pt>
                <c:pt idx="1">
                  <c:v>106424.98000000007</c:v>
                </c:pt>
                <c:pt idx="2">
                  <c:v>176685.87999999986</c:v>
                </c:pt>
                <c:pt idx="3">
                  <c:v>186938.59000000005</c:v>
                </c:pt>
              </c:numCache>
            </c:numRef>
          </c:val>
          <c:extLst>
            <c:ext xmlns:c16="http://schemas.microsoft.com/office/drawing/2014/chart" uri="{C3380CC4-5D6E-409C-BE32-E72D297353CC}">
              <c16:uniqueId val="{00000000-ED16-4819-A990-DBC5C5AD802E}"/>
            </c:ext>
          </c:extLst>
        </c:ser>
        <c:dLbls>
          <c:dLblPos val="outEnd"/>
          <c:showLegendKey val="0"/>
          <c:showVal val="1"/>
          <c:showCatName val="0"/>
          <c:showSerName val="0"/>
          <c:showPercent val="0"/>
          <c:showBubbleSize val="0"/>
        </c:dLbls>
        <c:gapWidth val="100"/>
        <c:axId val="982990352"/>
        <c:axId val="982994512"/>
      </c:barChart>
      <c:catAx>
        <c:axId val="982990352"/>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82994512"/>
        <c:crosses val="autoZero"/>
        <c:auto val="1"/>
        <c:lblAlgn val="ctr"/>
        <c:lblOffset val="100"/>
        <c:noMultiLvlLbl val="0"/>
      </c:catAx>
      <c:valAx>
        <c:axId val="982994512"/>
        <c:scaling>
          <c:orientation val="minMax"/>
        </c:scaling>
        <c:delete val="1"/>
        <c:axPos val="b"/>
        <c:numFmt formatCode="&quot;₹&quot;\ #,##0.0&quot;k&quot;" sourceLinked="1"/>
        <c:majorTickMark val="out"/>
        <c:minorTickMark val="none"/>
        <c:tickLblPos val="nextTo"/>
        <c:crossAx val="9829903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[Sales_Profit_Dashboard.xlsx]PIVOT TABLE !PivotTable6</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Category wise- Sales Share Regions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dLbl>
          <c:idx val="0"/>
          <c:showLegendKey val="0"/>
          <c:showVal val="1"/>
          <c:showCatName val="1"/>
          <c:showSerName val="0"/>
          <c:showPercent val="0"/>
          <c:showBubbleSize val="0"/>
          <c:extLst>
            <c:ext xmlns:c15="http://schemas.microsoft.com/office/drawing/2012/chart" uri="{CE6537A1-D6FC-4f65-9D91-7224C49458BB}"/>
          </c:extLst>
        </c:dLbl>
      </c:pivotFmt>
      <c:pivotFmt>
        <c:idx val="17"/>
        <c:dLbl>
          <c:idx val="0"/>
          <c:showLegendKey val="0"/>
          <c:showVal val="1"/>
          <c:showCatName val="1"/>
          <c:showSerName val="0"/>
          <c:showPercent val="0"/>
          <c:showBubbleSize val="0"/>
          <c:extLst>
            <c:ext xmlns:c15="http://schemas.microsoft.com/office/drawing/2012/chart" uri="{CE6537A1-D6FC-4f65-9D91-7224C49458BB}"/>
          </c:extLst>
        </c:dLbl>
      </c:pivotFmt>
      <c:pivotFmt>
        <c:idx val="18"/>
        <c:dLbl>
          <c:idx val="0"/>
          <c:showLegendKey val="0"/>
          <c:showVal val="1"/>
          <c:showCatName val="1"/>
          <c:showSerName val="0"/>
          <c:showPercent val="0"/>
          <c:showBubbleSize val="0"/>
          <c:extLst>
            <c:ext xmlns:c15="http://schemas.microsoft.com/office/drawing/2012/chart" uri="{CE6537A1-D6FC-4f65-9D91-7224C49458BB}"/>
          </c:extLst>
        </c:dLbl>
      </c:pivotFmt>
      <c:pivotFmt>
        <c:idx val="19"/>
        <c:dLbl>
          <c:idx val="0"/>
          <c:showLegendKey val="0"/>
          <c:showVal val="1"/>
          <c:showCatName val="1"/>
          <c:showSerName val="0"/>
          <c:showPercent val="0"/>
          <c:showBubbleSize val="0"/>
          <c:extLst>
            <c:ext xmlns:c15="http://schemas.microsoft.com/office/drawing/2012/chart" uri="{CE6537A1-D6FC-4f65-9D91-7224C49458BB}"/>
          </c:extLst>
        </c:dLbl>
      </c:pivotFmt>
      <c:pivotFmt>
        <c:idx val="20"/>
        <c:dLbl>
          <c:idx val="0"/>
          <c:showLegendKey val="0"/>
          <c:showVal val="1"/>
          <c:showCatName val="1"/>
          <c:showSerName val="0"/>
          <c:showPercent val="0"/>
          <c:showBubbleSize val="0"/>
          <c:extLst>
            <c:ext xmlns:c15="http://schemas.microsoft.com/office/drawing/2012/chart" uri="{CE6537A1-D6FC-4f65-9D91-7224C49458BB}"/>
          </c:extLst>
        </c:dLbl>
      </c:pivotFmt>
      <c:pivotFmt>
        <c:idx val="21"/>
        <c:dLbl>
          <c:idx val="0"/>
          <c:showLegendKey val="0"/>
          <c:showVal val="1"/>
          <c:showCatName val="1"/>
          <c:showSerName val="0"/>
          <c:showPercent val="0"/>
          <c:showBubbleSize val="0"/>
          <c:extLst>
            <c:ext xmlns:c15="http://schemas.microsoft.com/office/drawing/2012/chart" uri="{CE6537A1-D6FC-4f65-9D91-7224C49458BB}"/>
          </c:extLst>
        </c:dLbl>
      </c:pivotFmt>
      <c:pivotFmt>
        <c:idx val="22"/>
        <c:dLbl>
          <c:idx val="0"/>
          <c:showLegendKey val="0"/>
          <c:showVal val="1"/>
          <c:showCatName val="1"/>
          <c:showSerName val="0"/>
          <c:showPercent val="0"/>
          <c:showBubbleSize val="0"/>
          <c:extLst>
            <c:ext xmlns:c15="http://schemas.microsoft.com/office/drawing/2012/chart" uri="{CE6537A1-D6FC-4f65-9D91-7224C49458BB}"/>
          </c:extLst>
        </c:dLbl>
      </c:pivotFmt>
      <c:pivotFmt>
        <c:idx val="23"/>
        <c:dLbl>
          <c:idx val="0"/>
          <c:showLegendKey val="0"/>
          <c:showVal val="1"/>
          <c:showCatName val="1"/>
          <c:showSerName val="0"/>
          <c:showPercent val="0"/>
          <c:showBubbleSize val="0"/>
          <c:extLst>
            <c:ext xmlns:c15="http://schemas.microsoft.com/office/drawing/2012/chart" uri="{CE6537A1-D6FC-4f65-9D91-7224C49458BB}"/>
          </c:extLst>
        </c:dLbl>
      </c:pivotFmt>
      <c:pivotFmt>
        <c:idx val="24"/>
        <c:dLbl>
          <c:idx val="0"/>
          <c:showLegendKey val="0"/>
          <c:showVal val="1"/>
          <c:showCatName val="1"/>
          <c:showSerName val="0"/>
          <c:showPercent val="0"/>
          <c:showBubbleSize val="0"/>
          <c:extLst>
            <c:ext xmlns:c15="http://schemas.microsoft.com/office/drawing/2012/chart" uri="{CE6537A1-D6FC-4f65-9D91-7224C49458BB}"/>
          </c:extLst>
        </c:dLbl>
      </c:pivotFmt>
      <c:pivotFmt>
        <c:idx val="25"/>
        <c:dLbl>
          <c:idx val="0"/>
          <c:showLegendKey val="0"/>
          <c:showVal val="1"/>
          <c:showCatName val="1"/>
          <c:showSerName val="0"/>
          <c:showPercent val="0"/>
          <c:showBubbleSize val="0"/>
          <c:extLst>
            <c:ext xmlns:c15="http://schemas.microsoft.com/office/drawing/2012/chart" uri="{CE6537A1-D6FC-4f65-9D91-7224C49458BB}"/>
          </c:extLst>
        </c:dLbl>
      </c:pivotFmt>
      <c:pivotFmt>
        <c:idx val="26"/>
        <c:dLbl>
          <c:idx val="0"/>
          <c:showLegendKey val="0"/>
          <c:showVal val="1"/>
          <c:showCatName val="1"/>
          <c:showSerName val="0"/>
          <c:showPercent val="0"/>
          <c:showBubbleSize val="0"/>
          <c:extLst>
            <c:ext xmlns:c15="http://schemas.microsoft.com/office/drawing/2012/chart" uri="{CE6537A1-D6FC-4f65-9D91-7224C49458BB}"/>
          </c:extLst>
        </c:dLbl>
      </c:pivotFmt>
      <c:pivotFmt>
        <c:idx val="27"/>
        <c:dLbl>
          <c:idx val="0"/>
          <c:showLegendKey val="0"/>
          <c:showVal val="1"/>
          <c:showCatName val="1"/>
          <c:showSerName val="0"/>
          <c:showPercent val="0"/>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 '!$B$42:$B$43</c:f>
              <c:strCache>
                <c:ptCount val="1"/>
                <c:pt idx="0">
                  <c:v>East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 '!$A$44:$A$50</c:f>
              <c:strCache>
                <c:ptCount val="6"/>
                <c:pt idx="0">
                  <c:v>Beauty &amp; Personal Care</c:v>
                </c:pt>
                <c:pt idx="1">
                  <c:v>Books</c:v>
                </c:pt>
                <c:pt idx="2">
                  <c:v>Clothing</c:v>
                </c:pt>
                <c:pt idx="3">
                  <c:v>Electronics</c:v>
                </c:pt>
                <c:pt idx="4">
                  <c:v>Home &amp; Kitchen</c:v>
                </c:pt>
                <c:pt idx="5">
                  <c:v>Sports &amp; Fitness</c:v>
                </c:pt>
              </c:strCache>
            </c:strRef>
          </c:cat>
          <c:val>
            <c:numRef>
              <c:f>'PIVOT TABLE '!$B$44:$B$50</c:f>
              <c:numCache>
                <c:formatCode>0.00%</c:formatCode>
                <c:ptCount val="6"/>
                <c:pt idx="0">
                  <c:v>8.8717188932069188E-3</c:v>
                </c:pt>
                <c:pt idx="1">
                  <c:v>3.1796993145881631E-3</c:v>
                </c:pt>
                <c:pt idx="2">
                  <c:v>1.3507884871955606E-2</c:v>
                </c:pt>
                <c:pt idx="3">
                  <c:v>0.14279792010351877</c:v>
                </c:pt>
                <c:pt idx="4">
                  <c:v>2.4978134699579616E-2</c:v>
                </c:pt>
                <c:pt idx="5">
                  <c:v>3.7006725321019285E-2</c:v>
                </c:pt>
              </c:numCache>
            </c:numRef>
          </c:val>
          <c:extLst>
            <c:ext xmlns:c16="http://schemas.microsoft.com/office/drawing/2014/chart" uri="{C3380CC4-5D6E-409C-BE32-E72D297353CC}">
              <c16:uniqueId val="{00000000-A8C8-48BF-B14B-CDA1D1293491}"/>
            </c:ext>
          </c:extLst>
        </c:ser>
        <c:ser>
          <c:idx val="1"/>
          <c:order val="1"/>
          <c:tx>
            <c:strRef>
              <c:f>'PIVOT TABLE '!$C$42:$C$43</c:f>
              <c:strCache>
                <c:ptCount val="1"/>
                <c:pt idx="0">
                  <c:v>North</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 '!$A$44:$A$50</c:f>
              <c:strCache>
                <c:ptCount val="6"/>
                <c:pt idx="0">
                  <c:v>Beauty &amp; Personal Care</c:v>
                </c:pt>
                <c:pt idx="1">
                  <c:v>Books</c:v>
                </c:pt>
                <c:pt idx="2">
                  <c:v>Clothing</c:v>
                </c:pt>
                <c:pt idx="3">
                  <c:v>Electronics</c:v>
                </c:pt>
                <c:pt idx="4">
                  <c:v>Home &amp; Kitchen</c:v>
                </c:pt>
                <c:pt idx="5">
                  <c:v>Sports &amp; Fitness</c:v>
                </c:pt>
              </c:strCache>
            </c:strRef>
          </c:cat>
          <c:val>
            <c:numRef>
              <c:f>'PIVOT TABLE '!$C$44:$C$50</c:f>
              <c:numCache>
                <c:formatCode>_ "₹"\ * #,##0.000_ ;_ "₹"\ * \-#,##0.000_ ;_ "₹"\ * "-"??_ ;_ @_ </c:formatCode>
                <c:ptCount val="6"/>
                <c:pt idx="0">
                  <c:v>6.8799342527649954E-3</c:v>
                </c:pt>
                <c:pt idx="1">
                  <c:v>3.3834680777736124E-3</c:v>
                </c:pt>
                <c:pt idx="2">
                  <c:v>1.1415866440796597E-2</c:v>
                </c:pt>
                <c:pt idx="3">
                  <c:v>0.20402203521333631</c:v>
                </c:pt>
                <c:pt idx="4">
                  <c:v>3.2827539000346594E-2</c:v>
                </c:pt>
                <c:pt idx="5">
                  <c:v>3.8686765209496835E-2</c:v>
                </c:pt>
              </c:numCache>
            </c:numRef>
          </c:val>
          <c:extLst>
            <c:ext xmlns:c16="http://schemas.microsoft.com/office/drawing/2014/chart" uri="{C3380CC4-5D6E-409C-BE32-E72D297353CC}">
              <c16:uniqueId val="{00000001-A8C8-48BF-B14B-CDA1D1293491}"/>
            </c:ext>
          </c:extLst>
        </c:ser>
        <c:ser>
          <c:idx val="2"/>
          <c:order val="2"/>
          <c:tx>
            <c:strRef>
              <c:f>'PIVOT TABLE '!$D$42:$D$43</c:f>
              <c:strCache>
                <c:ptCount val="1"/>
                <c:pt idx="0">
                  <c:v>South</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 '!$A$44:$A$50</c:f>
              <c:strCache>
                <c:ptCount val="6"/>
                <c:pt idx="0">
                  <c:v>Beauty &amp; Personal Care</c:v>
                </c:pt>
                <c:pt idx="1">
                  <c:v>Books</c:v>
                </c:pt>
                <c:pt idx="2">
                  <c:v>Clothing</c:v>
                </c:pt>
                <c:pt idx="3">
                  <c:v>Electronics</c:v>
                </c:pt>
                <c:pt idx="4">
                  <c:v>Home &amp; Kitchen</c:v>
                </c:pt>
                <c:pt idx="5">
                  <c:v>Sports &amp; Fitness</c:v>
                </c:pt>
              </c:strCache>
            </c:strRef>
          </c:cat>
          <c:val>
            <c:numRef>
              <c:f>'PIVOT TABLE '!$D$44:$D$50</c:f>
              <c:numCache>
                <c:formatCode>_ "₹"\ * #,##0.000_ ;_ "₹"\ * \-#,##0.000_ ;_ "₹"\ * "-"??_ ;_ @_ </c:formatCode>
                <c:ptCount val="6"/>
                <c:pt idx="0">
                  <c:v>7.0422594464814572E-3</c:v>
                </c:pt>
                <c:pt idx="1">
                  <c:v>3.5064933009240989E-3</c:v>
                </c:pt>
                <c:pt idx="2">
                  <c:v>1.1874638018716067E-2</c:v>
                </c:pt>
                <c:pt idx="3">
                  <c:v>0.12761157362611725</c:v>
                </c:pt>
                <c:pt idx="4">
                  <c:v>3.0170339453328143E-2</c:v>
                </c:pt>
                <c:pt idx="5">
                  <c:v>3.3888853814471875E-2</c:v>
                </c:pt>
              </c:numCache>
            </c:numRef>
          </c:val>
          <c:extLst>
            <c:ext xmlns:c16="http://schemas.microsoft.com/office/drawing/2014/chart" uri="{C3380CC4-5D6E-409C-BE32-E72D297353CC}">
              <c16:uniqueId val="{00000002-A8C8-48BF-B14B-CDA1D1293491}"/>
            </c:ext>
          </c:extLst>
        </c:ser>
        <c:ser>
          <c:idx val="3"/>
          <c:order val="3"/>
          <c:tx>
            <c:strRef>
              <c:f>'PIVOT TABLE '!$E$42:$E$43</c:f>
              <c:strCache>
                <c:ptCount val="1"/>
                <c:pt idx="0">
                  <c:v>West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 '!$A$44:$A$50</c:f>
              <c:strCache>
                <c:ptCount val="6"/>
                <c:pt idx="0">
                  <c:v>Beauty &amp; Personal Care</c:v>
                </c:pt>
                <c:pt idx="1">
                  <c:v>Books</c:v>
                </c:pt>
                <c:pt idx="2">
                  <c:v>Clothing</c:v>
                </c:pt>
                <c:pt idx="3">
                  <c:v>Electronics</c:v>
                </c:pt>
                <c:pt idx="4">
                  <c:v>Home &amp; Kitchen</c:v>
                </c:pt>
                <c:pt idx="5">
                  <c:v>Sports &amp; Fitness</c:v>
                </c:pt>
              </c:strCache>
            </c:strRef>
          </c:cat>
          <c:val>
            <c:numRef>
              <c:f>'PIVOT TABLE '!$E$44:$E$50</c:f>
              <c:numCache>
                <c:formatCode>_ "₹"\ * #,##0.000_ ;_ "₹"\ * \-#,##0.000_ ;_ "₹"\ * "-"??_ ;_ @_ </c:formatCode>
                <c:ptCount val="6"/>
                <c:pt idx="0">
                  <c:v>4.5492539222752367E-3</c:v>
                </c:pt>
                <c:pt idx="1">
                  <c:v>1.8393866563646316E-3</c:v>
                </c:pt>
                <c:pt idx="2">
                  <c:v>1.3467987375660455E-2</c:v>
                </c:pt>
                <c:pt idx="3">
                  <c:v>0.16411031727995684</c:v>
                </c:pt>
                <c:pt idx="4">
                  <c:v>3.4166557348162256E-2</c:v>
                </c:pt>
                <c:pt idx="5">
                  <c:v>4.0214648359158466E-2</c:v>
                </c:pt>
              </c:numCache>
            </c:numRef>
          </c:val>
          <c:extLst>
            <c:ext xmlns:c16="http://schemas.microsoft.com/office/drawing/2014/chart" uri="{C3380CC4-5D6E-409C-BE32-E72D297353CC}">
              <c16:uniqueId val="{00000003-A8C8-48BF-B14B-CDA1D1293491}"/>
            </c:ext>
          </c:extLst>
        </c:ser>
        <c:dLbls>
          <c:dLblPos val="ctr"/>
          <c:showLegendKey val="0"/>
          <c:showVal val="1"/>
          <c:showCatName val="0"/>
          <c:showSerName val="0"/>
          <c:showPercent val="0"/>
          <c:showBubbleSize val="0"/>
        </c:dLbls>
        <c:gapWidth val="150"/>
        <c:overlap val="100"/>
        <c:axId val="121701567"/>
        <c:axId val="121703647"/>
      </c:barChart>
      <c:catAx>
        <c:axId val="12170156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1703647"/>
        <c:crosses val="autoZero"/>
        <c:auto val="1"/>
        <c:lblAlgn val="ctr"/>
        <c:lblOffset val="100"/>
        <c:noMultiLvlLbl val="0"/>
      </c:catAx>
      <c:valAx>
        <c:axId val="121703647"/>
        <c:scaling>
          <c:orientation val="minMax"/>
        </c:scaling>
        <c:delete val="1"/>
        <c:axPos val="l"/>
        <c:numFmt formatCode="0%" sourceLinked="1"/>
        <c:majorTickMark val="out"/>
        <c:minorTickMark val="none"/>
        <c:tickLblPos val="nextTo"/>
        <c:crossAx val="1217015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plotArea>
      <cx:plotAreaRegion>
        <cx:series layoutId="waterfall" uniqueId="{282FCEEF-3C1E-43E8-9970-7D20ED208F30}">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
    <cx:title pos="t" align="ctr" overlay="0"/>
    <cx:plotArea>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plotArea>
      <cx:plotAreaRegion>
        <cx:series layoutId="regionMap" uniqueId="{00000000-9B31-49CB-831E-F56296B3C1DE}">
          <cx:tx>
            <cx:txData>
              <cx:f>_xlchart.v5.4</cx:f>
              <cx:v>Sum of Sales</cx:v>
            </cx:txData>
          </cx:tx>
          <cx:dataId val="0"/>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plotAreaRegion>
    </cx:plotArea>
    <cx:legend pos="r" align="min"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title pos="t" align="ctr" overlay="0">
      <cx:tx>
        <cx:txData>
          <cx:v>Sales by State </cx:v>
        </cx:txData>
      </cx:tx>
      <cx:txPr>
        <a:bodyPr spcFirstLastPara="1" vertOverflow="ellipsis" horzOverflow="overflow" wrap="square" lIns="0" tIns="0" rIns="0" bIns="0" anchor="ctr" anchorCtr="1"/>
        <a:lstStyle/>
        <a:p>
          <a:pPr algn="ctr" rtl="0">
            <a:defRPr lang="en-US" sz="1600" b="1" i="0" u="none" strike="noStrike" kern="1200" baseline="0">
              <a:solidFill>
                <a:srgbClr val="1F497D"/>
              </a:solidFill>
              <a:latin typeface="+mn-lt"/>
              <a:ea typeface="+mn-ea"/>
              <a:cs typeface="+mn-cs"/>
            </a:defRPr>
          </a:pPr>
          <a:r>
            <a:rPr lang="en-US" sz="1600" b="1" i="0" u="none" strike="noStrike" kern="1200" baseline="0">
              <a:solidFill>
                <a:srgbClr val="1F497D"/>
              </a:solidFill>
              <a:latin typeface="+mn-lt"/>
              <a:ea typeface="+mn-ea"/>
              <a:cs typeface="+mn-cs"/>
            </a:rPr>
            <a:t>Sales by State </a:t>
          </a:r>
        </a:p>
      </cx:txPr>
      <cx:extLst>
        <cx:ext uri="ext:featex">
          <cx:featureExtension feature="mp" drop="onModelChange">
            <cx:offset top="0.12731517851352692" left="0.1041666567325592"/>
          </cx:featureExtension>
        </cx:ext>
      </cx:extLst>
    </cx:title>
    <cx:plotArea>
      <cx:plotAreaRegion>
        <cx:series layoutId="regionMap" uniqueId="{00000000-ACD3-4A69-BC80-697EA65DF019}">
          <cx:tx>
            <cx:txData>
              <cx:f/>
              <cx:v>sales</cx:v>
            </cx:txData>
          </cx:tx>
          <cx:dataId val="0"/>
          <cx:layoutPr>
            <cx:regionLabelLayout val="none"/>
            <cx:geography cultureLanguage="en-US" cultureRegion="IN" attribution="Powered by Bing">
              <cx:geoCache provider="{E9337A44-BEBE-4D9F-B70C-5C5E7DAFC167}">
                <cx:binary>1Htpc902tu1fSfnzpQKAAAF0dbrqgYdn0GANljx9YcmSTAIECZIgOP36t+UptlpJp+vmVT0rcSVH
PCBBLOy9114L/ufd/I87+3Db/zLXtvH/uJt/e1EOQ/uPX3/1d+VDfeuPan3XO+8+Dkd3rv7Vffyo
7x5+ve9vJ90UvxKE6a935W0/PMwv/vVPuFvx4E7d3e2gXXMZHvrl6sEHO/g/ufbspV9u72vdbLQf
en034N9enNz2ze1wW92++OWhGfSwXC/tw28vfvjai19+fXqzf3vwLxbmNoR7GIvpEceIEkoJ+vSD
X/xiXVN8ucyTI5xwiVkcy08/8ddHv7ytYfhfmtGn+dze3/cP3sM7ffrvD0N/eAG48n9e/HLnQjM8
rlwBi/jbi0Nzr+GttXfp5wupe5z94eWn1/31xzX/1z+f/AIW4MlvvoPl6Wr9p0v/hspFaMzth6/r
8r+HJEZHghIhOSU/YsGOKGaUx/ILFuLrMz9j8Z/n8TwQX8c9QeFC/VQoKA0R+HVB/vcgEHYE+14w
2PnPxYWAy0gmCZWA0edY/AzCf5zG8xh8GfYEAnX1U0GwC+a2vx2+LsjfAAI5SiRJMETCcyBwfMQk
RwnG7HNySr4++jMWf2E+z6PxbeATPHbHPxUemwdb6q9L8jegIY4SCnUAJcmzaPAjAIJyiJln0fiP
s3keiy/DniCxOf2pkNjf9stt8zeWbSKPsBRYUvZjiUiOYooIRVR8huhJRPyFeTyPwreBT3DY/1wZ
6uShv7V/IwwYHVEqBeecPsWBIkESir+EypMq8Z/n8TwMX8c9QeHk54qGs1so1be+HPq/Ewp5RBlB
Imby2ewERBYJGRP6OTlJCJzv6/ZfnNPzsPww+Ak2Z/ufKlOd32tf/o2wEHTEcIwoBVw+//wQKIIe
AdVlNEZfUHsCy3+ezvOIfB33BIzznytdXd2aWz+Ut83Xvfo3FPHkiAnKkgR/oVSQmb7v92LoPSSU
ePmliD/B4y/N6HlIvhv6BJWrn4tWXd/W2v7y8vY+/H2wYHyEcIIREtDUfY+HOKKII4IY//qwz9z2
r03ieSS+H/sEimtoqH+i1vv6wd42xd/KrDA/Au6UMImfICGPEJIQHOxLBXnSff+lqfwBHr+/xVM4
dj8VHDfDACraRX97/+DLr/v1b8lZksQM+rzPlR3hH2JEQIlJkpgR8bxG9Zdn9Tw6T4Y/Qejm4qdC
6M2DH35RDxAz9m/EB4oGY+hRmPoRGH4kOZaQ157nXH9xMs/D8sPgJ6C8Uf9fg/J8gv1e0f3hG/+l
okvI0WMsgKD7pCeRR3ESx5SQL1TrSW/4RWL942k8j8OXYT/M+P+xXvvHWu43pXsDMnn2SSL/Ts79
86ufXg+U+ydD/0xp/7xWh/vfXnAKJJeAJEhgjREhcQz1+psQ/3jLH7qN09v72+pbhvzDGzwA+/vt
BeS3mIgkTnAiQX9hEnCdII7hqeSIxRj0GAFCQIwJkLXG9UP524uYHyEOUgyKKeYyERwueRc+XYL9
EXNBMQItJ2ag2HwzLS6cXQrXfFunL59/aUJ94XQzeJgMg7rXfv7e47wjgimnHMEf+P3d7RU4IvA1
/D/UDq7C1VDu7cTrbYDJJ8q0UyFT0dbdqGLZrCc8asQuxL0/RgPjx46IMqgxGczLqV2jQTViYfWG
z7Z/zaI8vPRSLK9bU0uaNlo07bav6soqPXXyqm6Nv+QVonPKTS2QivnqdKfaooj6tB1xnvkY5U55
05HiwyjGqD2MztEzT1h8bGc83Y750nxoy4r5rKem3bm66Wu1Mi2L1I4+QftpSZL3/VIVTsVOzstu
QQNCilg7dgfvojxKu6WkZhNabLpjIxJ9ObecFalZ++6a8VC/CoLPm6QKY57OS5+8I0tVX8wzXqJ0
Hkk1pr1Zrd2SpSsTFbMSvevMUsVKxlGvU1kN/Gpu9OgUM/F4Z1g0H0tT02MciuKKRazJOqHJK8JM
eIPynl3UUVlf8bpKdtFA5Z7adt2NaG6yPEp4fjqyJN4sjnVZXCTzhiRTJLZj6OugChLKOznNgGNk
fSkzS5IxqLqa1pM2SuKPUz7Or1BXrA96qutR5UXbvVtJRc9lWAzOSm/yPq2pKW44teOsQqiHi7KV
6OVizDwpObcrU6FYxl1ldTErU4zTDcdJ9LqTurQqmTi6EQGXi5JJt1SZjiy6EElJPhg8dbt+FV2K
yVAVakaFv6ibJHLKtU3Ns7rN5YmJq+HUNGXfqS7umz03nfYHWneyVxVuhvc1raJ+w2jwD0Wdz9ds
dNOkPB1yrMQQiZTnQZy5tk98CvFh7WaQlOyqznh5zmSwXTYspplTJkdaqiWyTp9NK5+1qpfO0cyM
TRRva7ryh8bEOd2UtmN52pqmXbOkIxankayNUwPr2/crteVbRFqnklrPzXnNZjYqiJrFw2LYetqz
hochhYWdQ6pprWH9xgDzjOFB80azpbxiuOx6WP2keFv7OP+oTcuX496S/KHKk2EvTBfwXWtHVKuy
T/C4i+t8hS01s8FteR+X7mK0BJ8GWTa5yq0Vh3Ka/F1IyjmL+jY0G6Rr+OyJj05xpF2VjSHI99St
q7kYyjEJis45O5hpqW+6oaD3C1v1u7mocqF6mfN20+japhg5tjUoqmhKcTMd2pKXTpUm4UjpCEyW
DWk6K1LkqgGnoyzCdpFoaVW5LuJBjn1CNpWXOBPcMqPGeeCXKOT+MCajH5Wtw/wqstJ/kD3zb4wp
0Us6r+uWBT+4TV3OiVBtL8fLKKL+zdQzpno2uZN1xd12tOAwZLMwbaL0mI9ZTeSgVeRKmpG2sbAW
tSu0Ws3YvllqX500uGJllpjEx8rk1B2aoZiJwnm8Kga7clIWTa5UJRuZGg1PssS78U6udu4UNoHL
dFjW4cxWdrlK5FqKrctdm2eWLfOuKyK2w61FB95WU6MIwPiul9V6P0S+SDIyoOUM1UN0FnhZnEnP
qlIRR/nVVLf61ThGoVZ2TPABTcm6pz7vr7SYxnNfkGRQZGqiTQEe61vnSp6N61RufZ7n10OAlJPG
dbFuTTXZRTHZ6iwaUGjSlQrzvtGTOze2Z5nvCqmMnOdDyPv1PiyxE+lSlg7vqsrFXCXjAtiHqi1j
Raeifde6tnrHcUGmYxnj2KVs5r2CHD7cADrzqNBS4PO4nnw62qFbjiM2T15Nwsdy54Rxm1xHoUqR
j6cW9qpxHyyLk+uBBtiEHQqSqGLqzHvsaPuWddMkVdf1zioS6MC2NFlJmbrKVI0aeL/qHWlR+9ob
bKorIlw9ACQxJJ0C0W4TRw0iJ6VZ0LQZYfnXjOshmlXSLuO8J3aK6aFHi4/P267tz4pV51pNjVyq
DS+IfNl33H6Yy6L8WEa927Qe6euC9N4qaWMoN9xWYme63JSpLRzP8gW3bVo0XO9pg0KxiVw3H9Ox
m0sVL7k9DtOYrCkbbe1T6wb3Ehky+g0ufLEZRT5fTG0Xr5toiardWJfogIc8bEYeLE3nGrN528Wx
OY17HLGUuCHeozYud+N83od5LVQJZx9a1ftxPV1M22ahrhumUEdRlXZJbT7wrmoyZOOTadZTUMYG
GOVghpet4/5NbMV0PETAONJiGVipfIVGo9yE9KYYuDuGsGHuTV0tnVF08HueiN3g7ZqoBdt3VvTy
ZEhq4A9VJ6kqG2mPy3jCBYRL31VwQiJnSEHaaSAPsWjX46tYzJcEO6kEGtd7C9UACrUerm1jxUmx
ujld6lyktPHDVZOH8SOF4rOLiyE+jmVyy/sp2axB2v06xcWeDN7fxDOL96JiHELXWqsGgelDp2U+
ps6O8iJgHG8rO4U5Xbloj3E+1Fmy6LDPJV47FWvd95tJm/l0jbvhtCkc2sgxr84sg0SemanpWoXn
wi0pFTgKakhwXqXlGOGdN4s0atVddVjhFMQVMdQez7DVToUYzMkqNT0JZRCd0m3wbyXss41njbhL
lpw0Kmlod05rK66aGvG9GYYGp7TNc0XmiNxL2DCb3OPmsjOyUp1dNc3qqqB7xIb2BjVI76YA8DvZ
lW/rsuK1mki1eqWTAinMDX/ZVDK5w3pgKOvl5NKkH9r3Qy9Zug7dcN0R7+/mArcXyZDMZ01vFpFO
lSleeuZ5Fjte7iaGtFeRbeMBOBfh7+s1Nkvqgp1vEqppr9hUFw952ZXndR7Fpya0vE5tDVGopnbA
UEBdCO9GuvCMj514FdF4RJAA8uIdR1XZqUKP8/soKaP3VaC9VmYw8+tWmmRXipafg/IZH8t5qj7C
fPsLXvjlg1yDdmptFw/0TPe2VWMvhmu5THWnjJ+Y2cSFFkQlbFkuRdGLLV/Y9HqlSbLlXVPfgocN
VKP11VSowefToPJ+aPqUdHGxA6imU1wUA2QHnfeXuo+TDuhLUhk1rBYyFXHzYLM2lL0+5iYKbheG
vs8PbT+gYiPknNitxSV+6duWviF8GgtFPKqWrR7rEau5F0WsNOnFiS74WqeOzn7YjJPsy1SsaI3T
QLpEpvky9e+mQfdm0+sSuVSvNj/TCYndhg1JeYAdItfUET3cFiWHojYxga+qkcP6exHopIrahD2B
g1SvKS27q7azvlI99ENXZqFyM+KxSCOC+In2TJzjOaAHjTthFeyChmRQdxtIgCTYSVWiZ68WG3SZ
6QUogZp6XzZZoddWb3AELcyFYPWYb6eR0T23xLlNVdFWQHlrRLxxUCrGM6J9mytAoSjSWTq+S/Ag
rqwlbbdZ5SRW5aSlH00dSbZpZIRvJIuWWy0idC+EDWHvphUqedX3QwCyappGdaGb29Qa02YW9Pm0
pLb4SAqnr4a1NekiW6y3wDHXWlGhs5W7/jKIxm963kOKarxItguwNrOhMyaZLIWAPBUqoZLE57dy
6sgVaoBiZMB6ZZT2tWQ2m9tkroBf2+ijDfUKHC30B7nCi6t17Nw2yps563kMYUKhLm9gZwecdQa5
21h2LbkwY2GzfExmBZ/mC4dsu6RN6yaiUNvnpYJdRdK87sqL3Fb0EFeiOK9QXfdqSTzH0AGRblV9
PIkx5XDL4sZoCnPCfdy+bicu/KaTuf3orCZXfWyXCqhOlWxs3oVNZKJ1w8MMIPdztB/ifsiSPG6L
NEfAANVS9GhTNMOQhRXBXmx1xRRDRXtb2qg/qeaVAMHH67qPBiw/LpTnyy6Paj6fYaOj6zEa4S6i
9OxQcFFBSwY9J9kNcciPHezpu8VKIM0rxcUVVO62UDHR8kTkrjm0A6paNc8u3qHIh3TsuNlyqCFZ
0ZMuS0hZzaoxfD1QUxoVIR4y6aJRhcWHM5g0PaYxQW+BB3SZrGSzrbCOIwga6xSf8jVXcuxsanih
N7OpwpWjIfKqjq3zKu9sp5oO6UuOVpvhVpaFYkKyE1QToFOsyjOS5B+Ap8odgpjMoJP3GejQxXvS
18OHBSEWq0jjfFMspHpfeMcvixX7WUF3YI4nF9ndGtV1uhTDfD3P+cVSDvgdRra8ZLqHuCQzb1Se
sPlYdOO0p60tTpKkrWDdE30sSivLdOaa7VyFyJuuXznkKO2SR4Zex9sSIV0oTmlbq6EwwGYrjT4w
SDF7DbQ0qyBw/NnU2ACbKIbmuB9r4K6RNsOmiFd7cC4AiUa1dteuAMYLFC65SJKZvqKriw888dGF
8yzOpsT5RRUmGa+7qC0mBZmXHJJCiIzPY3kNoZe/KxOyQmrLQwvpsdCQXcIotbINql82S1sex3mZ
XIyUJL3qhFi0ihNUnbEoDvtSl/FLTdZZqLwx5ry3XbFsGKqjTYkCP+R1sfhNHszwaiFW3wQbxgsZ
FewOYhdf4LKXD50v/baXJq9VQpYyUtFE8RsyOGD1uDIH1iXmjCM0zAqNoGXUA+QrHQIZVBC1Odgm
lJvQ1PUuF12tKhnNB9Im7Sa3dD6JLLxsxeEmKo+aDihr4ZKM2Ti86aHUlfC0zm4RwnBPNNhXObHi
eihDVKkltMSrtpySbVeZNi1jMp85F2GcPjIXllJeNte4xmab0NFcOEo+cmgGoSp3lfebOUTD6UJn
/vqxfGZjVYnmys50ep1AUQYs186JbRjdcF/ReUn/B5pz2+ZNbPfxwoDR2H6eNygxLqh1Kdn5CiUl
bKw0yKefFLMv4t4PUtSda5deF+WXI7TfPv7r2tXw76fDnb//8vEE7u+fdg/u0THzT7/0+Jxv3/r9
gOijVPfttOgTKfDzMd4/0An/9OJfExFJEmOwNv5YNrwI9wFOJPf98lW8f5Tgvgz7IhaSIwJiIJwA
QkCgYhqDXPdFLGRHjz47Z2CkMPL5yhe1ECdHcMQO3BOCWSIFeTx4+kUthBMuggg4YBfHhHAWS/zf
qIXyB62QAyF6VB6TR6uAIvhf8Au+1wxZKxcU2tBlkWDvchA3vIAWtygCT+00NqrqwrwtJD9tm/ju
u5V6RqgEdfs7mfLfHw0i6vePJgbzqkIe0jetQPYqgbaUZt23Vf5h6rAAR+EbLs88jTy+ye+qKKih
wHFwLOA4CkpAiiePqul36qjJR5MMtFm2o6nocdHlQyoNNMWzINV28e1bVBizA6S7zNogMslHnlYt
YhuQVd6OrukUXYvXpq4uloGfMTOncbBMDSh/03U5gaUClUI7c4Ljxmd/Pnv8zPQlGKCCga7NCGyo
RyC/mz5UHc+TsaMZqwa359A9euWGCLIpcG9QBVaWTu0iNmsVzxcyGP2K5uyczB2CUiO8QqF7W60J
iKICvYtoc1rGdEdc9aHgIIqUtT5Az2DUDB2+IvVkQAheV2jhxS5xZdOlYukORUfQNbTiwHdy2++h
xm0WYL58vVwcSk2ps5GVV5SZfbFMH6DDVNVUgkRVb+Z8HNJCV5e8rK5au7yi3f3S06CgiX8/63nd
8SVZNkNc8zPXS2cUbquDFCEcSJk0O+8Tu2ECXmZu4te0x/GOWFJcJxW6bCILhUbCk+NutKekmJdb
Uw9856SZdzMcejohxs6Kdg0CJQTLfkNx0OdLzydF7dTtEa+KLeP5vAHJWx7TaMqhyatWRaXxF9OY
0/1a++Z48E68B7OBgzSg3bkAAq2CbIugGpCo5yqXGZtAJG3ZOj60YUDHIz6ZSDm9nNBalAoJ77eg
jbotg3J53AR4BAIdgY4N3kYNb++1NvcaasthkkKmhHQTKCX4MvJtr9xSHueVfadFedxReVOMCVEc
oGF+6ffYw4DW5Ho/1bnZgDDRnWFBsjm4a24B7z/fkAQS0A/hBE4GfcweFLYkSfij0/H9fpSFw107
LDgL1jYFKKCra9K2G8oqbUTR7hJIXddaE2i9oQ6+L3OGwRgAqqNy3blTweObmYzpOubNyRSCeJjB
eXgVV8juPMt9mkiPrsrYVW98F8IZn3P08dMr/N3l6uzr3zR5Wq++L1f/+pmKGoXa8R3a/+aFfT2q
9buZRj4P+VLQ+BEUDEBfJHC4Dw5gfHO/BIazMfAPg7+/IgWiCSSpLwUNPFAGhU5KkJDB6IKq9ntB
g/MdmMC5TApHnD7Zaf9NQeMJFOgfdmYCjhgWQB9jAUdv4VjVjztTj0knqBvWbWtdF6WuZrZR0ACh
s5L3JfRrXm7BKsozWbOyzoit81OcNHabgxx8UhmwUPIZ1flmjLUEbfMxvgkZeFAin3i/Iw3rz2as
S66kG6BhGUCXAnNs6o9BcezerprZTSDOHnRsy31dmX4f6nHIRh/KfdcVzbkGB29QXTGMcsNiGsCu
qchYQojTMClC+745EGHpiZ51LlVoqc/yEEdnk+mrTqEKuJmq5Rw95B5MIyUmLD9o2YNijybwTZjR
xy5IVIJttEKwgTL7xsPx2DnDqISkVbUcOrde96BZkhj0zdE05rUZ7LtpRfpM9/oadGQQOIt6PDCT
9LdJspYnlHTlFQgpyasEHJMzpA3ZzWPkM8R1qfTSlIdxiSJFR3SA0mS3YN2smYSly3AB2mrU9blC
TTld9Q0Z0kqKM+Fme0KKQaeFr+5J0YKxkkBbnwtmDg2o7hnj4/J+Xl1yWjJQTtSKosamOqlGq4yI
4+PKabOmHsWrhq6jLWflLBMn0VDoVsGiUagOFj9mn3kytapLLm5wsaKLZPHzlRytlQfRaGDpyBTd
OdTPpVeiJv4WFLKpO0yjCydJAXqxQm7Kz52oHVZ1J8ZR1T1QiJOpxTZOK2hzqIo4DRa0q0Je+LEg
cZoMnIpts9Dm2M/eQJtta2j/oc0AKTbUWgPv9/GGgDL3spCevNRjZN5HYyDb3E/NrjGRe3yl0V6B
yi9u2sGzjA1iPq18PZ4PmEPHC14K9Gh0FuzRUOjHVwI7aJtrHZM3gU3Ja9fifkrbqceXksnkPCF0
rDesz90+MG734O9ObQqK4/JmQODVdkybSw+NWRZHZdFlRi9LcTrBK43bYLHL2GL7PIW6p69KHsR+
AB94n1TFvK1ZDRZTXo1u37XcnVlih20xviK9Dimbxi2Pytdu6maQ/5fxZRhgjbHn5t0MotYFc/2Y
MlCylOib82HGL+NlwZsKZPHLqrPxmekiWDKQ8dMe192ZBNuh3lnGBojqZQZJs+/1pJYmAjbT9qRf
syBNv6ZRO7MNjdD0wE3+bohtf2q6uDkDI3s+FO1kjDLQY++Dr+mpW2Z33KweyJAgOD833gPVah6L
VdBRn2/JhDVPe6T5ZaOtf42rvhzSubT8DHyx/u1MaFNvcN8OleLCJSeszcN8mATx4dB0RaIzNMZi
eU+hA49fedFNj+qxu7eg5AJLwx1oAVAlxwV0TNwFjd9ERQkGT2k4w4+OregyF9MK3cVJnsvTxkF7
uWFLrAEKV0k1BS7qY9AKdJwiPC43pUB4w8JQv8FkpvVxCVb9TqOqMqAXs2C2OkCaVpCiUZVxFuwb
redpF2QPHgUk+9ehk6CbxoN/GU2ouQHjiYkUPCxeKWFndM9BlN75ObdnPRDL7VhG+XYcTJ6oZlnj
c4fn5UMDHfs7aEltyvuB7WeIIsiwbbEVZmivJ00wGCpoBd8ttbRz98U4uEvQdfMHE/llX/Gw3vfT
PGYNQXBjnGtcZDZeKTC9Imb+WkeYgsvAvSjSoXRivlp8x8eMez8/isPw1UNhYrwBOTifMm0am+xz
AuRtU4eptmdgYrfkUIc41Bkjj+YKror12gRKahWXdAAHjSa03HhB+2RHWFOMqfCyOpuZi6C8FPG2
xSX0TmvAVJE2d7tFujVF0gGUtji3vranvehBl6XzPKuIFquKofAosNva45AYkPmDTKbdMs/1WVH1
0w3TXXE6OJmUaqWkfR96eJ20ryAklJ/mloHQ18UnRRSJddvxOpZpbVtu9lXRTHWa63q5AyfNLGqs
Fvmh7CJcq9ZoaPZaXq6xWjrUSGBta0wyVC8LOCKa0UVVpbNXnnNPstoaXp7kSVzqTRICWI4dJHh9
zh3qT6a6nNzBrC09TC2h05mlbtrDGUKIAh/VJ26xQE1zoLUqMvOcgh5hFZrK4YrPYdh626Pbbliv
6AhNqsqrPLxCc0WhF4189Cit9nxM62bk0J6sVXLbFwuym6qdkzd9YEGmNGlNsa+GdQQRt0vAyfIl
skCwnRlStEzLQ4ElumF4mF4N8lH8d+MyvILDQ/KkgxhWYMvQK+w7+ibysj6BhE2PPYODDcz0xWaa
lrMVdOs5BTt+UoJVp6tcj8kAAas8tut9bR01UHDossAUfcJe6rIGB6MGKAswP+t+2fp+ipodtTT+
CMRpCds2EvVyGReovGFlPD7eHYmTCtdJsdOxi2/MbCDfgSM+tMedk0Of9XU3nEdgJeYqGol801pZ
73Fj6P9l70ua49aVZn8RI0gABMhts9nUZFuy5HGDsH1scAIJzsOv/7J9bsRV41pWPKzf1uFAQ0VU
oVCVldkeKuZ39Cr0AuBcpCfxoOE58rUDCspVeByqAR+6YGWp3w2o3I1pNA/1l05W/ru+9MYN1dGJ
Awszbw1yCMBEjr6opy+dbvS7iezesVUSrQulwuFx2Jn37fzaJgm6+qJIgYRBoPF1zpK8Jl2XkJrp
d/iruxuZe/5wxY2/rEmVA/Mx1LlPj1otCiU/QKnEVbuNDSAKExWoInqo5Ce5nyNg8z3whqQc9YIn
gG/QCmlGjqZHGJh/8LwJq0Q0c3sz5B01CVu6H4AS11em28WPic17kUSrjLxkJF44JLiZ9tS0XYnM
ofTVl1Cq/i70y/mTV9R7g573UL6Zg/ZDtHQhOdRDoYIUo0bhre6HMi31XE7HXDf/YHxb4iqT/ee9
adtrdETxzWd0vt+ulUHZMwcc4CDbakVMKfGYrXmE3lBTTd19Wew7XF6iOXuoaZn3h7Lrpi/FVPUo
gvhxEJxUSJbPW65JfaiqoFSozTB167FIfZhWnv/EZDuFS89L3aIu3e4BukYNjt6qNDosY286RGWA
RA7dwHiCogiPj5KUOpmnSX6cux79FJr3Wc9HckC/yCSe3vYU1cEMCelVhQbCcOjLsjmxjZsk8nfA
FKp1bG9otLSHRTcs9QeBEFjoCvCNIq5ShjJ3gnsf8aTCqbxREZVXo6rNXTur5amT0ZLUo9RHGrD1
S9zxuk6G3u++q15HRbLnOf2x6jYBuCmVVbt/ySX/OaM7d/C4r64GSdBWizaOLjfbovAQTy1vMyn1
5h+qIt+zbcvJuQ7S+58DhtvoU961HoBkKw3v6cyjcxO37FPa13V3pUZTB4clRhMOgbapvhsVrl2y
I0AcF9YCr8Gj3JsT3sbmqsd1kQDrtF+vRW3et3GxfJQjkCPhUpMFfWJkmV7e3M5EoO6MIkq+XXmD
jtZD3zRUHxoSL09RVTdopnbYNBWV/i4CJAmkqFh41HPl/eyZh6YPBtiw9hr1D4hAPkkmn5oOh6Ad
7n2zxHfMD5R3RJUxvq/Kpn/EBENYZZJXaJEuW9N95YUoqsMAmFNwRIK2fYmi1fyYlIB3iLHp4ls4
HhLDosnbbzGfhqcwmOndhF7KvV6D4UNEo8qk1EwtLjvFN9yzaguTufDijKEteoXTA4AKIA3TP2zc
4uKq3dHTQZVRK4RaYZpD2S8oRfgbbeZjOYzegfgEmMRaM3XwBqE+ExQUkg1HpTvUU40POLZ0HBOk
bMG3OBqmm4Av6s1CNNAiW3ROwWbgedB03kmP5IBKChAGkFl7vA13m+T9jiLYZrzDTqQfZ3nD9E8E
ifJbuSziTR35JbB2a9eksBlarHNUrMk8Bnl1XItGymMg248DL+dbOCtLimLxktnQ4CagxXqIaAX8
QzgtKaJqc8wF8JfHQsSSHQJe0jxR+4aunKrjf1Rs4Np9zqvv6xSWd70JgYIRRbTqwzz0wXc6Fag3
+rlKCq8iJ5TrgmRhjUlbst72Es27bq/KNKZ5/Y6We3PfCl6SZPYUT+KhRmAxbXmNpmyfhAiS3+Ia
Ba02msKvRZXv39e60zVqLJt6s8VN+d2Qtjnua60eJx1Un4nU/mOxKLz/BO6Qt7MxcskImqNjggLP
WCVwLJ+cRj9sErTvUDaDW6SrXsbo4HtXS4SkoGkeN3SPyCHH3/0AsHmE3rah8xEgKnG7qabWyYTm
+cchp/nVuiO5OPa8Rm+ob4b8H04NksVWRmkXCp01Pd1RedNNfqvGeLoH+iK/rvEBnmJgax4RL7o7
RfFnIDMKKqQuQCSOCy7cbd/mJ7J4NxwfVOL59UWUiLZrzNRj1+4fnpU//lA7PgNnn5eOAZQFw0Mo
OHDaseDnssbzWldEYVhqxj2r+qB8MMs+vmU5D457E4gbdAdFFjRrfvz7j16ieFEexyA9PeOC4wjW
D6hVmSdF0O5SVGu25Kq+Q5Yx3iu5tEfql+i57f10wpOMXw/L0v38+y//T2H+9wg/ATgIVfMYfYHL
P9eE4SJQP9yzLjIUqY5g82FtuXfbbxQVyzqWzT+/f/H/l+L+HbX58Zw65XmjCPikZ5/mfwpxFwMA
58bS7///bxUuRhUuCATg4hRlWCDKcSj/bSvxCJPoIYbR/TBGTcenKJBdgNAxSsUxT/gf4Pp/2kpo
OKECh3KeIGgxcHSe/l+qcOfezX895j8QdJT7rKrwIFdkPUXMr/LgGIfvhhmDhn/r4ry07vnfn3U/
YoKq3lCvIgWWrcYTaN+2Tznh679sNP+S0fzB0V9a3vK1UnjVtqyNSIFY7vv3gGn66kmh6PRvyfnF
9S89679msUqSsd6raAIIOI1JOOwPJtCxf8hpiZc86qkoBzHA0+TJzVbn+ugzWw349uWiGkBoB1RI
AXOh6tw84NHXv69/GRX/+8dY4QEwFN+U8cYBlTHsTRAsTD8ufunzuy0amzXzxI4mP2DY5v3ff/CF
rxNZ4ddEvpnF+QfnOhbrTZtPckoYiqlF+vcfOC/0h1N7nvh8brGo2Bd/nGiYLtUglhu+UUkSUw0k
vwOWtyRvgqkC1rUbumYTB79mQCmjjDn3V3///Rf+QG5ZtAb+LNhWFE96zyyZGpHAHhSN1D9/Xz44
r/Onv88aDAFiD724YQvPb7QZrTwSZYIGv0xFuwU5h1pmDVyN8O7aRQVVitp1GzUHT0VEv9I2euEv
jM6O8exM1mrTcx0usDDebAnt218iXAo380VW0GkRCJCbjGGKpFB89tutPch5Kt/93Xovbf3878+3
HpUFcOUAWVeAk/70Acy9a7yimhK35a3Q03pLaLo8DNN6FPNHTFewwyp34RbYIivw9PUC9DDpwnRs
vX1P/dWb+yM3bSsct28FGwJ8abTVJYIN8FUA4p0BRKh1wFOPf7fPC6GTW76p4xlwTzxgMl0PncRI
je6mj7TbYx/45jwWD5ifovz67z/20re2HJGUm9e0g/Gypt0Evx/AzDB+1OPo/XJaX1iRbIj8CTWQ
MMr2NtDpphiKymtRIZ//+/rnE/8HRxeWseK2YvVENpm1KAPqE6r9Zk7rZQuKY1fkLHb8GSueUIYE
fjGeyMYRAKqrhreNnyIZxmiGKcZldfNrYQWNrp07SVcdZQbA56eq3/J3DXL0JzdbWVFjqdYoWJBC
ZcRbC6BKgeO8U2xru09VGFXrK6Z64USdWWmeR48crfAqEibK+ppt157e/XexCvr68Pc/4qXl6eXy
rSw2H8bh2SQ6AmhbubIvfG/NKxfjS8tb4WOaRSsiTDtmc40vMNZKp0BRCuO4eyt4TAVttnoro4wN
c4VvsEWrdxj8rdgdf8DyZ6D4QnR3YP0YrSKAToOwWVK07Pbl3sn+9stQkI0OgbfyLB7y4iPguMP9
Wqhuc9s/txxNbD3Iv8BEkRnKRjR2drrGh7zSi+/mYtxysbXYOhQBe5FVg0LlftBkjg5odfSv3c3n
yPOHiMQtL9tUqXygiaKsk5vpj6WiQmA4cp/5jcLzvkpXRbbmc60j+nVq1NK8Eslfynm45Xj1qqRo
9wWhsAYe8ib3BglA+17FyBqjcSnRf2/Gcp+TIudGnwB2VuLI2ULbx9kf+eRoYMtBUZ0CbL7yZKaF
Nx1psYgMM3P0lfNxBiX+0bzk0v/DeVyLjnRxRv29b9M9AM4qDeW+owYeU7G9U4NufxmPLfqK7VET
vl0BK2zeEBFF5eeoImH4ylZeCBW/URnP0qSoKUPg2guWGSEHdL33+KdZ16Vzi6OhdXNOQc+jslQs
U2aNvoS4ft4Ovqfd4tzviepnm8dQCLrsnoizsMZLJpmCSO+Hqei34ZVj8IIbnLljnl8DQ9FtIcFU
SDZuiyTX6Bz2/vfVBHCJnGDu49AUE4DcZOdG/TB6H4ij3SwHpwCA4yujT8kjieFigyEbDUwy8xxD
bGg5+M52QER5L9BzC4OUAw943HnrHZ3ia2h5MZex35Qd4IHDpMZsb0R54L0pXwkSL5zZ0HJOsP/k
3opcMitJoRMyBuVRbi1xPFSWb+JZ0kZB0e4Zwbvx4OfBp0ax1zK9l7ZuXZ0BNw1DZXfPlNjGN9OG
ebG07vKgdDw31s2Zl9NoaL/tmSd1fE3mtTpKGrHM6bPaYFZq5hDACKw+SsKShaKpO+igcNs7Ozvh
M2+OGrJHGJDC3kfMmFZ0mg+8Eswt0NksC5ia7v1FnqujQVGfhrhRCaah9tPfLXN2mz/cl8zy10aG
OYagvSVbvPAn3oXVfGJjhVnKcRHc8S+wXJbOYm7KCrV/dHv79/HYlmnA2srtvXxGBz63/tggV1l2
gBdaFvJrzNRMx3JrHMMNs1w2GHUto72cMjWc4XE18MJmrR23bnksblKJhisds64tZZD0IRkSka/V
a6X9F5yWWU6LdvNQeTvqMKYp1ptqVOPdJGXt6FSWy6I+6s0BhmRO/aSW4ZEuflS/C3vQNridG2rd
wRiwmjuFuSXkbNMOaHz4ZYu35pWD/4JtzlMSz49NWIKMIIrQ/e3qPDjQYUL7Oo4nx61b9y81JTr2
ZTTD8t6XniABa+JVHv/usy9t3fLZCs0Yzxv4f7YOkCQ5hGcqBrfVbW8NMVQV5cGcxguKxoCEk8Pg
bpjz3/QsVmIq3Mh6wOpriXmzKcIkBuekdNy75a05C6MWVHpYnREMbjMgQjEP6xbmKbG2jpHXqFBY
HOPCQAAKAOXyiq9uucG5ifLcMOtIhcQ45QyopVwwBTmDT8JgZsTto1q+qnNDmpb6U9rMwJ0sefFz
KvfAzerE8tNhxxx4my8T5skBSOUs/OLNQIM47dweo/Fl2FPM142pAGDsOKzFt2ECXM1tcctNu+E8
7YupvLTkcX7gJVBZU0+E4+qWnwpaego4Bmw9noI3AOPSeylU7daisgciVuADG7RTp2wPoFxx2JuI
h0cPXDb/GbN7sYn0Qpg5k4k9P5GkW2M9GTVnGwNH0sGjJszMQsYfbra3fBVDnKRvV42bVQ412I2G
AICxcnNLhn+PkzyLM1MvDQWQZMrGmH4NSvIwMPrgtnHbU4etBF7RG7Mi994iPH7ZiHCsrxHLT+Oi
0CJoxJiVSx4dpzx8aivZugWBwPLTpgKm+DzilHkF8O8AV94J0vluh/3MnXlxWnzwsgxr5KUgzPmn
2DALG+pbJ4MHlpdGwJB4uK+3DMsO4I0gA0izQL6i3EJvYPnprMIpr1g/ZiAx9D+zEXHgMBR74JZp
BNaFOnU18WvZTplu+/3YruJ7XoCwwM02lpPKqOjEXPRTFm79BkCcwdar1zqvL0SAM3jg+TeNG1By
GE+PGSjn4jfRoII3tSfNJ7etk8vVyUjGHro3OI45JppB/fNZRIXjJ7V8dGeYxZN5NWV9ONNDEK1f
6i66d9u35aNsYetSUKztlcMTm7Y3IRveOC3tWx6KaQ8Jfho1pr70vMQr5V2x+471Ad/y0AAUQ2L3
iJeCxPCd3sSXqN9qt9DiWy6KkY0Z0Rw2qfPmoVXtSercLZL7lncys2x0RdE7bff5ql/ILQvdblDf
ckyzhSNvDd52XKs7DAYBHibd+qC+5ZZFPa75NGHTRn/Y5wm0EB/dTojlkhij781e4SOyvPrer/FD
tHO3OOVb/jh1c7VuCx8zoJKDp30bSVZOdDi6bdzySNrItSmLeMwGD71+0lRXsYw/u61teSR4nYYQ
GldeGgKYDO4O/o3F1O1iA+XGZZjCwe464B7HLC/AqxIOzDvGmNV2chxMMV6uHg2zGFk4e2nHH8EU
FgGJ4WITFlseCe6xjnX5NmZTBLTFQgcQT3X8yW1xyycXNMi3rZFDGuTmasFA27Gj4PlwW9xyy36a
/MqrsXhUA0o9mR8Fw4Cc29qWX4I3YfO7KAb3p6b3IdZep9l1bcs1g6XAlPwaoGxMqH83RarE2PTK
Ha1ieWc+sLlGPouDEmLUZPfLDzXPnRIsjMVeHsI1Bq8TuL3GbKXbWGL2SvL2SJABFU6hhcWWg5pF
Mwm80ZgpZr55y/wJzYcPTl/UBmvNlPo9p7ALBoTCYzdVYHqJiHDKI1AQurRMn88C9egVG1/X+6n1
b1aQ/Lidxcjy0FILH1wsdMiiir6pATgEu6Ugbha3AVCT6oG5nOYx8039wDwQE/W5U5KCeXzLJqHX
bIrqISMEwziLDvokYOUvt89pOeiGjsIQ6XEAAoB/UcN6U4jw0W1pyz/XfpRVRLw+A+MgGDpb0Z0a
DYIvt9Ut/2xBawZqWKyOFtJ+bPb2raAYkXVb3HLQM6VPlQdLn7XAp5y5jnrvFmRY23u35S33XDyK
qAhu3IzM2z9gYHtYh+i709I2AmnExZMbEDplFVfvV2OuQTbmdg5t8NEso4qXNeszcKOB9WNR5OjV
zQ+3fVvOWexMDv1aDVmcm6Ri21sdvZZ2nv3kf1suzIYZLR7qwbPBYH+uZxAm9Zi5eNNxsx6Wkkxb
4rZ/y0nDqlmbqg37rC7o1zrHjKGpntyWtlx0BSSxBqc0iAlAQXp1HjQ5BDNza9VB6/IyuiiSg66M
EmwcfFp69hpQ3ZmPbju3fDRfO1P1ICTIMGfLlnSn08bAO1NjMsftByw/ZblS0RTVOJKr91Bo8lR0
bm9x8K1f2qUuwg4PZiwtt/hh9It3knKnNtRvFo3nz/w62jD3Mm99RqUmmReR8SFQS+EExWU2oJKI
2Q/nAidR+vt22Pouo8wR0cVswJJepTeuA2YLm9n4B38Wpw4DR25R1wYrjeALmlgMkyM83s4bua3D
1c2HbJhSvKh6KjvVZ0IqjEft220MPk7HfVsOGuOU+Cup+ixo53sadHe9Pzru2/LOvkB3AtzxXTbw
6FMR9A911Tk94hi3nFOCIqBSpuwzDsscYqDED92mI7d4aMOFRgoahxLctujb5F3Sk+ph8uIPTl5v
w+l9H++sJvS7TBVUl4cFhYp08j3uZhgbilSWMWBj5Qa/iTedRBPn7+vC392+qA1FmsuQS4DhumyP
QQ0aDOwtblK37jmzYUgTtB/acG1xXFqMfVWItVs15IconiunGg46/JdhEfhZP1ZrA9urfBFJg+IZ
pnRZ59ZHYDbcaKtAFdVrabLIG6oumRejf02xWBwfjTbgKNDEZ0vsmazPwTmpFS8PsFDo9gqwAUdC
rCvYsX2TTTUnic8B/KZ4/brFmdDy2LHGFMlAG5MNTKjxEEAT4lu1rY1yXN+6TcHEzEG9AduAWqY9
FKP+sNaB250X2tcpaRcNTgPYvYnM1Tb4wwnj7fmVU0Sw8UYznelm6sVkpQz3T34r1RVkczGK6ra8
9SqliJMh2fBZ40Z2wwl0OJQdQtmCVdrtB6zsF824qm3MDMvTYbnu++hD3tVutXlwl1y6LKbRQUUN
1oAMnFSPhRoelmp8dNu3lfUq0FvTulZdJpr4a9MuwSGHLqWjUaxrtUPJPIK0gsloX0ZfMYm8Xk2V
nh2PjHWzjr63grQmbDN4anzggL4cwOYvUjfDkEub95uHHn2N1cN5mw4gs7ipmtdQTL9T0D88aGyY
UVesgNdFpM1m8DHJA7rFGCIHRddaJUrHqrrSZlswEz7U13SgHs/GPO/CJ4y4ie4ecntD/xgLza8q
9CXbKyg0MA6FhALFeAW+Hn8BA03Z9R+WjngT5vy7pvrW5rnXJRyJJTlC3SCfUmGmFTSzAapkCUeX
GtIUnReVGRFrzq5lC4kSyJCgmvDZA7J3OwUgtBRHKlasudQF6NtUF+fg5KrJPp00Iet+HGZNm68r
SI/l/ci4V34fgrDrsmgn8Zz1K/7eI8a0w7T0Z1ATNRirrhK+CTVdqaBV8R2PwMGR+N0OqZ4IY+Qz
6IivTTH0e+a3EDo6gQBoZse5Zxh8n8XCUMKu85klILLQLfLZON6SqC+gqKHboge5YyPL+Lqmwciy
HdZekpBW8/UO6ue3fTP77Mj8ed6hStLL/bEOyla4ZSE2+gWMNaB52uM2i1FsO4SkvMt3kCQ4HU8b
/OLjTwtZZEBcBBUUfWz9pczAJFo4Zn/2hLleoRJSTbTNeJiD80ODI0LR2C0u2DA1yuSGLLg2Wc71
T8mqRykKR6NbgR709utag5s/CyeZDdDEAKulW2XzrFb2/NEXzoDVBCh/ZSSOV7BMxxW0SSCv4PZB
rRjf+4ryCh3HTBHQTK1V94uXvVvGSq0gX2I2d26ED40EcF2/xfgXOEHoqN3iMLWifM4L6N0QPmSq
r9gdQ/KNuYJp/OJmFyvK91rN82zmNgPx/vSxj7odnYgmGh3NbmU1QVMEu0fxUbnS4ZqSoZn2g/DC
qjs67d+Geo26W6SXj22GRtWvxbCb0BvcRi4gCn15Is0EHsFuE22W+zFwZOMAUbiExiX55bZ368TP
YbdTsByarO7iPTqItqPosYNb3g2LAWr5yz9ggVZU4K/goqU+iNgmsZRpURSOCYKN9zIQGSh3hSsc
PZo+AaKMJwa8eJmbcaxjv/iYZQ6LpsUkal3fcDqD2JF3PXfD94Nq/NI2Q9lAE6xtEcmaSdzkDfW/
4k27uZWCbbSXWHUHwmTkqyhlrdeSySkT/igcD731DiG0nuLiHODLQqtkWDp1AKuhdvNZG/IV9JBI
ARdxm3lbQ3/mQJv/3DUU9NyuVhv0BR74BoIWlclCLmbvGsoVQeLLZQlf6R2+MPjGbOAX5kGl5HXU
ZHsd0P7JVJAtTKRoiDkuUEt8wkTYW8+La0ihlF0VJwpqevyUe2HYun19Gx+GQVruTyXyzwVyihHI
xUoQUOi8MfXJyTlsgBgH1SveLOfIJMdA3upCgTth67bRd/xI1pW2+1OPkVTSZJQGRQVS9HJhkMJi
s2OOEljuzSFUAwpc/MA2gVY236dPQO//cLOO5dr1qDdwKe1NZkC5lIAV8xfoPV03Ti7jhuqgcTJA
jCpDbnuqSXVDyOBWAvg94/gMIqo9zwfd/IhRFzYPSQWO+gMGSd67GcW6ice87lUAQYNMTn2UTjmU
bTQ4Nd3Oi40TW0TRNg2+aFaAZ/q7Lhf6o/dw3Tjt3QaKDSVrWtYEOkO68lbM+y30UV7hcjmftz88
FW2cmFrRZ+R9C4L9leQ3Qd1H0OtqF7dLzIaKLRUvorkCPS90jVoFtuaouwFZcJM7mt1yUxZDPohD
YSYTYVMmXRxdVSzY3O4BGzLWm0YpGRdNFrN8uRt6zcCgV84Pf/+m5y3+yfCWk8YLqI+XAPd7vbMO
WbM/KCi9+kHbphwPo8YpxwKH2aW7gp5DSjP20CLqxXc81N9okX/6+1/w56MD+ZDLpcHxjdYgxrEw
IdjKElyT0/xzodDTc1veMhDouJsml02dxSaSqO4M0bXm4eTkUhRkVxevrZaU4JPusXmpcrzxA2IO
4HxwCwdnhZaL1WO+iy0cUOwIljHYILmK5m8CGbNydnosggPg8geieZEGaUSdBTlUM6CR6d+3GJ5y
ipUoQF+uvnHoCntLB1XSQIEGu/QD/y0hJpycds9sYCNYPCXEtVWb+RMdoSkbjuU53oMf+ehydkCK
efkHaK8YOqhPIWCG5BEyHO8V2P7dlrYsD0qSMfJ77B0l3/BY9Ogvgea5cTz0luUbREivAlQ1DUQv
34NL3zw2eeg2Ygeqt0uz1EUTTD4Z6nNiED0YTcNsLMLIyejUBjhCPFz7Up8dNkeprO2iB/BaF46G
sZ5yE9iBt2krasBWwCsGNlYDyes6budX1v9drPjfeAyZoEvbcBCgrpxPiGZ8CkFbHEAk66qo5q6H
NlAILn6IwHOI7YX12t55G14Fd2DX7vQXMDey0wQ5l2vBvA3EtDuEGlB09KrqHTRbV5LortvAcKty
uX9vJdRJT43BnZuAInT9QTVjt7Mpx5utyOcTldB/iHeQVEAtRhdsf8oDzLc8VGciiScIsJvhiAcb
A621Bp9/7gP5+bY0OYT+8L+H4g0lEsrGLmed2oA44Bo7ch5ITpUMyrczVPbuSAE62Fds/sIFYkPi
Wg8KtKiOVhlZ/Z+cdA9xoO7ddm5de3hrbtrjS5XRHTjbmrBrAim7V/Z9PnN/OirWxTdNHiSZh7XK
OgMyjet+gGToEVS0OaRm8UJQ16ATrfMvbn+JdQ0GXRxCFg4kvx6031MGHejTDqXAD26rk8tTn29y
whuRQqO4BZuzJ/dPY0les9PZ2H+ykxWFA1/9JrWuMg5F0Uegqtm7KFfrt7UMvFeKgy/9hBWNfRkL
RUxXpcNKoXqZj13fFRCLRbH9ulgw0fbKo/qFT26j5gBPUNPMawUp1LGqTlO4gj269Oq00HtEEiC6
3apKYH+9/CJnjVct+xpGa4gHoBv/hEDkmFMJq+LmgXAEhYCmyiAq+3Wky2mkwfu/n6QXvoQNohMU
WE4Q4cbHSnVivI7rITy1UYy+P1dz7TuhC6g4//qzJ2KItXlRCA80HWD6w6y7+hx3wm20FeS3l6sP
W9wVxdaXmRDheALmGuT0eeD2WKE2kG4uUIqkUJfNChaxk5k3DaXMwukdR4XlyD4HBXItanBZz8WN
D4Js1nJHm1tuvFG/HtoRS+87S2XcnXRBnN6H1MbQgc29LSCcIY9VQW5F6N1C2vyVIP3C5WITcwFW
6AucFXk05dLdQL5lzLyQPv79sL+0uOWkEoLk80Y9HHYIvqfG9OywQRri5La65aV+XPUQV/eKTEBI
+Rao10+QQ3Ujh6U2hk5xoUDPPxVZDSnV0xSPzZXf1W5QVGrD6LxtRd9Q90VWlGV3NHl054n+NS3E
l6xuueda+t000DY+jpoV64mQ5YOBAIpbUZFy66bNoa3RQScvPjZz97aq26zsW7dL3IbSbdDtUVoh
karHqTg0U+Mnex2+EnlfMovlnzPQ+Tsm/OBEwwzR9LhPDAejsNtZtC7YHSQ9wzyaAlNLGuTvCuIZ
UFKHJLnb+jaWLoZ8AxNVGGPQqt0JZIRkf9uuVeE2B0ltNN3EG9lA8yc+6mVH2/MBKIBXdv67VPuH
9MbG0jEok4CcSuVZsHl0vvULHWLASIFs8wlMSW1WhDHUVkQ36zDlqK4tSTdW4QwKS8O3Uwd1ti7d
TaDINy1CMkN3mBbCqQJPmXVP1vFIdwp5yrQQa38K5QjSX69y66tRm+GHLgQKABX0sClEf4CyGJ8w
Urm+YtcXjrNN8DNBeUWC02pINxHsB2iR9AlkYp+cjvNZVfcif6gm7kEkdEh3DYqGZdx++X3uNj9E
bdiNtxvdSUhCpwqI+WO85HniE4xvuW3d9kRAn2UxI5gKQ74Pmj7qnLiNVFIbMZFrvNhbw6a08Hv/
sBoiUykBnXHauQ0JXb0uAAnMeC4n9aOCKKIfTSnUfofm6PYD1mlvimLkUZCL4wrtDdyWWzk1SQ7R
5dcUi184kzYotB+rCTqlZkqnNjepjthyNDFzantQGxOK90NIDdWQSDyT0C1hB9oAJpzA/hBjujzw
RsxskCMWnycwfdcD66AkCKVDN8NbVw/LIVVWTM2UQsvZJBRaRRBwr7+7LW4d+LaKIOVEJWQzSQ6F
S8/DNOHKfLcky0aEKgCffebRMW0B8zq0Va/e1oKOH532bjPQQUrR0IB3Y+rFaMGxaldpsYVuhrEJ
6Ip+CVqgAsYUjKbkvtFr9Z37u3DLyW006B7mSzdOCJFNwyGzWU2gJ2LyNQqeF56JNstXHVQdqVoa
nbisw/k+h/6lPm2c1P2J9Qa3oJP9bTCVnKlkQYmAFpLIO84kVEkDIWS3Y0/PVYJnr1CTSzGOHKsr
yEAfIyCpkrjd/nHbuhXMqhJfAHjGPjWr2ZJCd+Vx0NIt1thgqtgwf9Rh2KdzNc0QcYrIAQzDu1uw
sRVrNo3nxt4vfTrme30KhurDHpSh4ycll0bfc832FrWe1ES5gLbhWiaApLrB/tHVv1y9EZsYRSRN
6mmvT6Bi2Byo2dyYmzABfbm6ZKyGcBA3aTF2ebKHkEeNQC3vdv3ZGLAp2FBy7lV0gmLb/rT7Zv1Y
QsvR7fa2UWCSLkswAaychn2AeZRzjDckeK1G+MLNSqy3LhRuUK7e4vjEPJTOZ+9HWzdPTo5ko78q
aJlKCFyIE3i+ZH2YdwD8xnwdPrstb/lpULe03f0+PoVGN8CwllDmu+NB3URuvmrTfZkhmpA4mfgU
D9B7jclN7Ttefjb4C0Rc3bgRLK2hK72f8RCNGyCR2sgvCCgUMhddfNrP1EfVErCE5dHiFnmJ5aal
X+fjvrXsCBauq6Y39z53YxOkNuzLDwEqolqzIwf8oWy8O9YUD//H2Zctx45b2f5KRz03fUGCmCLa
fiCZqUzN0pF0hhfGGVQkwQkkQILg1/fKsu+99mmX3VFR9aIjKZVJgsDea6/hDy2V/0H5go1QPdMh
LRKOILar1HTQXde+X17/2Ov/BEcNJkai5TKKY4qI3Us+rE2vL1K9f+cneHkY/0mn+zOfC1l1JpW+
5MfeRPbkynXt760gVXWATlWU56rffX3n9vJ/0Vz/1h38sz/60yErQlIOq546dAqbH7Y87pouMQdk
Ie6kO9bl1nbZNPbIk8kGOuFs33SYB3EeO8Pr/ojGWrd91u3tGs51GaLyK6UetLuBgNLaZlSH3fsM
DY+ZblseS3O32tLH/LxFqZjabN67KmoyQlVDq2x2wqApGjluXcbUNFZfzVz3S5ylrWj6M91b2D0X
AQ29qIowrX5GHjjV2wdYyPm1yViLDB7YfIdmQ/5erJaIpxnS4pOpPcWm5fCm74FZuj6DrqBb8Aat
GIdXk/SoHbXQ8tfe9PjneZnSteCg+9JswRVq83X1SXO1B0SDzuiXqR2+jgBtxZJtc0xinzHJq/rz
0KSt+t5XC5J4IOTcR8TGw+1Lh08Xkt7J7H3YEFUJ68Lc+8bGbSEgnCwPO0Y2ySFKys3mpcRKU/nK
fWB9kaw7IzexXLk6NmzZe+jCpjGcYOM/5IKbld9psjSyIA31NK8Fn1CFyV4WsocBbrYhBXsawN/U
Y10VTqHFEjkQkq0a8c6mYRYZ8jAFdCNrc1WmAmUj9hLeIx8S0oS6yWaJyi5TcdT1xdIPyZfJ9bzw
Yd8Q/trsATnM88ja+31OJH+rp0SIe+pKSm/3spZIve92aFTSo/JLDEeEnSNT9w4KDYn7ZZrG4M1V
ZFfVciRwNUY11pNxb0+B081/m2TfjFU+rgCDzwIKJPUSb2KzIe+GFElilUREub0EXA4+goplB2kL
DjpiWZdDwL1EbCyio9WenHk7yDpreauOvK2HfOSb72c0sCGy66WyXO0NWWx78DP2qHs+Vot+2bak
+i0wd0yWo0bwNdLUqzpN4BJbh64AxlHLz9LRYbxR2w4QqGZk2ebMGwcwP1OSiQQVlHOIIMwVo1Q/
xa2c+REGK+12MyDfHKg2cfBW2zFmdmsF7RbycZEE29ccJmukW74lXQTNzLyK1HwQrI9lUZeW6W/A
QWSHh6ZPx7Wwmo32vl1IxV9Az5r6ow4CMiE1kpFd7yxK2tu49u3+oxm6cYFiZo7G9H7CQ1sfBlOH
5Gz6WE8f66iXJMH21lacZaJPlbknzrXxt1SXpQxZWam+uvJ+Xdk1mZt0/KQ9R3gpPO8J1OiVp7GC
tTPj3ffS+aqtsnZq5TdG+WQ+Ql2OkEpMl3B2QSoxhjuw+qzEL49R+n3U87qf+8SE8NLuJI5zU+NJ
+q5TLPNT1Sb7vVOkOpJkkvpBzovgByIbUz9Pbb3tjx4aiSTCJBq+AbK4OBFfkhvdMPzaYnJT32g+
0XA1jrorr6YEAfI3y6REkuuUpslnyZNU/Yh9W95DQh5dY4y0f4c6pM+0Z1VRwSAoQpbpLv01Qh7W
/QTzIPoJeaGpKkwHpeOTCHU33McV4tLPfmwWJOVOtd5OKsyEXwm+teQj4Ujdfq4nVZncBBfBE1ET
ZaFD6TmC/NbdsvnOkt2RMzXcdK9I1ijHh4UpUR9J3Y6icJtesXd6Juf6CP50PN9NauXfO3gCDHkJ
lMY/1BuZsZXU4+YPnI0O2doE06r1ptUwOD6W1WKgUInEWr3UiFVPz70xhmeujGb+ra6VNnk12Nbp
TA5xSRAOlNLtbBFY6QrnExIVzg5JnA3d7s1n6hTeQcFIFcPOcMO7aKLKInR5i+xwGC6WPEjOxfZ9
P3kI0w7MzP5LgrhwjvyzaoAvJ6Ig+B3Kpeq9xCMsct3VSZ/z3rPxY5iQzwiDIwQfNxYR7vvenL2D
SvYlIJ9uLrN6cmLDfr8bP46ZdjimfQbEe7Xf/bJS9oaMjBkHQgu3GvXc4VUuN9K4ZT4gxBGTzsOA
HFyWQfs5sKtOxYhaXteKdiGrYif3G7/ZCgjmhugndSJlQI0IJVtdny1i0JCIOzdN9AEhwXNS1Clf
osKSNVaFCPuu32ayU31a3e7V1dKPUVlMPinDLUW61iOJrW4+AEVOQps1XefUEa7xlbtWLTqY+wAU
Qh7TtsF558qSTeB5p/V221dEt/m4z7HLUzOLCLqF2ZaNh3put/GzI20PMcaQOvfYbEQkpxEjY30/
wumumbI1pEi4ga94NvlZxeeYKusemJ2i4WvSbLK75R21WGND3Xf1D9rJHSuhh2WbPYyVbNYjPtmm
D6xvU/vK27Uur23VaHqGiJZ3d8ucIBTrgO2o4wWyjGj5vsMqGZ7mttbsZMemqsBthogJa0TCR+m6
1i6Yk9E9BWc4AYeYHKxB6mG2ujAkH/A35dsa12770sE0Hpp0ldRjmk+wX6zyCPtTmW+l2T7ohDt6
ksgIlhkbBpBV+3VGNHkwi0Pm2zwiHN1Eq4hzDBRk/Yi3y9jD5kPVnKIhSTE5aso2Wl76fh+Ha1B3
6x1V0bBv33Fq2AGxzw0h8dNlUkNJTutJ7Hc7UWmPMO9+D+VZatx6GM1yJILdemzI0wPSL+x8Jq5W
7rQ5rpD8i82ghidAhctobeYUnnICv7pqX6p8anwIT1RtncqQNCb5UaQ99respV7PD8TFcvq6z9Yg
jbxz68bOIaVku0+x+utP2m7IiMGHpGP50AIa98+yxUW83hM9b8VAF+ZOOP8jU+HiJv168LsQvkLx
5JDpywHSrcfVt1H/KuLg+scV12y9njQYeA96beomT3U92k+bEQn73CciyD6DQxgZDK4U7aofAzxT
ySNc61P1dYTzSvtl6qY2QX8FQ0Sa9zrR4tQLZwPqt5pIPmZTtAQchd2G4wPVHixjecRWUViYNIwB
tFERfYOrfEhzgkNdn/dlal/EgvV9aInveN5sO+YvvRjSjywBLyKnQZY6Ry+aCkQWjmK5SjrB+JrR
jSCX2dRTDclxDPvOo1G6G+9ob3zUZRwKrK96nNx2ZHGTrg/xQGb472LOql5SecnlXjsk5TxOSU0/
IUgb1og2LQEFyCZy/D4MphRHMmufPGD+RIfnrhV2v4n1MI3YMFM8G6DFg6gmr1qYqM53Zd8ps+Uy
TavHAOZLlG+86ddnu/sJgmjoXhOfw8awbHOh4sY8tBYYU1b3VTcdaICutjtCohYfZEmHoZhJmeBO
NHUX36WLuSS5cnspfiTYvkjFVnJlSdEvE4mXrN238FHLDq5J2d5D+PdiIG6jb5Xl4+08LKi48rrS
UR5ruMKFHLv7mgnPqfuYLLA9OFXcG5z3YiMo0ykEvMZlgaaROzd4C+RpGQcn8oTxqWhDvQxX7YZH
/TMjs1+PiWg7hHPTGZZncdpQWdAOTMzM0ng/KhxG3mUzK7W9X0CdUkPe8150t60tw4MMlwDUfd7p
jZWyJQeJBJsNxyhKjmLeU2z7vkOo97nlA3MvS1fG6/MwL3EOWHpKvoSu9Gte+jo9oVxDrGULFc2I
qVs2b7o+1c7AWCOFrhqHLc333SmTjQhD4oWbSXKqUA989L2gNxWslBBlr/Rk8zpOeAXPVpNk45hq
fi19FX6kUP/ouwSPTn+1a7uruylK5kfiYfGKFoi624rLZEftFKfz4xoZMMndJnIOGfkdIHSItZEu
SuFGDiXvXZhl8jr6qDq0ieZt1vebu1nbTj1UHg76RYtlnLNt8XlSl80pTVN1u/AqXFfx1n0J1ao/
KNrNeUP4U8fm/pVpNaisIsaCdrJ0bTtlG2mUt1mFajccA+LdwomvSfXG481cOx2kKrCced7vy74d
h1mz6wD6YvrqIyk+VJ0Ha6FI3CCiU9mL1XdZiZUrIZMPNfnRuDK4V8Y4D9na9JsElTNefSiaix/A
uQvbDtsUOcfBIFl3mmyCPqahoy4qvsbR9RqnEDRDPu3J9VzHpbq30WbdcYXOn7ztvEPyvQrp6m6W
1LDqCyrXfjowl0TJyTSmSW/1tnZIY62Gtct8bGb5RpfOkIeJLtQcYNMQBlgSWF6fx2hV3eeoRpaw
zlloWFMQq2uXLaxBKarcIpp87lCj+KykEaVdFlhYmu+bZHS6Xbdx3b8hlMqjHKqdZFjdHZ4tZjIN
wZA+wEWnTK5m2TX6aYvR+x/GIaX90QnsOwU6mkqcpwv97jCJPqEPENVodgP+LI2LWG1MnWPIprZf
G+gD+ofFOmlIHlS11td2spTwDIYiEhOpXSddeEJrLBJ0waBs7jfWdhb7Qj0IH9+ZHo/khxbNqv/c
sladU+Rto0HuvfgcW9pGX3rMtNAmbyNDSiFA6DrH6kCxlJXLit3dzstWrH01y48cmn73Jj329k/W
TirRBRNThPOqHFi0fuB+11uVRUkiaOZcOfe5KmmX3NtdbuHXFHL/7sfcQM12kBpRf8+hqzcFwwE2
zo/IeGbtdhhWuLteqSZKxkeOpww7IqHzJLE91ZsAWFgPkO+fNCW1P9G2bklfpPuMEiDrOOcVbOBH
9B+o+PSUh9VcahHEuDj/pN08V/5KtVU7v3U2GtfjqCOnztaqheGO7crPxZR02/qlVQxaJF63yn5x
vp3Wo6lIH+WqXeKbZqpKnk+YPbrboHVa4ZaIBmJAC5Q9n806oSidOOxk3pYdLrkwApjK27FKpitf
bvJ5oklwqA7YvpuH0HVdNiNPM4MorFoo8sWkHo/BSxbyChGky3mnFg1arRaRWefHyGRucd4+idiL
+tcV0SbysLeE1AX3l3M1qywyJk4lyuzbBtZcWHU07ul1qZFpemOqMH5UEhehoM6lcZeRBlPmN9vt
OkKVGkh0te1Y11eoA2Jx7XAE6K/e0+YKLUCsPo+wOBd1zlRFmmezsrqGJXTc82bJsMgYzSV21YBu
LoJwbhd13NxL7cmez3jgX9uY9YeubPiAR61crkcCBOMOeAVlj3LYeHvt11l9AxLzCaWHSzgiVTgo
4CMyYpLnIanKL/Cz0E1R9dgUGz23d84RVGY7DEb8uROyzs0eEDgCBj05NWKm3d3kqO3u5nKxN4sx
o/6KBGf3Hk2ttcW2RLiN6Sbe2iW9DHdaibN9S/0bRy3himqfUKuD1+S2rPOiP0KsrHimja9QG4C2
sCLsTm7Aa7ETWuA7Tt97EPoRkSgvSA+E3/Nbi2IsSxgY6GdA6cre0klO0SMVIPGBFCSGaj2vvKpc
h5uyBGKh6C51c9gIlVoctOTNUzUhG/4QQygw/bqtSbvmUQ3k6gvsDpAgOzNp08NQJyHB0mySD3OD
fuQqDNpmicYGarJ1mZFiVyVL/V2y3iZv1C/1mofexuh2RNqtW6ZX2UWfmyYuv8lLaXKSG1Tmr4Gb
d9d2LkW5q6YYxWyftstJIRNE5orP/fvI8MhmEpEdOWJBSHroVCp/A/9auuMiBHmAv2WZopVBqPpx
S4QXn0wVKeiPG1UCGYxUD2cka2DFUaAo6f014+P4ves2GmOfS2s9vMGpTek8mWtPT9ql4Qda52q/
mbukfO/rblcMAd1hTW772qfTa1QSzt5jRGawH2gtayAjumK3apxb7B2kDnlSxZN/nFUpDKRGmC2l
Fa/IYxNxDjQbpQe5YR6Goke1zjwpNrcTelj5ates65ftAzyR4/SjmdX6FEWp/ShLEb9i3O72q7GE
3uIUjWiMt67f1gNPJQx9d72aj7jm7c0Qt6C1cY2EbHicpON5rJWacmaG3mcmKttPUOpu2cSgkzEm
9fxm3kz0KLjf7rjaa3kcS1iMHDoWtqsJsRJXsenIOUWOMfa8gdq3WlUsPJhqhHp4XeH3k7FpKd0H
v8Di9Qs8ONCc2eDT+hOgYSoyvgZch8RrjW1B0ZiOqDgE9MeSuNd64ygSKaCEqkKVoVkEe1ixR8UM
Gjw7MFkBN/HIP0dOiZj35ioxxLzBfl23z4kcIQLfkMDw3OCNZLRZY7Pk2LaD89kMbIw+mLYWaU4N
3s7rOJZ+POqp1HWepML4bxeu63kcur6/2YTYO/yNNrLPbZz67oFWwqNgCw09Smmi8QQKpfBPgKKH
A7aJYTjOjGlbJPXaxaDLIbn1MHqCTQQ+MNe4F4AjSsNGg3bbg7S8huCebVTrNR/YEnfXUbT2+xXs
x/YfEUNsUtYhGvKm2scNj08pcTlaTw6tSpd8mpy/pmOMgrNuhptgavYM9vIEhQD8HYFzwKiBpqL8
FO2gkx8lFDLhFTjTtuIgsiT+4eRcJQIZOO0OeMB2ixnOAyYUzZd6n2yf405B8C7bGpU5dsxu7fN6
Kg38y2FepO5gkSZFrjw3y3kb0wlx9cjNRnZpuXLZZBGD7eHRK3p5CCO9VhXSFSd0TNh82kLvVvmz
gyhDZcm4uQ6PMeZd7wvOzvJsZkeqYoWjNgETs0/S+G1MUaEVq1dznYt05dD6OB7at4bD6aUg8Jtv
PnUANNKsH5a6fiXbjt2jiiIeX3MR9yzvVdIlxQg0bM3HYQW0lUGXt1WFho6LPKRmmuUTAkGaNQtw
gTaHJZRszEKyp6hglInd92hGqkLGIPVQT8iyWcVVHYwX3zk+lP9oUaDyW2bjTuRpJ9rksas8gWmy
QVNQN7bvnwME/O0x0Zb0IWMQ268AMOthr9CoO0AOWNQbikLkmpcTwqiVLe/qkTT7OU7JNtwpA5w2
44Z6+KWben4njDb1fbKXA6ggJWmH0yLXKHmERE1wPFMz3T3mP0MwR+Q3+vkIcpHpc0xV2PJt8L2N
EJC4O3mOOsApn0jXX+4QR+NTxLMyGro/NGD9/QL8sM2hr3B2yeA5FCc3hCcMzSVz0XBqwLNYv/kk
KFuUnJfuymO/9sXMjGkPHaVyKhIk0rg2m+Y+1Ed0g526KVPYr4F82V3iwZCWNha6btR2XToiZA6d
SKVYAScGggeqKXvMszEKHatrvm50R83iTHoCSDBiWj+htsuAw8ZtBm3erosJy6A7ptsST++iYW0X
oXeIU0ezisLE5FfT9h30XC0mZA6HaY86Mc2jblZXPDFJ2M5tLKl8g2d07249WvvN4IM3qU5Rg2x0
fGCi6baPET6NirI6dnRcjhc3azSkq9zX9H65dNA3ZTS2G4ov8GVhMBXKqnoIfWzRrMwL5XjA0xaY
lcgxa2HoVont1fC9CeiuQacKoifvs1ujCcWAYGiYRge57Yq0mnG+tmpc5APD5lGhVJR6/9HWmEZ8
0dqP7TGt0iHyuLqGDghL5nPzlKLcx7OcKJGyo0FpNL3XJmVeZi5WcGv2Il3kSwx8rkH8C/B/903N
6dK+mWgZo8exwsDnab00qnAsCLJLcrFO8DWGbM7M3bnuMffCIkkNPc4CjQ8/IEdxmW4gSq2Yz3fM
kEZ0us0sGlEQxp288QaTpFtU15LfoixK7Yeh0+18LSrqx3O0IMz8CyWkJDm/1GzHZeyjJetE4qPb
kcDg6Sla7NJgj4MNfa5QGQ+HsPRyvm+sg9ClZ0SsL3sHFlkuicWQp6HdAIuZuYrcd8mtKV+ot9j8
B+Qb6HW/jnbka6Nkha9hd/amogH1FDKo81hsbjmFcVD0NANl91ddy3fyBlSRseumxSQwN6QHAeAA
6SaZZYG1uQPbuiBq0XGak2TJKe91lOGZu+PGhhSzRgZ7jCOJQa2ejk0UY97DB4x4QtYhYk1mYdoM
K+ZasPTktkXtJ5NuERlg6Zb4RQHTq5CVNi4q1rcsnq19Yxau6u+iSpf+FoVtI44dqxf1wXuMZoqu
krqCOhHk1MdmGDp+U1bd0H7wEhfmJiSytddkQaTO3Yr3miByPOzsUS+ir643Pav2FY1eU645WVAt
T4UeZQ/YOoVHW0PyBQ+ziXJ4f/BgCswBhVTHFtTgi4Wx+AwHQ2LjXCkYYPaHHqMgu5xRgM24sE5o
Mz/inB4APIOMg1EaajcVPlBcdoirFKvb/RXTk3I7rniSj2rfxS2aaB7dJFGpUNhxAve65DLGk8kV
0Zybq1aLid3u3QiRa5yE0X32zaJgWtEusA45uspsoc5iz5nAjDMB6YpMVq45B7Bhv/RrKpPHEbYL
NjlerF5jYBobQ/q6nHe16lz13rdF6OdLopyz/J7NZTqcU4jL/WkazEKLag1muE0sfGoAkRLMW8cw
i+XYAMSPs8jGcXTEjNI1RScrhbbTTNagQqJ9Q79uAjHvN+Ve6e0ZlgypA/Zel/P+gw6MVt9MO5Lu
TCikjmcC1He6g0B7di8dLKlR2wws3W7jNLLh1zAxbW5DqCILgG9LZL4rlCMZ8OUFs5XGWpD9Jpfe
LaS3PncBwaHnGW9BF8ueJG0ObjzHzDxNL4zGVR4VyKT33Ypk4Ffi28rezW6Ph2uB2Lv9crdFCa2D
cgHR7Vak+htgvogWmsnIWJi1op/J7YDV3h9QWbc4ILGRXtp8Pxv/oKJ5pXmIonjGwyKnGXIJwy5X
UBnAVagkZqYerFi7CMruRjQ/lsv5+EMsUKrD3oBV52lUIc4I9rvuA53nxOHZq1g/ucxIC6E/ICYE
RYmaNKSgCYtAr6HVVN4ntXD+iG0UXohrNzTru9Ob2W7HXfTs47wtPEXzMunlOgSxbx+l6M36cPFw
pCfbL2XWw+xmylCNVhew3GwrzlwMMB9lCEpc2xpKg3sMSnp4MKA23gFtTS1QK4bgypS5rxCuTjKD
sCjxh42bFqjdPNXPoEnEqIhWhDI/azAbcS4iYwPejWqVpXoThiiQeweCedZ6NZTzNLqsgd4vzUYJ
HgHNMfuel3cASRXAWwA2xH0FWrE3UcYdyledMeyyDhhiN0LtkcGkHn3ncYM8FOFAw5by+jMU1mGZ
s8UjxGa66lfHGp37Cf7hqEMJ31hczLQGlaP4Tzs72PNGTF5hUkVdTsAIslkk3VTmMEqmrxS/Hd2s
vq7MWdUX7LdC+72Zy56Zlg9jYucD0IJ9Aa81KqPzf5bLRrZg0+4Eo+5tKwjX45LtoWYPGFgNS8FL
iL//GIPp5/A5HtKhHwfbHYj6pNMXvv4xPvPPhkKsoyvGNXhd2jxLgBYN+4MSmp9D50YYHqqyEeKI
Y5IARFIrubPYre3pX7OXfsewCiODf2RHAgpLHBhpmExEeP6memzcTe+jETaCdjYAnJJVIxZAqCl5
3CygWzRYOiL5GG24T//6TVxYRf+MbfQTsazCiGZrolkcR6SZdkUDHcEdyINTjnoN40fM4uS/Mb/4
PTLVT1zQebJYapTyIwwBJvHBhbFcClOhzi08Tia4k8KRpENVuoXh31zh3yFZ/uxOpMEPw2mSsCOX
yORwsJ05TMCa/80H+r1X/4l9ZpDoZ0WtGJgj/bd2jt+8NOUfI5+Sn+ihKNOn3lQlOwbEfmT1HM7N
0tE/+OI/McxcHLthXDg7AoM+YJDaZGUM5PFfL6jfuyo/0UPLbW0cUw0/ViSyONPXMotrnP5/7NUv
f/XvGOhJayjYQbguyd7Dm9cppEzu44d//eK/s0IJ/ccX53Pce7NpLJdaqOSHBabkc8JDglwhmfQm
MwvY2CfoSpj5Q/F89GdHmFpWXsBGiB0Rh8o+ptNs73UMePVff6DfNtd/8nT/7AcjdKCAhar02EtV
A4FWQ/AYruC/9xA7/pai8sa/DGk88KvG6Be9Ny8xVho7lbZZavQqVX1AOuOPbaWIbs6cQEn213f3
f/4h19f+5b/w9ffRoNmvavfTl395GXv8/1+X3/l/P/OPv/GXq/fx/mv/bn/+oX/4Hbzu3/5u8dV9
/YcvDqjLXXha3ufw/G6Xzv32+tX7ePnJ/+03/+P9t1d5Ceb9z798/dE3Q4GmZ26+u1/+9q3zjz//
Alul5O/u0OUP/O27l0/w51+ypv46/89feP9q3Z9/kfJPwG8YmqiEJDEk8Vjj/v2379A/gUIvEg78
hVEWXyijAxJP6z//kog/sYQIruJYJTwBX+GX/7Dj8tu30j/hN4CtoqdjVMTYBf/vJ3/86xr5683A
lfjb1/8xLP3j2AzO4t38Jgf+/2tJpAmRksZxnDKG/DTC8En//hGcYAdhB9XTK1PG6Yuu0r1YQj1c
A9mzxaq35WqFO0zd9luGmlh+bkTf3yYpWyZMTUDivBpUzAHBpO1HXdfNPYLA+V2sBvBpcRjVKrOA
iDGOmDn/mOwela9HS3VbtvWISAI3DbCODPyqAt3ro6J8/HUfhftYA2+DbR5N3AMX0fZIZAUU1JIo
Tyd07p7I5HqbMYVYrJ9uUjuM18jwRfyLGtwZ/YTYijiJ6MeI70l6Y5zVN7pT1GaNTIeXtil3cm6b
NLohGn8oZ6leIbXjKwddsS9ft1GjfGMRu+Hw5vmCUwZcQx0BM84nEZo3jI7Ia8mCV0fUxHhtOm6g
qnQae2TV7ckPVZWYJYHAO15j8l4dGcrf+ws9BPaLaMZvSa8BsM4jMhP6UfRgAHA6P0UG7KesX5rw
BM6bPq4gW9wNMm3XjLTIEkbNyfrloXJh+RU84ugZE70So5Cm9F8NhjmgNkblCgJNFKb7emsZ2EcE
JNVjCU8fjlni2j7ZPYQzB+nruAQgY9kwAQhvfQuS6SLGWzAw2VnHcQUjnhS4ZC+0OiULm+EeSX+t
XScmfCykJoOXls4nHbXTko2KLDLfHMHdRR+dtBma+uYLmEgtiDMgkcLR0hytiMUHNhJxRLje/CO4
rmlwNcrlaok0/W7a2H+O3cqvI6OrG1bb8YnLkLz6dJjvMJDULK8DERGUCkRHByQsDn3WprqyudCc
XS8VMP6u3dQDSLcGeYbtUOWw5umvA3ydwYPXGGNgQPW0MyNuEKLuDzFf2JceSPQLLI7ch5TAIu8E
UzXy1OwROmrMFcHU1GxT9wRJ7g+GE/B1RSvdHZslvWWTSM7kv7k7sx25lSXLfhFPk875lWTMkXOm
UsoXQqmUODgH50z619eKO6Bv3UYB1UD3Q/fbwYGGFIPhbrZt7W2WIYA22cR8mgYt6qhZeKQIFLI+
WkZYPhXZtNiRDOf1mi7DS23q9CPsG3k2pOP88Pvau/jGVh0z0QseU2uF9/3Eg4pcvwkGmLnObeOG
hpC2MCwNYJN28PXegq5oomDQ9mmYB+KMbG8Q+PPm/tloPY2cXe7MpTASV3UfStUpwmNbJx1i2bfO
6de4D9uzycyNRQ9pm7ib8zBKCC7fxVARjjkGeec9zYtdPYlh37Z+z35IP786ZrB8IYP+soy+u6+9
/qXr1Z+wGNI4tdEyQ9plpYZ41M7yUHdZ4rvKgW65gUHC27cF7oGH1K156z02iXj7he65QY4cgqhw
1i0a20EfVvj2MXLKyT33ANeLaS8cCHVuJ6Ee62vgO96Or+H81qBV3Bkm8CDDD3IIHbSQp9Fj4zE6
5i0IUptGvkSZsQYfwDayiUZGYzOva5b/kg1nYsJpItZdCxIangO95vnBnng4ke9WBuxFsPBD8ptc
M2rZA5PyTVgm47q4I0r7Evjyq7CbCf2RoS0uOpfXYlwPCOrOwZwdc+dkHQBg72vWvJjmoc6cuoBL
S9M3n0cbTyNqyaJQvVE36j6ROSA8Ek3W7ZpynPbMtfUdnaT5EpS9/gjglOxIFP18Yfranuhy5WMq
gnTP+Lb4o4olHVF4QbQiEFdWAWyM8gvbWNZIC/D8hrDqH8qpzGMnmepjKJLFcUsLBFRIPxjEwRd3
vQfWYMuwOLIwqf/uiN7lddiYyaf0vLVqxx0ZE/OLWVn9dwPO/+zX3YaEXfr+YZjQEHj+w2MJOD/T
5jjTJ8t0aOpEeCRr+mJJuV0hKKvvvciGS5ax8kJL42VSszyVTSCfEc6yBw9K90EYsj4ETWM/ds1V
FeOpnuft0RyLIoFtmN/C0J73tOINlPHqdyctlXFvDo2pLjZv08OC8Hotc074WKIBnhlS/UjDcPzh
E232rSum9o7HLJ9qqZ2P0W3YvdCh/6i4Q7t5yMCjr6SkAFYI0rKSchrtHemuYTy4gbjLa93oZEmn
YueE06XatBPnmkjwyCDftDdmxjwhW5Ve9ELAR6Vr/ZLqkQo0BaJ6D8LV3m2KzqzOHfvsVyC60VRp
FQ9eWX6BXE8nC8czMBuzopcKKGE/3f5uvyjsx5GGc5/VcjsKS3m/rCXfDh5rv9QuqMUW203VoANb
K8Nyx8YI5A8ZqRdOVh3mhete9R1DBssDNJXLcx4ObhaNBomAAazXKdRbhlmBJYVFmlbvBoHvbyNS
31VT9crI8jtxVk7aTXGT29YpM+2vYTNlglFDfuL8JMtKt6V6A5eCoHcoPZok7Hr/uqqgvBPBsAXR
wNnq5vVPAIOC11iW96XTZw+2GhhWpzrNkLwW0EYERGQUMEbb2G1Z0z75TmCNp6Ur9GsrKN6itcVN
YQ699w0haX4jmeurn9pWH4p0YJyeVfaDHw7Zb9SvbN94+dgwtFoBPAbYLdJ5w3UHjiu+lb2/vPoc
NT/TlSzcuKFlx70hTRRXv3TVm7+V1W8ITBkTbloldV4wD0bP+pGXQnjHvuzsh7FTCFMcomuGZsai
qvKslTt/D9PsE/n9yFcruLAsuNzVWE8iALpj01kvpuZz3sp2OW+IbG7F0h0TFY3FXIs+NaXaBOgQ
X5IjoeHuhaXX3svckIVhDBMLtZtwPAV5SdHhajl8gvne457hg6LdOQl0pkNXcpkyXDLKBBKqShpX
LE9ZyjsN5MDVWtshbqN0eQO4xvWqSfYDTO8fK99Z3yQURYKzw41k1RAQP1TOzm9d4zVY/d3qbJhY
TBE8LQNEdb9k1Ht2Ub5bG6aHGdJh18+N+gJik4eFvIRdRrl1BCEKvyPibg+p5bVf8yDW/QKRyaYz
MJOX3im6I9FYFCZiOAKQ5Ne8nbY9KHT3gR1dX1ar9f4w9cbEkLoPSvTFpTa47hvRWZ9bsxEjU5SB
gFueBzuPttkoLhWSOoalQa5/0tRcrnorsyJZSdm737yeg2RZ20+AZrFbjIGxMnPiw1IvxaOH2WWP
8SDc+6Ml97r01d2UhsaBVNQ6tlLHIzp2/ao9PTxiublnd9J4tCD+ks3CfxWM5G/7myev3QjivE3L
laKzSAADnYdqFtUxVRzr4I9kahFkx5qb6zbSsQFWKCt88LNs2NfteMPus8J/bjET2HGnTGufd8aF
MxGeRFRl/lp3nKtRy76sIjaXqaSMCDt98eGu9kT8G8+BCVf9Ay4m8M9zOqzYJhTOVfQl5w9FFsyA
a9fWNy6p7rAuo/Xbd5esO2s8ch38lgy/5imwrL3uuY0GZ15ewsr1Ib8mfWcOxh3WWveZYnI7s+Qi
j2xzkMQOFyHVHABUFNRlsWHysYY0WnrXfq2klR1xPQyUlGGaLGN5sV3l3XMijDu3y+qrl4kZ8iGz
i+/INPZV1AaeZupMfd+PJCBEymR0UlFZv7Swv1e+r+5E7QX61Hfb/CQNgO9o873gzjGs0YyU12jB
1NcxE1g3q09Wq6letOUJfNlMtH40Mq+v9oBFJmaVmntvt1QoYJug8xSrxBLlmdc+wn67XjzUQ+pF
jJQKHcuuz/Qu0yYUj0xV/m6yX/fSKwXcnxPUcM58SgxW4p5aWdX3MyO+Cp9HfSdmz38iAJetUqtP
gE5c1k39BUZhfWZqCoBMpP9jyq3pFAQh8z3PK2QbwzjLPE4bpF/m6QH5QA2Z/4nRIpXtUr0ErwDg
kJS97LfdyhpoNJab26FzYe/CCo8oyVOJkYdWvLHa58Cp9RPBZ4xCwag5D5z8UN3mEGvBmnqRPYrO
/dNZc3ZMm9Y4rWVK3m1tnEyVHx23uNctrMLsqTqpymx8MZce3wcOpkPqkrsmyXOLK4cIyFuL4fv1
kQehY+CSpqU25Cc5e27zx9x4JEVmHIW3mhEfRBHRIt+sG6GB2Sp/D/ulipHFX7Hnb5FFiKRB2RHR
Di77vhwfaOcxny0BGaJDl9SmcbQLUHOakU8jta/SLcGLWKukIRsjhtsfYysumUlrxsYodEU8Twlc
+BbJNh9PrBXTu3qx5oiFhjpJi9pm4D6PZBpO/JwzuRheuGCcJvoBfBOedP1Zz10yTPkRPitPiDx/
0JMvHxe7JhQ7N/Ud3z3noOw0TLh6SGBcth4XZCjscwnY/5yqQB4cIJg463DZdeaEYdIpYLEN1dg4
kgdJUWps84GYsvQJBsNKYwDzzY6NcAo6llyN/dXbprKIp4rnG/SVDxVuQLLYznx0DD/9Nlli+s76
DFXGeV7RsJSjV1zW4UYdaTHPT5VZ1iBRmQq/VU69/hztLL0MTO3cY5+qiILG/Z4tasp2I3RhGVuM
+9azyaKBZ09la73zbJtRLDOJiIvDfMfsVL0AraglMnrHMw+GrIaz7/sjNWgA48gYWr0zPXuxN15F
cwxeMZ24Fw4YCOxCBce1wpShGLx33uLt8Ghh+BvCnbLM+bfYwHapTs3gHnIzONJjNSNfOVX92ILA
Yzi3dWXU9un8wTeriAtXQfvVdX6ovdU7rFhVdm5BCycAtc6lFutxDFAJogDOcleIXl1w4iIw4Ata
vmXQEj9ajGmHwhsnwCZ/8N8CCheHIQ2ZDlFa2vLvuvT/aV3trviFH7P9M/67sPaftLj/h9Q3BzEW
Zex//FPl+l/kt7ufyG8/h3zsf/6rCPeP3/cPFc78KzQFvRxSGnE7fsBg5O8qnC/+8lzLwlGEfzgE
EvoXFU78ZQr+BwKZIAfauS13/YcKZ7l/eZbrhvgPqets2IP/HRXO+rvM9q8yHMCh4/gWLtXAY4vP
v+eOsqA7WKHnV6QS4mOO3o2Cp2zBpqpz508m2YQRj7Uf2skazrqPgmzu8ONlpnUJDd8odgHe6kg2
g9t+r/GehffzZN5+RTOIX3bnWWZSIBT4qwM1w+iZ4NfKz3qafKOs1JOLv+7d4AzPXswNl9MTicnV
ANNLTmzMCbbMUIxeCsVQLX0PhKRCkBg2xUlARVxxmEIEpGQoagqUjRBVP27dJntsxsz6w7Y4B6id
/YNxRwt26mRnPAuZG+J+knquE2yzDrh+YXXy4TbdvhLliLvbrcyBf0C/nFFtsJv2bjun9yn7EkHe
Aji/50CK7xApm3VYDJSMCDnmNnBNYUNWvCCYV9beKa/ObFtDjJaS17GQa9Yn7Tw4bFrIqJecAMfJ
vkeXNROKZbr0ZS6L8gGy3yQndxVvHpT/1TDtLdtryIfqaKDzyzME6IQWc/PxRJ7vQPVuYJwDBv7A
eRIUiRuwizOB+bl5MpZBRpOfiQefGNKr1Qc5ZoRM/Rgs45cLGVBGRDG3E0TALWcPa8gYMdQJotCp
inf+NCYwc9Y/pszh25NbKabiGmsoCURm5jxLMkizuyZLlzQmphjvIb5Qezg1m0bBWFoPsRVU0NV3
DkDorQyhZaQ81I5xBBQo3/tALwhxDKnmu7RftzB2i2IQScC87bFZV2uJYfeG5gp+SuwAjg16qHZW
1tEdsebFw1ZgaDAdmauLXGuKXaToad65zdIcxRqMY4I6I1pqI8F/j7O9bZiQ8iLdb1LOIBpbO2w7
TCDC2uVECwrqXLW+DixkrI7lajufCvzirQb2i72s77/aIbXWM28drblZpxu8eD+Oa+JaLc7L3pxO
WTVwt3Ta131sGsFcM15PvTOihP2pQmtaj9RTQb3L12yYEzwUfGIbmfhn4EE1RwUVyZVhQf7UF/6j
30jvbRgor+Ix7YxTRgQu3qPFN6MBU8l70JTWszHlw4dGz76ErjzOrYBGwVwUiJe0h84ns6wYWd7e
Z74XWaZsu3gy1fZSNLb+qtES7uabayvGXZtbD/2UUXCvrYRzEI1W81GbWX0XlmE/HlenZfmaWc71
j9HQ3UNY+maXACQCFaVEr7YxMbHOa7eBr0WmqOkmA4OWhOCJxr06I3H8TGu3woe4MzLrMiEjrdGQ
1c5dryzc60vebhXxEui4eCeRx+BWeNutzIDzohkNkrbLIQYDM/1maOze2ifEoV7b5gu+CeEB5Haf
pc76Hs587bqhDPyDBdv4Y6syvjfq5ofNWrePHaduL41Zza8Da4rzqNoqzoIKyrFwHPuxx//RR05o
l8dpbusdu+gwFpXwrPWxY+3Lm1XL4QI6nX24ktt7p0dSfp/kWhCI5tv5nB7gZpf9JLL8c1UGhV1J
YNSMLmhNvB5V91pAYzGt8J0CyJTKFuoVwZa0MK/6Um7en21YJjtGbtTUTVnzq5vbOcSkaK/ZgZFx
oJJa+lnsV8u8c+ZsuSdAwmBfmLDLaM7aanlRpHj/LQthdRIs7CwG6sO6A7wVqTpTMlcTNQhMAfNP
U5WJtB1PxjrlXY3ZAD68s9TMf2hm0cahXxgfNKJ+8xaUg2EmC6vhcOVRYyWglGxz8LkGg1/0SDaj
AW0fAPF4PfN3UBbzc5wqbIyiLXdOIft9OOVdkg+BZ3CEU9q2VsFfSYvZHT0HHJohI/V0QlbBeO7g
c5rXdp1s5FxH6d3sdOlzvRnma7ZJnqgnFn/eNZg6F+TBsnwyJyYPEFRixhsJn2dcHIYgP70ZwviY
sRFR3jl2quMg48iBGrXrnRLwauyi6KfHtJAZrCXHXDJnqzVyXhTs1mBVKm8iFl/IJowfy1u46U5z
XllFGg08+YI8Usd7qlZQt7jamrqLSfdTKvG2mR9EuDnoeycMLgDtg8bmCs4zzg0qiFMRCIdJU114
dC4Oa8Usv1gvcizMIy+zNk5TY2WndW1VEcM4h8NRGGyU3Y+dGx4BM4svbw2792bq2ydjHgt8u8hU
v6QDOBu1vkvQx1pOQZvwV4x1PE8l5HLjSHkcXJTzqICHJ6DjNraKAnikx7QRUwQ/VpePtKMbBUJv
2z9Z8MhFhyqqXrc2GO5aE1YfgWaVA7gsRyt9AItIZz+r71evLZ7tIJ+/LVsbnuWWhTaMiqGfyxop
P8oCQL87ieL3OmszIP2/lFxHuJI6dVy9KfjtL852rO3MusfMCfDdGkuLxIBu2DHsAL1PgtkPIqtY
8/TB2cp1OzpTqcLHLfDmOTIAuO8Muw9/eO7mPpWCgGy7LFaa0fp5qsMC5y6jwiRtrIJNB3DtaTYb
x7KoKL+n9bNUFYyc4swUaAn2B+BhUMWZ0MH7WEz2n0FBJeTO2v6UhsYy0HaoyOZK28AZAwnHWrUX
BNwJom2C7NxYdhLPqyieja7xz1bnm+Iw241Hbe/lSVWVfUTsTsasj+iOaNJZWEUOXuYYUJIxmJ+C
wHY67SMzE96zUxm1/MitMbt6s1xir831ca1NyFMVMmDL1WJb8c0Geigz2tIosMTIquJsuTCXyLBb
e8u4a/xi83dWWfj3c2f0v2bE3i98JvmPfNheDYuLFe9Q5hQAxX27L1bloD6Sl0jp4eMz7zmLeiov
WreT04zeZ2fkyiQgvxK4OcvyZDmbexB9Gjw5wBZwloX1Wnm2+nAtJm33dtnNf7zAbxZqAynqB2/M
+yrJy8Xw9q7QEoIIJWCHvttaR6a962cmsvCL4Vwxf8Mi0hQHr7Xar861zf5pSYXv3+I0kTucGoD8
WoQWjzHDp7tFDiGkX3ZWYb0OHYwgp9Ss0M+YrzJIY1lsHZ7R++cXhpcaYxlG+ZclHFr71K5erZ/x
ID4D38n27PbdzNwrXLanzbeJo7Z1fmeBQB0Ll93rcb7246Fnq0g8sk5OYYvI1zYWXcrXhEKc5Abd
56c6yIJzUxrFMQ0X+8F0mAICKS4tPeY6xRh7ql14m8dEkhrkq3fs9c1t/HzHKk6R+LgJqaLb4Jth
NOlGCocZoMUy5G5+bg2e5gMHbfi6FaXzNWF0VlHm9M0DzrPu27Tiqy9tMijOttyq6yBav4qJ57De
hYmlw6NWux9GNzuE1ZwRF1b3Xn1wa88BvLsJ2OumVEdiqXJ+cUFWCVdWIFk+yuh7TIefou/SHPmz
qsAWoW1g+rvu3aL5Nchuyn1czETuLbFRbM23LpuyV7j4gLmnh2nVpF58WbpqdQPe5E581/i4YrTE
avk1sow7cgyH0zjFGkdN/tNatReDDryUUlgnQ9ic/OPq2uG5YzWTR0duzfoqLXQKhBJ87/dFO9vk
5yyGX0aGM9nFUSgEBkbqRe1z5vkzycNWE2T7optu8+POXi+TDsZXfLeNG7PDRbwUJWa/hFiJjLgN
qZ77DQWFd18f9ayJT5EB13zS6Gl6LDAnxIDV6sIqAHsvDKqConJ+OxAaA/YCRJi8D0r3NJTDlr/D
n2LJC4VKcfMqvKSoJyYuXlK6Hp1lTdgHqaJ1YvTTeTnKRx22O9v0sEoMuFan5TZRGzSxGXnl92Fk
5657363h+LywoIQFxgI1k2d7apq1l2DvjcQsZYSGl5AsUhQ708ttGTuzYfzIRyJPziXyTxhNdu2/
LfbsmUlTOhZhD/3c/jKrwEd24KK9x11Ac9b6t5yugSXML8W2phVz17DkI3T1D8b+y4fgp/CScslN
i1iFGtXHQb84OHa/fiBzIpIWlnQeitw2XylwOWFLgq324K35OQV3+F2n3bZnKXl16q1UF8c5bJ07
moYgJcmCbOeyVTZ702lnEooM7TMXC6c+1nJdP1BjkJAEIKvgU0x3dQViEZOcpUem67Ysd3yZcRqC
i8yffH2964DjEXLOMrndZ6dBgUS1UsmcV/sF8ZdRDhPlB2FSDO1SNnxbeD9yot7oiE0I88Io6apo
b7yYJlezC0+KD3fkAov1ONG/Ml9wGL+wQlTSKIXe9tang+UcjZFNwfuCWIevuevd04zV60fNXtVk
yN3+KBXHvBZ2TzLa5nHWkPCx6xvsWzUmPGaGSIFNvK0TdspaeMOHY3QMFf3ZPXhWn3/ri6AKEqzV
udynZeU96Z7p97lrRWomQ5h6KWlQjcdEbw1LuOKspKAUGXUN1qj1IVCAYDFkfPhVhHbwYg/ZG8bF
nilQ6YUR8bo1r67297ZfmAfmWMF5G4h8gRRsTvix1aM/d2aigHMI6tncqtqx12l47kmQi2zSnwgM
aIrhVznm3rgPRTj2R3/E+UfLPn6xon5+WPuSzI0amklGbptlXNLrZv50xsVMKj6HP3gg9fOcc8FT
jXpXZ8q9p1IxhKnzdLnDu39BE3dHfFLQZphZZ5Yfer+GiYJHepkfFaJZLsw2XwrRmYehrKh4Z89+
1zr/4nVbecaFG01e8VWRdHAaUhv5uQh43iUV8mp5905tqHPtDvxAc6secXdwgZLX9EFNwYovDj/v
xZE/TeG64BOpS6Hf2AlBx83Oclr3JJklv7B+0DyQ1AY8GCLqtoN9sIrG/5oqwzqmqMeEScmjbgJG
BN4ky4Tc22Zf1r390lvWdvF1YN68Qs0F8/Tyc+pVmjiprGsCDjZzBVxpybXgkFx+6cmboPik1cVD
6gbnUQKARKR/lRUEgdH9dCVgzE57+Da2ye6PsM3WTnq2fyhLtRxVutHuzwrJObC3e8913D5yl4qw
HLi/MAqWUf/eygGkXVJBQj/VwetGVsR1E8jB3tA49MRVEC9Kmomgkv8NB9Ef+lvqK5fJ9w5TihXp
1p3uBo9DdIQ0L2MFBZce6jbMjmwLPHQVKnZDOkxk2QrxQ3pqfKPc7RAotkHF6996jlVlSTe48k9g
5+HJ7Vv9vGyl/oGs7z03LWmAeCJZq9cJZ2NABAaPdMtxiXJzcFvsRyJTB1xk3sNEKBv/oJUoIuFi
7DgIgpz29tSmcYYb4DpX9KeT73Tfl968ELzDGM50ffcZd/R47Op+RfJ2EI7MvA5i2cjvXWWb31Oz
Vkk19f39YhMA4zSb2Kvb3qRqID0d1JKV2Zv7mHeut8PwVpwVU21C0Kajvfr3LIpaQNZ857K5wqKQ
CnUiXBuyg9ERPfJcXPshM3Yzl/HeC03KO1asXzmoyh1fmeC9MTryR7MehLuxwUKElb1u7CeaD4U5
r68YAgaGpswFo47khIcg8wMvykqP2LcKwIkTdwNaaar9Nt5meNjQBHPTUo071LTTlubDD6MMzFeX
lG+DXkUPb3rGyCgyab937Co5+LWEWSGt8qg8Pv++ycadPzDgOXfrQhmy5Esyu65LnaOl/wnm8dMz
+IesrYVeMOr6Nzheirov2+dOLwvlUGrcV7jud066vI8lF+tk1U2SVblijzfmobis1ue8rfx75WJq
jEbaAWZSOe1NlC5ucWGbQnPyMZD9Nkf7EXv2Eg+roSnI0u3RczZvtzL8iy2WERMrNKMfGSxZJhbn
5K0abWprtffNE7X7wyULyBxybpJsKi5+N6rDRr+xIwepKe7T1d0+dVHZb1Ku5p+lnwz6gdB9nPBU
w5zp8V4Zm1zu8lnl1NRGfqx19atzLTHsDHtYj5Te2588KOtHObji2M1zt+vNGrLVZHbvTFuznwP8
MNHG4jUqKe1mgnLYN7AJloVemOss0xP+JUx2bmNx6f3fwXX/vxsrWKYFe3vb7vhfTxZe+0JN/3mq
8D9/298HC6EA4hUeAwT66cD52yqvvw8WQusvyzVD4RAs5Fm+dVvF+E+81/nrFr1D8h2/BR30Fkb9
T7xX/MU1ajpE1wSguSZLkv85+Phv4L1/G1EwqN+ytrmRy35gejY7H/kDqWFdDpB/M4SoRhq8ytZ0
JO9hiyc5CtrxW2RbXdEBrN+ZiTB+W/Mqdge5HXQ7/l6FeMcd/Z0cKPM5xVvGEH75Gm9aobytYBjR
BBKMZxwX4LsvUpnDxZ8pdtpgaxI94wDUXfnkKUMmeF7yYzMYrGPO1L2vbiE2BXmYW+t+b0PV7b1p
e2Z74u9aVY+3Ixn3pYtUH+KUgXUh18m+B+KDE2qN7iNvO0LUvJnZ3LZ5Ec+Qhb1tNn8UA6K8Jk6r
KhF4RkKjotrLHjNMj0mBdQ3L4pZxD5UQZIFvX8bS0WdlKO+aNyl1syL+bQG5276lYfZqFvLnkvff
pTnC08zjpu8M/MCMMNY0GVuKWKCwKSppOlC/yoPspXNVBDedhHSnveb6TbIuNLByW8UYRv60rQsU
qQW1O5GktGVkh/S2/+R4jhmHKt/l3SAPG/BMzHnf3PllG8bkLaWfNlkSCHG9f84HFt9DQgpG26F/
wqCizvSk3ufobR/9Shlo19ytakFaFGHFf2Gt+5y80LhLvdk8hYsiqGhcyoSVTc6dlv20d+v2d2mN
y8EIO/+hN8twv2RIllOJEEmpzTXo+86OWD5MZtBb565exTPE6ZfCGx1j2+4eFuC/73a7fXcCBQ0p
QYGGEOikHsyrw7hnp24rGTV7RGNk/j8FcN/Rb8OPcKxk4s38cj1W+N0Xy2dFRm2eW58Wil9VHU2i
iS+FX6HPeq8+DPeZ4QO9WLYWr0PaD4n0BSsTO5ndlV1WPS8j+WK0KginMoTSK3IgVOW8+fgYd+wL
c++msnvnfQ1/r9h+d6aBb1+Ltk/qMa93sxpeUyN9zRHZvHatI1MP30piWpPZnMPD0NjAsYbzo8I/
RuLJ8Gy5at3JkaGwV9rQOVM7fjMzmFzXC55Jg38lwPGxsQ3eWb7v8ZyjcQwznBUJ8WZ4WIm8TO9K
W3T9odajc2rSguCebCMP3MHot7Ncw0jyXlYP4SCqXetky6kuLLX3eAehwAkzBWYqiG3NkU3ynOMs
HDDZAiaZJX1/UPX2xW3a8nkoHXyGCnXFcIdvLHtbX2pi3M6LF5hHlCtmGo73ZpklbuZirr9hMGdE
3gQkF7obyaKyBCIk6zn90bdq3qVSdNdiHLKzJmCU0JzZh1uxXOiJKe1/A5Vwm7cN1/+qw3uvdtan
bMVqrlYHy/LCXlmMwGecz4gttFlJkLroWOFSPC2EyEabCqYHs9QQTfD7v8YtPBajhjtf/PYYmMCa
kdLWU8qG4WQyCto2VJ09yUOKq5zs5Zmc6ESOy82krAJUBQLvKnpMJAu0au+mOEzvzOq8tymb/GMX
bOl7ZfppbJh+Capvluw2JA0ZY/R26Xy3eAshuq7QkxBauavFc6Ut4x5WVx/qsCrf2XH5bub9uG8Z
PGZD1hzVsD6qcRa/mZDNz8XiLQnLnAcd0bfT0qytPgdMT4AS1SeZ08tvorbqB1/Zy5np0XIcRxTO
vyEghl9JaLzsnahsdW/0AXkJNaoTSbKZGcZhU5sxQZnAekZ3WXEb8829eZJZp8LSwDn3L05FK7Xo
VF1TaywfcnywcWtOJNYV86HGMP1OWQ08hrh0P3bbBGXfm8lUWGJXg4PEc6nLNwZ+ck/epn5Oc/20
ug252eCBSbstxUmV0xP3EOJ4m3Z713Szz76t9dGqjNds7cydtps1akUzPiAvuUkQ6AKIJkCXEcV1
DXL53GVO++SWJvxxwcy0t27alM9KTHsN0mTTZC3w7hKkarjGlIxG54LiBPXBBG26UuzRxsGnRQQ9
msns25zCxS1tKIc69cibYCD+hHb2qxDBFhO+xXQnJBlsNZW9k3O5xDZSzW6eblJPKhHamvQbab7c
irefQVSuzSh4CQmXCMV7MPNtrlzhsVCYpEFJZDpBSLPrwOfb2fJpZDSvUdks/atQwR93KO/qZeL0
tY4Ett2mL8HDjCZGpCcJNEkZ5MuzWPKJSlAakWuUz/5qqTv/P9g7s+W4kSxNv0q9ANIAx+KOywkg
FpLBVRTF1A1MlETsO+BYnn4+MLPbJFa2NDXXfVOmSkoMBOBwP+c//2J62RNQjrdvhUspvyZPJbou
15ggbnEmVIFn+H+uK4hZ6zff6pkF5fXFI87F0MfmZQqrwrwBU7kufWYKnHbZR8RP4mI0DD/otiet
yGM+2BoAE73GuBv86lsl1heEIJ+1JIF5Z6w2aX8CrFP29JRIKtLLOYrv0qTtrpUZMz2wxX1qeWjR
0bxvrjHMjEd4MN1agRBmEs23zrvHGOJ8uPZxe/SGoaQ3qr8gk/2A22QeRiBA3uBC2RQniADfyhFw
LxosPI5t99tbAfe/LJrfaNigLm55B/9zrXv1pasQtuU/cWj+/ld/lbpSUbUKTgTKVkF1+gOHxvkD
/13eaxsejYssG43b36Wupf5wXAIEqWi5ACltfvRfHBrrD1cKy/f5icMfvP+o1PXRqf1Q6Dqeq5Sk
xLUh8Xj4zmw//0FK6vWu0cgBow8ETCfIv7c4pr1aivYKMM6Ihntd56+tM/wuaQdhyftPxu6bpBiL
WtuF8/9e9x0nrs07WIx7L/K77xj8mztsWhw86l3NrFCYKwyFFHoRKYopU7e5b+biogASu0mtvnl1
XH+ZSVkg+ADQh8KbOrq+oroUNPUpbhFhHEPRwPhmUXdO0eJoOpo6OdhuJIKkQ/OyelpeGvEARwTf
2pV0BtBVmgQy8LzudoqxiIaM9zUz4yoccwJ28BMLBiPByLGtHpayJEIhNveeIcwrABtz54DqPdhg
Z3o3Axnh1m5Yd0Vs5TeyR12+G+dsusEO7zH2FZ8XLXN/nDFDuV/cep832Tmzs/46b7gVs79aK4ia
SSxDmqf84wmqSFAypPvKkeF8HGRPJAOAUnybSr87c7S4eOsuEbTPFJs0qhbcbTHyxPs2i5/SyfIf
PNyV4bfStmPGcLQmMd5j7OiEEeY/z3AM7TjIO8fYpA2cjLY21C107uE1moVPOkSNDhYEafC/Dc2E
ZooixgBj8c2PMzUff8S53gujxk4eevwiCxS1S44hhogZDSK4mI7KVMmVsE2QSdfAu8TB7dU2XO9m
TkvnFjuqNNlDJ3HvWoPNmEm6eU57ZkljM1d3cwxDHkegTYawtnKgEioB9qmpq2PtjPNZZ2o4IOWr
gqyjJoeEtV5Vs24+tpWS2Jo1vYGqynbrJwHNBxdYBj7g5viHkG8KDn8XC6xcGYnmJf5TyzhEoa7a
MnD6xh92mnACRAgmiHsNG/UJ1ip4Cs6H8TAw5WN8tmsKtdzy95jviqmyvruGdCFDobjba/g+d/Aj
eiswkS64wdh52LZCtkb9pqlwFQWnPsbahCaEwsM+Oomcm7COG/eJYlKu+zVbvIjavwLcngelNmN1
cO1aNstFhPxoc8V1KWLHZPjcVoKFlLfmc2zWyfeIavsrdyZ96JFu3RK5CorXLgz595QNyTOuFIxc
0zGNsRDbCnbIdvrOEyOfsorEOkFN84cABM35PDVOf+mtmTcHkaOLaJfqjHoBOcuyx7ZAHLK+WD6I
erUfKkvBtpkY3K5hBsG+3G1k169tCVq3y2DB3uvI8j/3CnoymEIBtKW6+tov4LaTjh17TxpIlEZw
tGZcVFIowvXQf4S9UFBdVJ33pU0z2HoNmqTQsjrPBSTNOjNordb6bvSp9QG35PJJu1l07822fMa6
C8JFgv7TwCSQGU2MoyvGY5bOsWWr3PJD7bXOvl9GjzO6jZsSTqqX92Fvj6V9SBMFI93rAK9Db6bE
iRPsZvcJIo6jleitxY1Xi96X/gATF62PEM27h27SLY1AbBZXK4iYhcwgYhfJsT5iYlpMxu3SLPji
WbnKnyAW+ejYzBpCiVdJZlQmpk+hh7rgtLabyY1lZBIzYi0IR0HMBIEE937e+Exldwa2+HdikC7W
hL4r6ekqa7pPa2U/8UjdXd14WAZ4qkEG6KBBhPWbhA7WjHu01uV9AY9lvzJO9HaNN7fPds9pwmZm
Ln9OgCWf2cx5ogrD82SHMJWCw1ElZVELkJHjYNQwbTKYulCxm9NAwzJzpUYzvKlMKyz1Mx/HbgQ4
VaBJDahDqAf6Zhq86akwO7ywVgc9Ap2RL5oTzFTxJ/2ShtE9gpQyRTeIUWJSnF2TiDXeYQPTfFTL
DACAdZBUe+bpzvNUrs23Nl6Zw5fJyJaemj64IPKxeA2aIllduBvdEl9YkSGg9tt2foNqwEzuaiqz
ZO94vn1Zb93QsS9stI0LTmDbkIvG9ZoCPSU5oM2MLxOEvyhYYlpqcOkqOvRVD+g89dI5ODaZTCGE
dcJs8D43nICF08GWo/lH11XDfQCQMH2o1zUOPcSU9PwVqLMJhHw1gm4jH1AkPFz6mSaPA53iNSup
+yy1YV0beSefxqwrLzVt+9WaYVXFOecVJy9ZOEHzalw+EQDFpkc+wXTjDDjC7kuoTh/xZIQQj6V4
2+5s15Hf6srzPsybT1IKp7eEbGnmDa+c7F6XUUPig+yQ0NRmwAymP90oSP0Hvij6xLguP1V13F3G
uarTIJMcO7FXxJBbqxWVJcQCQ46gXLx6e5sr/0JYw804JdFulCYkqU058oK/R3HjYGw77XEHg1eU
o+NIA9G40jxF8WJOWGqp6IsZL7JlYDWggaRhLLCO9DRKEVzzedCbTXWg5lnhSG7x3eYoWZ6J9PIe
2X4b3L8EYnlzXv6sOZ/PngAModEXxZ9YoPo04f1Kaxib0EFp3Jj6BQJ/P1T4y6ZlAZjvPk+jO9w5
0tDA25G4M2XvfoeCYAQqStePLi/SV98zIicYTC89zHVxFE66NIGqBwalHdqCb2uqCVdx2166WJVh
w7k9NPoAp0WBUyNSgfKVF2fQbvmni9fkK2NwIpatpAWegwGATfmYJYR6wBCYhXOxzo5u0QRF6nmB
mPqF0yW9B3RNQGEiUnMY8o148If10BhMpkHL5C0hIfAnHb06M1bDeEwHUIycsEc6Hc520fMSoAya
eyP70uL8c1Pr+pMuuySsumiG2GLhb05/S75LP0AfGwdD6qsFjOaDR9NDyjXjUOzXI3T4TUKWQ1hy
J6w3oumIUReNqlBfWzHYV1XiKWhd0orRdSLpP7V4ap5Hx8LNDcpqPkNehdriFydpssz2vujRHliC
IoEJgBxemYRl7a4dJWoPJ3XVg2l7cXQY30iyKo+BSBJGyLydNizG3TTZHYsGxZdFOE8GMwiWlFFf
jdpxPk2kvzOPtaqKQgjhRuCYHHsdVGq04qviuOSAt167HME6+3QRP6cdng2BMTrzLbFBcH5NorX2
SbrE5U4mcNbPEHqXy7RNjZco7UZU2i6Ull3eKTNAtjx8tlvdg0CNEBNjw6u9wO6X7Ms82ewCf1HC
LVR6HyrVOM4p1rg+c1Ct08cJp1YO4zem8hKR5wyYuzGYc4Ym8TUqNfvBfOM4FwAoxS4le6pDeFm1
F4Mn5LcyQkg7O2hf/LwIYav5gb0RpV3tJJ+mWZBPYqxUbF2UwAMp+3qnTfIwiAADGfKrCJLbAPt6
2WjYKCArxL/B5GCPl/kYjcaDKg9OakCBjFLkOWvDh20EbkTkMdsDpO7S1iaoxBKW6VydYoiqGQpO
2N9ZYxj7qazUAZeuYi/9yOHI1dEd02VGuXJUyPO78iuxWdYnVqL9ir9ctmccaPOG1dK/k0wcUS3P
2DEiOZUPACBpvTcHP/lgLBZ6sXHi/vFSPGGPzXaFg+haHVWfLZ8iR/WP/RufPV3deQlHOOoWStBm
fMVmePzqJBqyG7RBeLm1HZl9UNLdvNqqZ7q9GgCJTgNAv6t74VxPPZOnVGDAC+OOVbjL06lKQmtc
ptfUwGejWVvoWSubyq6poobRwBtBPyJSnqISRrY4jTCm8HrM5+US3fk2Htjo/cx5mcDmSVKDjy52
wjFWtcUNDk9jGcJABLR2u6Lbx5aXfoC4ZDzUCyFyq0QdvJbM0wOz7eR+EmoKaj+zgU7acTLxA/aM
y7yICB6YFzx/WMSe/1hHmhh7O0INtOOgLNow7iDZQXhtoRnGqwd6AspHhWQ4C7dWOvVHa2A83yA0
8PYjsPHVjDeA3hPL5PcBY4riEwbxfn+J32byHf4vagpiBKmKKqOkRLRg5g8kToj6yRzt4nHqTfVN
lHF9Inxmbi5GzCWfKzpjXOLtLvuSOXVsHmhj3Vs0+1jz2QaCSGTnm8Yj3uQePvY+cBMrBCv4/DLQ
gchhYUvt1HV736kJiftQsgx3XbpSYI/YQwe905l3QqatdVUojFIPS+eYj3IjO5HF8r1ai5m5Dhgc
HEJLImTUpZHFJ9eLISd3mBXXWHJMBCtgbX+Z4j59GXUYzrAtu/nFkLndHWrtBn1ajp84TAPaPD03
IKgoay4mFbtNYNTZN0/2ZreDhoLfq9+5915WXUHtJZGnrckjI3dsTvKPyeqV4UDztcdY+VjhZXdM
a2MImXqL3SS8254X4DY1IrWHbQOfr3DwZJCUHx2KDpBjOeT7kRxZ5ONpFiZjQXqgnswDJoHpEZV1
dT85BO6US1eHg0XVaJc4MUZ8zOIU5xoCKpNfehG5bGzKOfNQE7o9AsXihJ7cCjLqy7jPp7vK68wn
E+NlYrGZm4Rl13+qIo1IJ4UTqtEU7TEHXg4uLB2ZGPPE2H/0IE7O/kUkIwftayNiNC6wjkM/auHA
WjkB3hCC1r3ZEXKWKMi6q+4mJ6gjPwpWNu/vqpfHFpfW12ZJ8rtYg80PutqCALS6lImwn0Xrxd8U
B2gguUFjV2BzODhogYgCjBJ3z2/MjbsVsogMZswXqXiTvnks8ZM+QYyE/DdhC/lol4lxVUQMfjQ2
hSfpJfpjgwvi52hEqB4IczFe9Sir/rOd0wZtLFvMQqtImesRmfcEecQRczikEKswO2uKbwhvu/Ni
Qbbe6cTnAMtmy6QaaJifH/C7hyFCFM49Ei2VHSzVYnXgTpoeB4zWD4CjIXK4FpVCmG9nZqMaaD8w
S9ioFNSMPKRG6i+bt21n4NL+HDwH9ug8plCpZtgBEdu/WN2TW9ImkDcBJh2Iundyol9Ge9zZleV9
Hgjq+N64kNIwbPXzJVS98i987c/+qWynPsZXIaGInuzC+64wGAlTkJyrfuqnG4jP0NwIf6AwxQzE
+9qBrtdQy9r0HligPg2jbT84g6lLYhVNtsRIMRgARI6RCjU9MYsQ8aDppmlEc54hExDIq4R5hi3U
nAii2oabCvu4A56BA4MRuJDH/8VH/188voh1wgMLi7j/GSH9P9W3L+WX6l9fqm//ukm/1i9fun+R
x8f/7X/UHf73b/qbIGD/4WMM6nsW5cpm1wV8+DdBQPwhtvG8dPD4ku6bJvG/UFP7D/6LQF4IUChN
0MX/Rk29P9BJ0LkpaWERxt+w/hOCwFvm7Q+wqQL/wM/CxAHM9IFu+W0/waY9TFrkAZC7kqkk+sAt
XyrUxzQ5oDDY6DaHei1eUQY3yKXzl9qikPABA9k1zB0VCXWRqnA0nycQ+yl90qR8Bj/c5L85DT9a
lL3z04SvZOIj7pu+68HX8Jnx/HyJto5c08rj7qhKJErYWIs9lpMwPhP/rNv2C8XFjdePYR8LBjAe
Mt//rwuARSG4VXARN4PBH6BlkVuNmkD4jlHMBdjrrGnNyK2104jJfYODTxTR0PiAAwluWAzP//bU
Q5L7zzZtm8viu6cE5Rp2MSC7R1rbO3C7dxAgF5Bkj2jC0HZY8nFM3JsUQ5xff1XnHYr+dq895fEx
jvRB+d99VW+NeqgVdXusaJdOQ0xYIsfIc92W5HcvRLuA3NVBu8Vk6Il5mIzM6mzM4h5uUnUmfsHY
22QRfsGEf9p3szAf7NzSwfZeHDcdFzhPvRzZF/O90TjzLs/JjnM9nKm7UcMra+L1EI0C2BSiUxJx
I5fW+7OP+guz61WIJUh0GVfQSQwiTI+9C91/iT5CTGe1lrjBWMo9EPU638w96D9xmPteFy/UY9h6
d9HNqvzvqNEe7FV++vWd29xBf35CvBIbX8eCs+Ewzv95jcgVARuiqQbvDIoTTE//JMs1VE43BIxk
CfRLYoggLaqxX3+u2Fb/zx/suLbHrFxuSmS2kZ8/uGx82fS+yqj9k2KvhiK7kGodToJxfxjbpOqk
4HdB3Qn3irKnAfIgeVSqigdakIhcJDGeQj16T+j1OxRoOeUIYp66nZYjSZAD3ZVwoMyR3bj/zbVv
3oLvrt2zlCSkF122R5n287UjkXHgBibF0bcEBmAIZa8wtGgA7P0HaG+MEuRAukg0lDfNrC5Q8V5g
pH05kvrApNe7+GsDcuZD7Z49wBnM0Eht8g2+tFz4Nl5hw0O016+/vu5/f9YOlo3CcwUbkovy8OfL
HgQ6ug7m+XEyqKIxY+aDkVz+daM7zFSCdsSkyXAK8bv38x9uGHMfH4sgFxH5xl77cScaRRlNI/Tu
Y4T+BfEYPH8fXDH89fd7N9BiE2AWxWBOKZMvx4bz86dURAzaRlsURHfI6ii7Fq1zlLz8+kOUs/2a
90/f8aUQQlpEb4l3Tx+6gZQkMxTHWhSv1MSw1r3er3YxcTlEIPGS+8bE2aJJoKysNYfCXbxaGFTe
NyvBqGSYcO4gVLYc7QclZtkwZomZKnoWORm8IujwCKdcU4+GZxCC5ckbqOndRTqNKszBU3baKvyD
gdp3j9RMbFZNR3Nmf3OtGV0CDK49EcMIsxPXOpuSS8tG6AV+xL8nzIXkAcTVO2RoatdSYJ6yGJAU
/SIBs6NR7RKfMlOI/okZB8FPDcZG0UCo9Jq+uJl9Dy8/uoyajARSO3vtMFw54RniY8henYzZJynA
M/1DgaVbBy62G2GcwyuW+PJTjCIiY31XcS8C3RQvCCrpAvP4Y7s2K7pU/xEMnxU45Fy3fV+lvnGa
Ei0wYBuesQTwyUZn916WvP+EBgXNIMQSimQ81HKHDyvg332xzIVtWUg4eVP60sfUqzhJiwBkFEGl
cD9XHbwHuA7iQdcwKqCrchCvnrGXRfaKS3CP9nVQIUZ/M2jK8NCJ/DsSRU0cZXGOJ7IhtWLjnkYC
cxjkWCH184CcxXiWJr5JTtTBb0mIrHSVHQWj0ycH9jLyLd30xXZ4HG7rpYHRcwIXC7ElpVOeUcZ/
yCz/sSVLhtewG8I8UsmR4sfmYNFOUNBV76q+e/BSus+yGW8pMI6oaV86kwjZfkQvDeem3/tbfjv0
vgaqROaBsXqHti1eKzIOdl6rr9pBX61l/gr2CJcLN+wwdvii/UTM8WRfRzYrUFVahUgjbvKoFoFF
WgsMEQhlYkR1wXyx39XbkbnU1FfYJjWk5OWvRmywYnmyi4xfUbPzI7N1n3TOxKaKVbUTROGGsDBe
wRpZBAm7NdEGKjSS+jzLnsEfxn0BZnMvdl0WKM0skF9moB9gkWFclbx4tlmf8NLsrrxIPsJy5DtS
np69bKS22h4MlcFN73XIxS0Oj7e1u0wsG7PxYXBGBVhPkr6oiJrRje17WxX+cViKF2VqOPiscGvg
1XhbuB1YOaGE8wHvCQQVpXdchHpsfAqZpDXzv14BHLZeLMu+h5/Sh6TSsiIRGF9XMw9rTLdqw+D3
1WVDWmXCCrJxmGW6yOvSjBhlCmim58kEdLMmiIlwPHOw4vTl7cK5XKqYsVoPmcGZ5vt8b5rx/tPo
b/6t8MaYqM68ajJprmtiv/ap5tnJhYxqxrMXljdzTaUAHxrwuclmfa6nOg6yPMoO8xBVIMHFq7GR
XH3p8m/4HixdeC3bAy5N914U7TPpYAw65+wVsRh5jm328rZdYAz0OszU0UqzE1RZzAf0HomE5FQH
jbdkoDIDA39csXY0A9RDK/UUVbLcaRc+kSuyc1GrPMxbdiU2qnzvrc2zK+rz2+lEmHuNTpU74FpO
dCm87HUxo+hOEGxYUiQFqbc6+66vmoM7E6q2+N+qzVPWFqxcvJv6Xd+n+B7wHjsGv1ez1+b4j4bw
9I+dLF4G6qttOyPxgC2v8G7eNiVadzxth/45m7m2dPRuBJakp7Zw7+l3qmMK95jhXfayGNu4A/hr
V2ge7ls3kWwFi4dl5X47drxa3rx9Q0Cx1+2VaFP3fjsKJBOHoeHC3p5BI/ybtCTOxyTlCUPbM/Ir
eATVtmwqBV4lCDuscas0Ec2d3S4jsT4u9t3KUukYyfy10ymHzQT7wkeGWeyo3mrs2U2mW1IfBzQF
vL9ExG3ecCv/SmGeUZCUezlsT2dmKh24kJDXmCknVvv8p2adL9924nTeCjEvZpRGQCFvMGUW3fuj
LJp23fEvPK5EzYd+5qeq5wGMgCaknozrAf/L9AaL3TxUbsPx07MjsIb59du5YudcVL8Vz7nn3ltd
tAcZWo52BMieL9zIbYXNK38Tw+97l53moPFG2pFkTSwaxMagaFhWpWb3UZpHY/sUFNvT7bPuGW87
WCsJuz5dUHVkGKlp/egK3vbfYtsdozapjoiVbFID6/rUZv2w3864zucD4oRV7Y68QHLNz6jMkMSR
fxNkjZWHb+XwiBch87IuvzaiYvlIAFp9whCZXFSoLTtzzl/e1ko1lC8Q5V6JCX+MzGzhwOhIetHc
6u20iXz2xXzgFYi6Ib+eJS6enuHBZNFM2GH9IE4TMNzGpmoPUm9pYqTx3ExguyFiDepzV5Jx1yan
Ag/mkOOkvWGXbK9SBw8wZyJXBXa2h/NrAucUq6sDAk+1r2sM67J2IEOEvCriaRPXPHUMS1/gPIzg
nUQuH7SFwmVQaX/0ZUKpMaevdVs/A6MOTNfa8qtBEv0HyC3oUqt8DuNm+ED0b3ykz0HZGlnWM1pg
eNIlLIccczhwTSsKAfzxJCjgW660SbqOt9Kg0fVF5ybyzhoJ+ZsI3wycKcKLbgFmVVsDlxMJgSdK
d2NbiXOQzmxdmn78MhrFHGYSOFPn2LSJae0PTGfWq7XjdSJ660VtbR4cjTwkRpT/UQTiuO6UnHyY
lzfkdOQhppQpfm4FJCxE33B6SIKdCyTuuiGaMynx3q0W7pgW3fdspWAbtNvsrLaC642+bi+kc4Fn
2nPhQ+D3R5hF2vYmYpZqOAbK7o+N1WVBmjkRH5/xywZ+GeIGfvcKUpla1njoRveywLM7Jlnue45D
L7AdDNKJOWpAA/W1kdM+i5evTEvpIiGI7hKDCUit8M022qEIWA3dLoPouPMsU+8IgxQmPVyKsDG1
T0bGIMTuJ3O/6bEpnu+MCcF1xwbQm+MB8jZWTDHPNMbyYOquyC0CAdQT5OrpsvMKtUNsi025b3xv
PBafnKCwixmubT4aX9yBXTdrLfsC8+T7OM+YRXXmuTPsPKxitkwzG0knSi3j1Kb4FfUzona1dT64
3sIQW9mWIL+8WnPtH5KE+smK2GmgYi8f7cEhi0oK/I0KTiAHO6fXKTOQw1uqeKpaUpSc1XzWgq3C
sPrnKgLiKDE0/BqvxMZwEo9IDuVwzGuK4ASp2AEvzw7PH82cNTOYQ7zt446Rn22Tcy5mc8B1a9gb
uvaPYwOp+K2jd32KO2nzmmIo0HPIWPeMhzrmNvDCupJ1W29LlIb56EzTi69HYtwrfZ8oVkwE63pn
MLDc4RD/ul2nVua9Bfpw7D2LtpDTeudTZmPP85JjhoVxOjWya973sPF3A76aeAduYegWc6fUlISW
SHyqiuncLNZnGsj2YGq3u4K61H0cjfxPVLk38QDsTnbf5dSxqRHKmV9nEL/2JAmqXe8PVNfbdoox
9XrNjB/FgBrIE3TVo53mL81Snikw5rtVzshHW/u66ahrDMs/Y/jg0TeqFFbHlO6KufzgY/ejRbIe
BlHwXTHOv3GmLLkzO6v5MzW59xVl8t7K5UXhsMKagtUw4gpFgcU9hYXDfXakekL2113FRjphCWqY
u6FjuYkNvEqBmydYy8Gi2Nci0jz3eZvMN4Zh4zXi+dsmXdKtaN1Qe/fDypelxhSrbnA7zXZt3dUn
2IDHyMTI0vKzV1g0r+gRnruOcwhp/g3A+Ka25UQfZpqwrdxpt7WKcnm+IdSQLo+agOZa7DN7MfYG
FwxbmDOzwn0W6QVdC1A/FiGem4dj3D3DJ6dfmMbpNiZEFRMX5ohY/FXHgRDKywVkcodHw3ybw6t4
aEedBqVp7Y3YxOmbWJdDQUe/fzvlUFhX51TblFHOgvha+dYZchq7Pi7guzmx18+lLZNvHRGeOJTz
CxTSysCvxzgYDVaTv0TRl2LCDCvtyldzNc2XMtLVueDUe1v99Jt7wtrSS5rVV0AIvlXhPRBMfIRZ
e1/FHJN9xMnFmPj7BlS5zorVbezra7fliSz5dgbGrM+xFjroqaHYFOLmvoPtz2HmN0ECdYohTHKz
pGxjgJE5HoRksufucGkgTmTHbYiqW9e9g9XKbiE4jdkVjyM1xC2yU5LZHeyRMCCxQj8BlWK1c8SN
PCJdOfdvZ68/854mTvT468bf/Sd4AYxRmJaQ0Ayh/f4EYuhMb2qxBR/QiqaTdCJ45cPw3DaAgplZ
rge4Anjjjzxl0k/XQyJKciPz5sltP6m2eTRVavEO0+huZcYoTWOPB8pjruM7PDFWdFAS89CiG8Nk
IgUQRdSdV240STVQAA8xfkGcg289krTEN2x4kldvHnTgDt69la9VOBmDdRYkn156zVwiL8A9z9Vb
USrpgQammPRLuaC/dqm9DJOJ79aEjZatHkb1LTOi7qrqWz9w4q0KTFIM4uh5QzdWEamZ1vyfQ+Qb
l4tBgQQKNH37HSKVFWmCd42bH6OelkPJKbrEqQzlmKDoKnP3Kd2gVL4f5//I62bBPPwNSv4PoBiZ
JKBsWE4wS3mP5dlKtUzN8vGYSdj/vViTU99RJyXQEHe5kcEo9LQZ6CK1fwNXvRGs3wFJtO+b+hKi
F1zyd0ASb7Y1YrEyHlVLKjJG+TLMyIncZDdbIH3TfN70UPvIXLEucrO7GrLZB78hkRsK1fOvV/eG
wL27Fp6AtKSNmy7L+x0OPAoM3ZJ6wr912wQ2wACvNUroft4U1w5ZEOyuv/7If8fsHfBRlygXCfxM
4f3z+2RXg0m7SYwG1gdqX7TEe7cxf7KK+nHuO8241UALMnXFKY11efr1p6ttbf34jSHdOxLrym02
4RBXs73uP0xHEtxHPJhcyTFJEvK8U+2cE6eT4eygJuxyP9lN6AT3aRXnoe3YLtY8U3SyYEDeOLUj
P01O6d9lejzhF3jbe2ret97g7RyopvuJIi1kJfdwF5rqiM8PdM6hSs+Vzcw90iWd5DpUhz7ll6e6
g71gGPcppcdFNlYWQ14cgI1alIhsVHMqfZhB0BHSKXRiCGMm7nAXczQh6M+RZcek2ZQiti/BzQyq
1/wWS3sncIHej1IQa+xYXXr2WhzUoyyPbyvhknmpDR0WUDLCMeEHiTBerG2yYU0tpHStBGY3URbK
JJ2ucT0jhACRBbtvRwmTggmEFem2lwwDcdkh/SULvbKtDlXjpJcQIzW0WgdVLGYt9tGWrTr5Kddg
NNGW3PyhGRwSClIRGpzEV9DIVl611fo8Tr59JJXb/Q3+bL8fREmhbAvUW7CyPQLv3+3dftx2vlH4
6gBapXBEoyS1CxA6XFZAEahIM1Gat03bVseogblgr4uzF832AGtkVRBQ8FfJRk3YVyczZufJ10Jk
RIUz5iHcZPJ4fbWzx403QyVmATpUXXWgYHOgjnK3lb0aOJ5Nztnffn1WD7dDIh5dCbI3zR6onTva
+7ErMZ3MevWbl/v9ycWIxdpmLB4ji02b+26pR0Nj4d2AgCJB+dchuuR1/M3L/H7/ePsIyTTH9U0P
/fi7G0wZ5krDixXgTAZpXnPU6U4D7zQrwNuAcwSZn95vPvT9DsKH2kI6lqSacW3bwgL3x1eYmAIv
8xJSA9taYk0R+4SJrmZLi5NjDmTTPhnkAl3UnRkFUHD732wh1vtJgLR9n5m2gHTN2YVo/ufPX9qy
0Bk5SIcR0TgYCH4fjbCh2mfbB5JaeYFuQR0ZTj1CoMzJePH0x19vY2/Thp+2se0aKEeIrlIMWDdx
04/3gNemk6LD7AyWvBHqpe1PJWZISIlNZJsw83zoomb/BYVIdMONdG7qmQlfNQj1AY3HGiZadgTk
Qhcdy1U9mz1e8hXWJuGQNIdyY89D++qhtEm+zpDIc9s63lk2U/skYhCg3bzZ303+cGfLGKsjbRQX
v/6OruA7/PQdHSbIhIfZ5I5hB/R+cLWkUGJahj+HkbfqDIt0PphNjIOJrjVhRHwJnJqKO3OK5blP
+AFNXoQtk7li5AROt6akg9mdQuuSRPHJjxOF/Vlm8F6bPQaa4rUB9zoRaw1cr/SKjbt9j5mcvW+6
VOM+kvSnovWw/HRXdUR3oEEQMMpwMxQk2NnsC/xCQFMhwui6MsiZEWvYRdDcYeAe8CPsb2b+5aHB
c3iXJPEDYfFEKUdTcbeszdPaZTab0Hjp4vMHAd/Eb65N9LVI5fBsYEz669tpb6/F+9tJwcP8ChKs
YzvvlgyhCRCmwYQPWCX27GpGRxCVPqfx9KEsoaXaUIAP62A5u9RbokAMfE1CRNQpVwVq1rQg1IRe
Pih8XrOsgkaElN380i642ZurD/O8ZIVodDh03w6BGbgvIL5IvCMhyV/XrCEfPovMwBwYj7hD7xxa
gdtUSQRCAA33aYTsedCzQbjVRKzQ2v0uiND5t93Kscwtvc60Xeyrobj8/NIgTFq8FnXswdIc3go+
yGcB7RdutMMS6Ecl9mMNR2mYZuNgG6UB6Nkm2D0O6rQ4aYORdDQiHKnLj2m8QWkpr12+4geEuQNp
SmJqWJhebIQdg4jQ7Fgjy4DXkJWqDO9cZWGHuTmnJha4jfNh0vYzCQ/FjiDhD0RXfZuGbkTN1I1X
JfxulPKNvo6rVN0NRELukwJzC/LogdsrtGTlNA9H+Fbq6NBeHWgCWeiaj5z9wv7N7Puf1g5VouNi
n+o7HCk/37kFe2r6QdaOLtxXmB3qbntXuhH/pcmK9fWvl+p7jSKiRR6RzTTAdW1MT94PjstRlsIc
B3ZYoOuQ3AaSV+o+uWpQ1QTmWs4H24yyG1y+kLWR3L2jkydMdOKmz7oFZSZUHD2B/qT96DzF3nW0
Qou0QFRn73KJszpsF97r/8vemSzHjWzZ9lfqB5CGztFMahB9MNh3IjWBSaKIHnB39Pj6WmBm1hOp
vFLdSZk9sxqkpWQSFREIb8/Ze+0+o73I311LzoQbI2Rc6oztAxOZsTN9/7Vu1Hxj1zROLDX33y04
Wgf8UCS4DGN1njWmtyUmOt4lyA8ehr7QtxRXoo0FJPJGpgRsuDY1MUhPaut4s9rGBuhSCufhkdvv
TYsW6YBoj5UD1txFievoXKNkucDyk+0amec7MMQoYwOvoB5S9g+CuO9N07PN4IYMyrWwIQDUqmUW
tkZ2aZs1Sc+4lj47kQ9DsbcoHSBYNnbhAhFt+pjUeh7kCpm8t02oL3ICZULMv9mg/2G0MEhC5633
v+yS70dL43lFXmLjRDROATQTPD8tBZtTDYHRF0yIX4+Xn1+PGxzdf45YCIHER1GJl1d0YeF77Yqy
5AAimQ20KEJiiNLggO9I/WY2WD8fLF0HPQNO2hBJgO+HH+ZDQCsB6iDRptSMHShsdOEsK/DO01K0
+2o2k9MYuinaW4+gmk4fNHA8eLfK2dYlk98fqoxKNwyHMedXYcdGZZL7vTFrF9m+b7V7qfgoqVfr
27JhuRbVsrkLoMwCwNM1mIwv07KMxJWI6G4z6DyrQJPNSMs8OnBkqxmbGCHdfY3+9jiTJYPwMwcN
6LySpF4TGSJec7/4AoJabQ2TxJGJAIkTZmV7C2u8pICk75uZsW4ZrPxvW6vMOWrpIE6eqN4727BE
3GDRUKUex2wKsSHsE4bgqU4K8zS0bruvvWU3LXMa75JzCRmWbLVlN6/MZa5OC7+NvKXpazWzvuU9
43wGIbPJtW4OKBDYe3KW3SaX6jEFrLrjuTnbAm4OIlgfmmfFXh8aiQGxRQGOf/vTgvGeTuQEat+g
M1tThdt0NujEkTIO8mn+hSyxmyOmEJ/JwnKRWgPngXaceYhjc0xaM7iwICQTbsZvwzYODo3PDK0S
/ooZc4KoorDdgBjw1vTX4SjGjcYdTcW2askmzJaPaQgru+yNeQZrYTXIvGtCblUUHgEA8uwKotSL
2XvwJv9bSW90nReufWR29thzc2fLCsYoFlOw71XBkSXlGP023UOPx0dXj1eAG7oB2kskCrGG6yR0
2n2a8HX8enZ9vEagr0Fax509DCiY8Ov3s5n8x9ppK4KlCAEjFgcNxLqiB/ebOfxxb357FRdHvGAS
i5+UnRSguTBRft/PFtjTbsYGr7PxszE1l8QUPC/xm795xbdw9h8PRMtLOuxoRBDZFlLJDx9MVTqm
kl+2+zjNmlPUojFLW1cfqaKhfiCNKKHiTFgTghPbi7+WYzHte1AXqzEmSA5848tcPP76WX9cyZa3
xLnE41IR8KuP9RgJdjsNTUlZKs8+11JM3//sF+UZbREI4b8Jfv4QzbyIVQX1AHA3lh1wp/E/aKc6
m9tbVOXNPoDkrG2bRCYDjmQdQW42aTStrN77gjX0QZrlEejMg06xPPYUBzo7f2mDJdYBQOlv9v9F
yPzuqLq8rXDZ/JeRt1Ad3g85JxjlFPtxA6+mR9pQ0G/yFNW5jvvUqrNhgtSKsk3ZfHJauWSQ8hUZ
SYkKyqifLD2i5aD1sSqkba/SusLK7DmXA4r+FYfab15zEK05bmaXqn3rH53GubFpC3RxsgTmdNnW
aGNSHRA3+Nje1y34VPLtaFBjkQHqzerjli37qbO0o7mjrXAelGsT0g2PpqFqjdL1rRaczab+za3I
/vnZLOJrgebNg0XhfZRAh1Y/tvRS5f6tnDEJBcgf4uCqGEqkJL7CoZZgy+L0DdC47823j4kaicQt
VdNDgR+GhL9fYzXLoT92xlaYCCv7pdU05zRymjKGIJaXOelpiIfi8rclQOtnFahPro0N6k0AeeM8
/v77pf1PaVTTn6GAwF4VBizglgNE1NdPHThMEg3ITA2FBjGO+dQo0p0eSCz59WQTP40yyha4c2wb
sbtJQeH9uyiz2ZEg59We2PAze+DB2IyEtKLc8+sXeisqvl9pUNtaQQgiCoofDJ73r4RwMOKYlct9
VCGkAeiKvS2HgwOc9rWYIb0CRWfwLoIsNXY1XA3Nm+lC4D9lH+NnTr7adL3TAYkmR2PqK3RNeb75
tl7arBX9biRh59pBzo7TYz4QUm/8Zhv4py8NzSuaYUHZRfwktq5o9toWEIt90pTWwlnF+1eNcl02
NGrGkqKpM3QvS4txylFsdCp5ncrgNyvWzwskt1eBBJcaEKWPj6O/sLvGl5Yl9+COvjskZax5DLwY
0L31MP3u1eyPpR5q4z4VxJDTJbAY/yOmxaktkAKeLZH8EiSby3raLEreubHjdWiBk5AePShoaGwR
gRtflXP9VJOBcuGR/LJyzfirDKzponDVfOi5qnEXIDLbLSk9GhF3gcwZrn491n7eR3nHgqM75fyl
SvXh7K3F6JfNyNQioznd141sN0ZO074zaTmi/oI3ZRa/qbP+Q4+MV2NEmCFNHSE+zqSCo8NQK7ve
c8FnCNeOS+96tM8zDGSHpGyRIMVVSRO4OzYoOk5cHW7eZDZcKY0tFRTinsCc7CO0lZs272GsCcc6
Q41g7RQNIOnQlcW2TEletE/2TIviTUZQWfQabcqfO2KCWM1SgcRpUSy6dpfe5DQhIbc4pP3NvruP
8wZDfeQ8FMqegTmgg5UcdwEDE5WZ+Ev/KxrCPRltFaQz+2YckBa8yQGJmjRXyFS/Lc1jL215uRF4
vxV9doxxXLxQw26eGYa//ir/cdnwHKpgPFwgAO6ygP3Qq5BwxxLtsmzEZGte5yXKX2x3844WB+Bx
pD/sgfSF09D+itKMgr/gi64GFWyGDgIfpr/hzJ+QVbyt9aU9oCaeUonMqJEU+lr7+U0N7JLYiU2m
1FhDtXOZZHwJv/4ky6B7v/4FrK/0ezBpmDZF2/cfRMcuqmXtN/vKZzPuxqHalP4yJfD2niDZcNsI
5vLZDSJ/A7Ag/82e6f58hCUHxRcOt0PsOdbHC2IYjBTrx6remwXC09rW4zV5V+02KBCPOSp0HysJ
zCJ1kvzYcanY5Hjx1qOB9IsaIq3WvFKbzvRhG80MU/YuRJg+mklvcj+bVkdKSf1kNPRp3yR7qAEs
HI7ovcEiR6A5hVwEdAJdWkaLaG+WiyyGQFm0pzK90WpwH82ChCMzPNc92GThzWI3LTYR/LGv/IdO
sDDM7y5M7X0V4EnJfRS6v/6S/uFkQUA8XQoYVwQcC295ij8MN9DqXEYJUtqTDIuSAk0dKERU1BYi
SpkyDUFfQmfJ5+No5uZqXnARUfqI3k4SCoNycV7is6Ume4jd+qZY1jfl3bvZnCIll88VInjg8cj3
fLOc9r9+9z+ve3BrOVEw701KxR/bil0LoaVEq7A3AndvRVz8lqUin2gkvwk4iqj8zar30+HZZ0xx
PqWPSXeFjX15Sz88r4RI2EnnNE9Rg5GmJltQiYvY/U2+2Lx9vR06yp71BfMDPotuUc72rQpWJBKQ
Mqx0vhX4P8Bks+b8+nl83Cjf3pzgXMt8e2sCvX9z3hRkmQEWnBuhQtaieQ9g+xHO8T0Vy1P5t19u
meKYexyLy8RP204uAdbHNDsGsYxavzyfcNuz0DB2uDv+1UT+X+PiLS/0DUC/TsFWNf/5Fj6Jt20J
a3z3m+2bGfOm+66n2+9NV7R/042Xv/k//cP/+P4/sXRaCEzoanEC+deezs33Ikl/dG/+vx/6C3rn
w3cOhQWylX7n8v+/7Zu+90dgYQoMfZref+Hw/uY7B38Ao+Mm7FnYlTnOsM/8Bb2z4eEBvUJk7i2e
Sw4W/459M/xw4nbNYPEguS6ARRcnUvDhuplWAjpKaKt9qpcwXDWo9r4jgOwp6dv+yhmHe7oSxm3l
tE2OOptwvskF+CzIN0L4OmRgY3Ldf9GEZh0hY3VbhEoCqzkoKcttW+JREFuPngmOfZ4gJWWDvI7T
svieed7XoWu8zTBz4FAwWQkTdutrGQ7RPZW8mmQ1i9tk7ZZf6gA1rmFPPc6BPL8GLXGLhrA/FQCZ
UdR6w6OTeeYW4muEYDjsNiEpGnBkwqfRyIgaGzjeV7mCymsYw94kLmUFozrdNI3EaD2pO7OEUomo
r8YP3oa3coSi1XWtunNL19g2cYbfemiAXOoW+UGUqz2i/+GTDXDpQN2neA0jWZ33DgFxAe33VTA1
7deOvMj7DMvVHief1yMYJl7Z7RH/gABDErQC7mJ9zrNkgu8mOhDTQXg+WOMwre25qyE5qXb87JB2
DYsPpVu6Um5vPtccjlesb+jrgtjiTq17cYHuMxPQC/LgMTCK5pQogPhrJ5hRDs8Iz4Y/F5f/tdn+
42T/z/+PsmT/mt2clv71krBOcHSn8Red/MO6wE/+tS4w+7lwL1V5Zp0Lz+GHdQHYu70I25ZamM+U
/WtZcMw/MIdzZBNuwKJCx+y/lwX+iHAtLHcebVnAILTg/14Yr/8897Gm/ku7sLWoBH44HrrLxSo0
Fw0B7j0XTdT7vYqIFR8CSTbtvUGrh5K2/pPyrfgisCPSwAmQHJ9bsgCj3NLfA+1UMKEahnGfJACI
GoKv/L7WWx84xZO2+vqsL4npsIK0eBGEN356e7z/Nxh/g2TlErzoLn41FvddRrRx++NA/O+f+msc
un9wBHeQLnBQsLlT8+/9iRfwgj8syAMcV+h8suUso+3v/cn9A2WjcPDc2sGyp/FDf+9P5h/WIl5D
KEAVZ9m+/p2BuBxw341DXiEgdAD3PmJPSAPvx2Fopz1E4tHftoLNZzXP0/Qpsb3x36thuBRRPNRv
HJKWbjy3kvcv02CXzbgPe1vPzfvPPYGrO8oPseZomIOiLGX/m7PxzxNsKRQiuaN4g5KCRtT7VwzL
OQ+6PPK2vjWGEAtLs0gQByfQhiqC6DalV6Z3QednhzZCEzoA7iOgpZw/V4R87k0VZmcN8V6ED2LK
ZLvIwH4XwwWFwvncGnP5m/rvx5P12xPiK3cFZWDT51z5/v1mcCUn7mv+FiNi+TKg2F83RODA5Icp
tEGwGhCl6XvDiuCkF12b80s3BsMjnV0c7V1NAnXX5Q9VPbZn8TjXrz8M6r/Wrx8RDx/v5X++PUQp
GIEd2gYB4/HHg78fKkJPAZ9vO7RzF+ls5SMxP7Wz8ZshOcFV8TkBWLI+Fa0zbqmjEzEUk0nLe6Yf
OaIitKGVXU0j2gJLHs3EuBljS+D6wjwAhp5AyGeHRXzfR66+Lsgh/tpBs92Xk5K3v/4sb/ei92Me
VAMlo8B2HC5PzrI2/3CJCQhtMQG9iK3siuR8EhoUDpC7eDPKIMFAkHbQb2mGbg08Qy+VN9TRCjR9
mK8qTMwEbobGTTeO7bPHYYOYvoWrkBviabToXjfiwtfo/YiLhKpQGIgQSVk+tnWSoF/MnqVQ4E8j
8USilnPZGt26AoUcTGl/kJNXEhuBm4GzhTp3CaEjgi0Z0OLbqRXtEuDiq4zeLJ21wIV5jolVSzN5
CTx4kyurc+RJ0DS4aDOiQEGPAgvWpTkQp2sbNO9q/BVPv36WbxP3w7P0OSMTq8IdCGnzh2kmqbzl
opnE1iLV66rmOo2kczDPgVPvKTO+GtkwXnUT7jqSh4OkPMA7Gl49VeivrlTthYoHpO62AjCKLanY
EKuDxLCqfGuNoFJe1wn6g77H23yCkDq9hN1g3XUyqk+wEQykDHl8LmcvjjHJpQBPYnM8D/Iu27WY
s38zcD52z5ZJwMxctgSUzIKp8H7gyMCkeL5MgiZX/WVc2h2Ze7bhHiXL+rUxeeFOWQRzRFYxU+II
4pMjhTms6OLLgzW7wYMgsPe7HmLz26+/h+Uxf/gasO9j0ecboBjgfSibFTFAwEIMYjtQ71g7un5N
+umIEnDc+GN/9usX+3nPCOjU0Rkz0ZdaLOnvH0PN/jDgthRb1HL+k1lPgEeJyf1NVfenixN0gx9f
5cMsLQKMN42jxRZIZ/rdrMlkn7rKkNgrqmn360/0oVi3PDmOY+zR7KiBQ0v2/SdiSGZS2kqQjOzY
J2RQ8wtiN6LwtGPe2mPDslvVQ8jtxTSra8CEevPrN/APj5SDKsKKgPXf5Zfv3wBxvUKqhHS7ovX7
R5TJ2Lmi2f/NLmwv/8yPw4RSFwcH+p8s4WQX+R9OnTZLbjAVmbfFP3Url4p+aU77LO1vxvK+DtMr
YvXW3ElfljsSQkPjarbALrOf4G9xhgn1YUdiS0IShNfIYb8AqVdivG1sSRrWlJhbmcbFyuySIwpr
wkyccCa7ZVDfs/h3veyP4wMRKJgl9kok7cu5ioP/j6v4TJaZ6jzwgoptZx11Kebtic7R7NXGb76d
nx4btYBl46NvBrsefP77l0rmyC78zgjBJnjxWTTlxsE356WMS2yb00TdYbk5/OZFOQp+nNX0hFlv
OC6xsqIv//h1DTDV7RK//LYvhnuR5qSXghPeh8CcnhxV43ZFu3FrxOlRx8Mz+Its5w+T/SWLiVVt
UeRw9uHOGvhQFb3rRuJNZnFbShFyX7SVXLiZz/hOnuve2qfmUBNoTe5uA7aT1HXAaP4wHkXeI7Dy
G/M69AZJ/CPh2wRExWA1yW5LzcncES8qLoIaaGuMF1LaRoHTbUhWYYQl35HlDY0xrPP0JphAt1yi
1yz6x9wN7mKuzlcz/XY5vyBsaa6qmTTSSoj4qamN7spQmb0bsobA6TkDmqrwievGz/YEVVbAIVSR
PcP4sBaIXJWsw7HpX+wi1CDN3RCRY+u4zyORIrvQLO+l7K91sO/4nGkWW9+ilG4r8XUVnqu4/IzK
Kp2x9Qu9Eyqnq5CG8jAWFMntSZeXgJjza2v0kEPaGIpp07rsubqzvzdOHlyUpd/sUiu2SD3JkeLR
tI6288A1bxOxS33Om2rYklI6wiiZYEN7d0KmIA6VU8arquvcYo3wcjppJ3FvQHarNXnT29Ext2E9
Huqkmvd24Rwij+oRrB8ge+1kh6/TAPx16O5V330nkAAfkV3nO0ij5TYM+k9los4aKAK7pmv7i8hW
1qPKYAEQ+CFoWsqalvdUUI4NZ/ohjropQ3ilcRdc9LnvHlqp9SrpYqNY5cHooYuiZqWBbO4tMqqu
aY+WL1XD19ZpruCYq+PXAO/5PoZSdaDcIm+aIrCeKiWLT0Pq7EE715SssMtd15SIb4yc3Ea0JWYi
1qWtpk2T9dNDEc/tDRzQ7kHaGV0HQ5OvnURyL2sjvzSkig/zSM0s56B1SWBUss6oCG8sKIe8sicv
o9notvkwmtvODawvRmTpY+3V4tLWUgEWVu1hzsr2BvrkV937E6AHPuFgCmOvo/7ajF1i1u7pqqCt
L6crQsYvInRVe8JvhmNt5fW3KLKS+9pkSCqnSzmAB1DkVW6dASaZaTMpolTCmQT2MRY3vhqSSxyD
CKlwsK7rSVevKNTGndG701kpdXlVieB7osRzZZoRhjWQIhG4g3T85DckKhErBWR2Ip07cYiU7ppk
PsISpQes409aNp+o6UHBaYWlvxb0bx/jIPfw0qhyHzpTvSW2gByKcmjOdanFRofaO2RaFjttBPFW
OLwpVMTVI4k1xkXKu9pIK+Iv59UtK+x4UHAVj1breFv+Vry3/eGcTu53R8SYRsjEaLKQTmAFH3ud
ocba23ir73raPtt+7A3QnkFwFSHu3JJSEdw5iN+aQNS3hR68K9GxKjAHZ9KN0/5YlOJ6lqZz0yUl
3wnMHXj/zdCduVYzMKnaZJeEw7Du6LiMdi3P0XMnIFs8IjgnjN+CzImH1qETnTtyPpmm4gPWqlmT
FUtylNtMbBCKdHUryb40XdWd97EYLqGxFjcC28oFlKIS8hlYmqTIaHulzyopm10MDhW+RqFYV1Fq
9yHcSuKlL+ucxuyE8f6bM2RksAUq26iQXneax+qagFNquRFXO2/nlO6jEyns9A4hFduEIAPLz6+g
ZXe3cTSdiEWDnIxuMc/uKcJWfGKZ3zjmiPx8Su0Xcx6LW9lnnPSDYXb3WWPjaCTEJ9uM2rvSNIo2
lSTZXo3OnRWNa1G52Ji6iAwRv0OhKbstyr2vVa9OiSU2hZt/rVKX0KOqd/eD9Oy9Nsy7Okd8CMDl
ohI9QuKuhnstgP08kRNqbaQaquhzzPUMR39U+rspm1pu17M+taSUrRcnAX7Z+LKbm2Dd2oO1TgYi
79d+TTKooTQBG2lYAQImwnZHN5/2IVZIjh31vs6y/FQ7Rn9tWCRzp2aFkreu5ZnwmvrW9dRNkhPR
UBeh8SV1df1lxi+99L3Sx6gKXFIP3fQ8jbTzxLuut7jDxGXVp7DLxmDeJ55MvoSoxs+gs3aoo9g5
tY2YIgHQdujTDpp7m3EdLHAcN/Dmj9IRsOFpYaLNzM2LYpDdrlUs3lmqb7T1mifUEVaAq5r7oPWr
dQM59domxPfWg1J/krpYMoX97GS6zrR1izb6hOZzeupQxRBaXli3iOrg+EFiOC4BVXtXt+lnEFdE
B7iN2vUq8J9kbEJnTcL6LHNitttkuiYXIdmM5FhdU9khI49Pi+B7Eqe2b8R55HSCDmxv3mM+Tm+K
tHWOuhmCc7oKlMDDLL7oy4BfNWF/qfzsRZYqu08ENIiFBEv8htqqrvkalCLZVQXnRYxgy+oSJomV
oy/j3A/Afjo2LqR9Q5/BZxJmui0br7oaCrDpMSS4dm1JL9oaXeBfOCg8b1vSvgiDVuWTbxPlYBju
40STckO+Cdufavs9KFky2FtYRAhd6A0arleeEazssYa5egcOn8RnE+ORb2h1Z4gegcI4F2G/86VI
joC35M6cXHdVWAqtr4vhmxasBgs/Vp57zOJ+PlaBSUpb618H/DxNeayIBFkWF3OqXtCXAmvPtcMJ
uNDVXaW7S7jnB79xX6tgSR6Y42uRhx4IHuxexDdk8O54zrGfirWCz7+iHHXRxBJXFonGgY52OioH
8BkWeZqEKYRXgxV2V21LBjhXTA9TcpFauxDQQ7Lym15f0syKHn3tW7dAFswLux3kmRPH48VIFOFL
g3EWuZ0C/z1UvBnDdMkFGM3wW5Am1VmeEqhho+S9sEBWbbRXgfBNOfTtIvA/PTIrZ/pih41/XvbN
RIaOU1dbHfrVrUSjcExU1n8vsOjBx3QMCecv6PdNLR0iGqzUejAiziQZpmzUBIL9uqf8A37Li0wg
EJKU5aBT0T3Cio4vf+H/NUMZ74H8iYJzpvIkwAhEKODri8daEGyq/bmIN7ohrgBWVRJF24yEEA8t
TRZe5kne7+wcW6zDZWhksTHEc6zYgnwZFc+e3fngKg3Y7/lAcvswlCFhLkry5unrlZxn0Dwji1fN
qlDGfDXmFCg3LWEXV4CZm4usz25Lb/7q+tmnrnQ7WByTfQYOKz503fzUzTYTei4VysJcY4CY661d
EhwZLNsNLm+f063G3kCJaNxUpac2ZMp05zbc/x2OmWS3RFoiLvErqN1QUYmlH3bAuOhMQXpid00J
O12iVJqpyk7GmMpHoBGnLnqZXf82GOx7HfRfLJXAhIk/i7x5SmzQ/GVslDeQXVFnm5UP2Lr0zwtC
6doNGLpyU6N40qua7uBlSTYnxoNwPpSFQSa3X9ickwJRXaAxbO+MJifHhqwWOF7S7i6hqRD43nhC
fEGqAu2Ct9Bdq0jEN0U43kVj6YDGrqrnEa8ZLbHBdA6UlohFBEB5B+xd7aexNraVlP6hMqZ4Qfvn
00uHy4ziK/HJMYYjeBDOItNyAkJSdH0DAWo49KYVP1d1a6201QUEe8Zgn+PwzKlyeePlFFxWVpiq
Td+k8uiLang0NUgA7iq9o1ZpDL/cq2furCZmp1UXeekrP1OhmSedZYOWymNj9XTi0jVt4M4PQbbl
/N9c+UVICNQCR9lqOyzPkeYYAicYNsciS4hqD82WJdetHdxMtgGXMwzuDMRmiKUoGsJCn+pnLuzm
iRJFvdcAFJncXbiHDwe+KMIpQG5hH5YVsuF03o0OrhXmMHFWDgZrMCTztdGb3ZbkzYJjMMaKIzBE
48JMlthccwS5VCQqutIcPrYiIcmmxjK+7yKoQylut1MZBw9Fb57ZRCd8nbs43UNnSu7c3qjvZuEY
606SY50usKamDL2bRav0ORFFeNvltn2BzCNa8U/G35al8DPg++SuG0pFsICVWyed4YOWmRE++HPb
3vt5mIebrk2/sbAUl0k/jA+DOUFxT0kOxy7U0KWaiH6Av50fkjiYz4s2jS+JxlQ3vR7rszqTzlHG
XYtxoMTpb9jxp1R20RWg9YoJRO2FvNP0RPRY86kMUweXUxcWe848Um5VT6uYwJ/woOBTtEuVIb2i
Mtg/5i6VwdGYyrM67Jtw5dVDc0NmuE85ZdbToeK8dvKK1vs+WBjwVnNWpTcOQ/VGBdlECqoxILAW
PvfjpOA2eSC8HNFWhfh0p7KgOiTVkH1qmlI/qwzt2tYxaRwAYJ3h2nM4zx46BJwbO5iIn0dQhtqn
LLnYgBkyz/E3JpeGZ0LWE7U89BF+f8NBUp9Nib5mm8Qp5MyQfNiIY5I9g+nRIBvkwUiNAqYhYZwK
DiWXw6q9zP3xxo8Cn8Hf591B8hGMFZz16pXfut4aBjJHyxzF8wCaU9HrGONA3BpJnG58DZPLBTbk
rlUYNw9Wa1EwNU3Od/yx+lbIaNyC0LCvLEJYuN5z4LmMtNF/EUmUoWQCBrKNsCuAqq3cIb11kqTd
F8pZhJ3z1KlT7RLgoePplg9KCV3q0eBSVeJzn9tpP/peecgdw3QeyyhqXns7K7haUzmszuAleljR
u0kMp3BKPXs1R5Y/QfnK9bDhJG0YV6i32uBkTV4xbEchnrpyLA9yDhyyXh3yZ41UTauyr1vkjSjX
a2Y7Tk4AYOVw1SK7YCmY525cRXkaJrsSGS9J0T2HW3Iq5HZq9GRDRTJxa3qpoFEV1Nm8EoMyjqMS
9UXuhM1DSrzXeiChdjUoRAIABcfXWYZzuURND2ezUZdfBTAxnGwFWyShryz/5tA758iD5k925Tav
CXWgCxO21gsfXT130dDAxweudcZWyDLAdwOFcerKQF+KIJ4um5oMLQJk5mLXi948pxqG8dfv4Qht
eqdIl2AneYUMy7ysTZERnNVwXfTRRKK71jnVdRbuTwqtdr4NnOGUtQQXgBc1KrXCzy+fG4U5qpBu
9ERLiXkFAYSLXlrfVX0UnEdaxPnOCJyvhU0BakBR6rZkbUvqmfusn8/yHBwl2Qc+55nZiG/TiUDo
sRtbHIsyPskksK5ykcNTynSniSbsq2Y3VXN7nEplb6WRQrFEEKs/ITLpDxnb12NMpE7LCp94JD0M
VnOm5yz/UnNc2g5D3R6YqvFJBZ11LZvMINIux7GA5sSIjHW70AbX4zgRyiOIx1m7IwmrGfDKp4Hb
8FdbqACmxByf7H783lj9d90YDyZXgFWRpdYRcfS4CRD07tyBJbRGwveoZRyfBaEMzzM3Tr/3xKmB
e6vT6ZLKFjtDycF6FRi236EhsSiD6rRZzyP0oAa5DfHTvvPa2GJovi0vQeyqNyCDGROXvAfP7s18
NfcpV3uPdibQAmdyEer2DvJcPhwRblzB50eh4Qys83n4mhrExq/7YGyvxsi/7pNWXLSswYKPFW3S
dmyo6OROd0J5Nx/1gHaW2fFs8q8ASTOEC+zPz/deO41EsMTBuNHT/DnoqMPFezxuz74OhitT+c4T
rF4+OdswAuGqPdLjqrdUl5xHdqe1ayTAEbNoEpcGupo1Z5lsNZAetVHWfJFUpTqFnu6JilXyZSpG
ym1lZwCe4K5rgE9YO2poo3VUESBZBx3zwLDEseFIG68wb9sDkmq25Da3x72nZ2Nfmw0JXHoxdMad
LS8b26h2JjCTY+0Tw4IjJrbuZECOMKUMACT46ZAtG9l4nK3mtox0cm3Z1AVRIBbcATsosBGJIDgb
iSuZQIYGKE0PfOPtsJ7tBbQbDIzYJDzVffg0GI7/SAKKh/hVA30NZovSbDluBHsvMBDPuQj6ziNP
MFVPveVlp1IAueVwICHI9cM67RUS+TAcLlBa55hVTGPahk5Ct67ifnXjT9yKYdH1JxgE6bdYg5SQ
BQ5IR9BGy9O4eiiBCN3HcTffGkbsP9Kvr7kSpVEZkVSF2TIghXFdeJnlQOZoF7VSWlCDLey7dqpC
7rMpaUxui3x1Bg8oHSdAuYpltVF5X63diqESumMJ54CzJGlaZAOuUt8c1kYuogQUlRtz3Jr6zyyj
quX6KzI45fXA0Z5El/ZIFzqY11OjZAn0xe9uW4uEwoLjPSFClEcGrl02ieChGODAYCq9VHUdnQUK
U1pSE6Q3DMI7B0SrDgNAy12g5gy0U8MdqCElVUeZvCad+7opHefBGqMVjOPPae19CZFwrQRgupRM
cqzRXjIv7DrtrcHeXnhdJA5xnJi3shbOGohXcFZOQ3GRNvl9lcDMtTCLvirLtu587br3XV5Hx5Qj
yNZQ/V1kDxjeI2+4HcrBPHSFyC9HdlJydqpFvtbdRsYck0tWlvum1d4OPFuNsTNxLsgJ7PYA9Ntd
19SQaAfWfGgMJ5Cvxn6MyiMean/fuQyjLGlfW24rLxNJcI40xnU3dZhjxQxLls4XxtDyaNp1sVUa
maufkCFTRH5bM8IdcpecOblvO5K16cc6quI7pte1Nafmm9uU8wlusHMVdK0mfih38RYZrKSwibq9
CyduV+emQQZNawdbW1wp0M0r1WLHX2vRdLts8iXZJrSWJUK64hSQpTRLYxtm1WWfGt1zGYqXLjDi
fWeM1nGq2iUJpfBuOlOv68Y7t0HeG5L7Xd3G7kmr5Irab03voNzXSXZTG8L8msh5YGniOmwP5Ug5
v59OFMAecvCGsTT9NY2HtZ2mFPtQFx8dnZ7iCgFiq8fixSH8jkQ//Xme43OUnRYZYGmNzNGyyUmj
t2+zHRgClBBXICx8R9+eGrmqQwXusa3oZHH08E/C+C/qzmw3cuba0q/SD9A0yOAQ5G0yZyk1SyXV
DaEqVQXHIIMz+fTnS58+gF122zDQN33xF/BPSiWHiNh7r/WtGcjhSoEclIvc1C7mwNAhLjy5lhM+
WNzvOoyCG+IQwUvWsP/cYd4r1tytLVUBaijzf9SV9p4DoyAyqlSkJA1bIth7S94fy2VpPHotdXr2
rawIDm7l+B/t6FjqM+Ef8Hq2DaEz2FNfXE/iOJqAf8AHHXcF7+0V5xrsIJovWDejhlZGmy2PieUl
z6ZxQWwOEXJ9GYpT5Lug84w4G19kDDDHaVqOpLtmn6Dc2RVlziMF3aLOX6xszRk5Om4afaosYSEG
o0NQjiHI9SbIqE9iVQTO9BFFefEYKXwHJ8bZeRkvA/MRBrQwjuGv4abDHDIZQU806LPNoNgPYbym
1/U0CgyJdNlTPo3F89CTpYXhegJnm6/0NKdEk0UXZIH8aHQ5fC618L8KWWDJ86KBsMiIc3NHXUci
0Awke+2Bd5vF6Y+Y7Un+tbnVFIMj1WLSoC4JrfadRnG7y/GAMMLs5VkGPj18S0Ku7n1Wq/IusGsE
2425d3Nx6qrmM7WJCWbOde+zv6ta37uWuuny3nr2nGnBRaK0evQ5kFx44tIPqImGitiQxKnsW7k4
X5iRroJ/IkXL0WRMlxazqfLoMFbR91GNT76Z370E1hgGSo4Z+PHMaS74rFD1B1BK9R38HaCGLQ96
ldFsVNjSENk4wxN7t2aHLOiS5QQA7CgDqFR7yyOYqVzH6tc6+mXcem5HUkR60jpFBC8TaiZUrahM
AqZSTdRNz1Gt+1d1hbfOmUuTuvTNXY6AwS6LS+dayc6ZpbN1wpQmRVcnyTv1QmXjw5FmKwt3PY24
o79nTk6ObAuD72btEcKD8CyuCIeMsTB4htiqBnIrOC2G9AuWXEXHxXaGrU2pI1h/qvrOLrX/bKbI
4aBF/zSzSa2B/vbRKcs5LCMrLr3V+ZLVfgtkd17fF0nVVsWMsuhsEC2b3Qdt9T5NjvtIFm6i9l3v
Lt8bOyuOA6fjixf1wfti4HEzzvQ5WherH9f5EtmXGW+J2UjJZUAPZuWHqlPJvUtr6Ce1KVXImid3
ZGhqGhVcP66klUpnl/hO+UoJh7S5bQ9YLeKpcuwbLyICLe3G4rXqzbEdmmnvV9Nb3yFV7mr1ygD5
0DihhK2TLLthbbvYXhaSLv3Wp8edW/euYqTIupK99rUsUYw0VCYjD9qmDOwWqHJ21xhJiFu2QDpr
gcWV9S4oJrZsGvnxGmZ04NMGwoU7Ap0NU5KGRaOIhKkENT5qGKJkofILvKYNosZmOlbUn+82tPw9
Xg9z8nNhvnRBP3Y7Cx6QKWsJE61MND6XAJiJIXP64ligzaa5tspbmYbVq4Do1R4GmnWQ5z218nth
XiW8UD2mprjrJZifbmyyM5MTRg6iKo9zG5XVtrXxM+MKnNandc70EeEZSRIiDcUxLOySQO8rzFOQ
9Paesyr+XJ3WiTXimuegIbKXc2GT3firxxLmy/GhLxibjSKhkKsFsWiZwJ4Smto7tWL0dBz4UwFL
WtrncUlUzwit8ZimpfNC1mFZ87L3cKe2U88ljy0xvBXdmlJ/rCTFBGN7mEIH3FkkToFs2Aan1Mc0
xwkK21IvLlRw+HdbporE7pr1UTdfHXzDXyTwWnErB+u2uJ54p1VkT+j16jsXZG4M+T9/yDHRHXmV
3IeIdtCblwq5C8lr3QJn0tR7ZDYKrJfYseo59nI06Mzyilt0TjCL5MjZOTFEnBvuz8hZDj6XMx0C
t2DuX5OAsilM4nwraTecE6ZAW3AW6VZnbvA0rFF2KZzax+EnZQLOqGbzKPLZ3Q6eb23SCX5pmQ7T
lh6SuyWiFExPYfXvgAT9Z4fn8zFtMKUOygVj7a31k49Ui3g8GKfsPN02Z5GlQTV6JxuXFd2UYsm2
YeFXz+CViwPOhP6bSVjrajgF+QGQhZQb8pb5xte4xjEutcNkScm+28k6/YkdSXz4Y5jdY+UxW8aJ
FrjoUGzIifNBLEekINgq4EqVNawmd7lJoaYxjqhH7g5ezfDTmqwPHS6/1CjdC8rwBx4ouvV0k+Kq
7POH1HIqwBl5e60cvLSa76KV0fWhoeodDjWLZxqnbTceeawNx0eXlulUheRi5pl6lcZGos1GhAG9
jsplji2uLJKBNbrVo5McfVm1P4WaNmSEPCXS7e8NSZwnbc8yLgprbON+ypHPpH2WPCqaRc88Xdm3
QjfO+ySgkwI3VQB1fLVP6mS9Dwg9xJN3zZ1OFlhefenY76gu+9diBWtAXPY162p1wlPaClzDYaB+
RWoNt01iF7soWJdnE5nmVhNJvWe3KHeBbLuznm3SIld7FIxfnL9WyQMZPdrcWDnVl1BleYbK45ys
HhD9dQ9x45U4+n1H1O8djZb+tKaF9VkoFbwBGgjPmiLp2FlpRx9Wpoc5y7O90we7UszDlxUZQeIL
FPWNFFNQQs7NbpN1AsZcDyVHaq/9qIMx/+lGJb10Us+fcZuP02ah3mm2C+NjFAyk1+sN+kb+LOiS
vJCVHQ0xw41wju2x756dueruvKI2/p1N6Me5XxyNdsmahp1PrXWldTNBhyX3sLhpSCUZVM4xckhs
aoIejYrT0NWLcvmSjK64S5uag4gjadqUYuJ95tVrVMcQM1zL17StkJBYSKjWrr5YtfUqtfXLRdr5
UjWWeaoHL9lb9ZxdT7X1GHtZ9mZb7Xi/DEq+uHMxPlnLCFQlf5xote6Flw/vRR10D77jzu8WFgGQ
N8lw49ZZSHxAMryzrLwHReleFut6Ppiq4s4tPHGjy84+lCqtHlQPvDvxx+JrHJNubyag6W01ZpQq
NqsDAqsjtWGmYtOInmhsyFikNnfmMLbh+lEp0y6bflnFT6KHOI91jW1tSs7JN3nmq63Gln00nq62
XSBX0DdQmI13lUboIWRpUs2pgqCy51h4aF05nBsCuPE3g873o7JmreW3qjYmq5xHmq3Zzbj27p6e
bc5PleRHkRV+UkPpPjTSdLsKyMHWSnV4A+ofUaz+PdGvCWb2jDIZ5gPH6Ih4UNczmyRPocN3uT6a
gK5xEKqPME2/UCn9Cum2xoopdpY4+1kiUTNdkB8aU/8qgqLeELINTpvUowp+elMs3jatxlvVqttJ
1m8zyOmQPMntXDIYspwF2rtKd7yy8eB42zGTzgnA9vPSOUcUQzGc6vS45LqM/SlDgcBUqN9MM4Os
cKDdU3WE3ArruNrmjKH7OOTLrWfofi9OwESIH3nswjnfe71Cj9ysQD6Y7uffJZa/vQW54xLKrHgW
zL9efE3FWK8ZrfCqdg7/e61tzo2M7ney6NUnAcLehRLY3q+hKkhxzbrXv+oZ/187Rv4/Mia5PIro
/v7vrqRvv7r+f21+afVZ/q0b5P/8f//tBYnsv+BpRwqFc9bxEBEjav1vL0jo/4XxkEsMeeS4Nn+i
EP0fL4j8i0B4TwAS4zqBbp1/9T9eEOcvPvMGcZUlI4cEMPyfeEH+QW4I7QhuLIAgVi4Z/In9lp6l
TIl0HnDqUOwNobnEQwXZFuVhSIG8/BuL+l/Zg3+rRoXh6XFi86TkimC5+sMUkouZ7d+O5MEpOnVQ
osh/ebyxj6Ojmx1D9mlbJWtnNgP/Fcc0UL2sbKk/gJFMSiSEwn0t6FCP/054+QeqhZUq9CCdIqgG
KkGY5B9eh4g8HS+H43GYRPm9p27eOhOID0kyrei9M9Av1vnSbfdJRiRHulz8drD/Q4319Xdwr/mh
OJkdFw7U30tOixDv4pyTq9Bkszkk1wyb0Mnql795Qv+JreOf3HGPrwoPyQU5iNvo7z9FcpHzdM0B
t9b+0S8mxBEyO05ZybB+6qZ/c2F5Tv9Ofcx38l2Au9xxX3g8SH//aa1oHXvOQ3ImtQz25OiUIDnJ
QPzX3+lPXTCfgpUJOfc1gy8IxR9PlcAyZyY/kQcfZc/G4KpBZjE8jVX2H2ru//pBXuBI5NpgWYI/
Pojkeq7o9fFNMhspqpUTEb8ig3b1g5sX/0a6/U/uFK5D9+pXhOLt23982DyQIC47Tx6YS9gxokoP
/iyEBZoCZUwK9vFfX0RxvRd/vJsQwjBBIsHH6f8nRjpzQm9tpSJUwyJaEoI4zlmiRJ9KJw1OAP2K
LTk9wT7tJ3Fca6KqHLtKfpCkQG6Rns1TXiBUplgft26BC3dj+4YxPSlkW99f14deNFWzDVMdmdPA
NJZIgIrRE8E86bipJwOfsl+d7eAzESJSJXgkdaR9/Nff8U+6z/U9J4YrgJVtsxb/w/M46UxMPi2/
g9KpOOW+FZ6W0bcZrfmv1qL3DRTOE8S039KlsiYQSrxMygv/zaX+Z89rxMoNIh7IEIakP96KfPEA
GpLOVpaDd0LDdqfBS25I3g7if/2F//GTIvsK94EQHvpc6z8+KW0QUkaQpw4yyap4HqDBtHX1vUtR
JPzrT+LJ/McHNkJ06/zV1ujif/xjaQHl6FpSEIbuwTODc2hlx5YV/4HA5fkpsHgQBE54VcwVsp9+
KbZ9aJs4CXQzbah1p2PEDPWwSCCEpF74wfPA8PXTH014nIKcFCDXDMtz1PXebd+P9U2RMrPQbbpQ
MzpDPu9Lbn5sBofCp5LDyY6W8NikoJWjVi8HhEFm27bMfVy/jUhLHuzSISmv9pPD1FMtKTQrlyHN
fbS5UA7jLu2CnRpJYBsJg7lPMO9+LiavTt4YTTu7RGizIEiCvUggXWF6+c7swLufBF987WCRWQm0
Yx/p7RnXcnJxctwURQ/akWnYKfUz0NSVgyhiHpoXD6Hyuxh088k4J8Ryb7TYpItJYmwolMN6XPY6
IpQps/v82bLpYIZ2FZrNLBvm5Si0kZNMrnlv5jG50AdI3tJozehCmvBnMF19+Bz4Pwh9+KYhGRHs
btUBg+H23o3A4cgq3Ro7O7qeVR0pXZGAtaMST/A+KfHRaIVXTWN3v460RFWPRK+D63Hg61wTypiE
JqWhQ3at384j2dWAU+il30ZDxM3MCmiY0CmTQeLHNBkSgmn8xZGJazK5V3grxoS6HJw70ycJl8wV
w4lOTvfN6fT4hnM7N9vKb7pgk7R29MaxbaGQ01H/GpaVxwDKptViDJ2XwPduzRiQKmfsBOalCpsk
Nitb/6ZQDhOzvPTqATVvmB0FTPW9Drnfohu5fKPV+Z8JHbYt0Xwri9DoZDuv8f2PtBEIOyPhfbjE
I46b0C7S+1EZm+Ys0Vykeww24lcWDySvrbe0cPOrKXqjS9SXb65b6s2I7OKngcQNZT/xeeKjMe+e
S4+D0LZKJ9p4HHHOUFDj0vHk71W5C3ogLA5qa4OSJkoYjCiDV6JCbkVRmfMa9EENrB/bThIwB02T
OTiIlQPOhvWgIk/Sp2lG4WBtI681J/hDmEIUGpIxsecLKXq0wBhtR4e6hrMe20VVbUOd3BXDrI4+
8V7plX7O75tOrUuzK7wmlVQiwNdhMT24pcm+H0bHnJE3kGnU6+rZ1VMfF9mynxuZokaN5l2WMQYj
Oy84TlZNc9L00TH04SyaegY0FMw8H+VKMxESxhDsJTCst5Ecjxt3Mb9qB6ptNrQZ51NjvkcJcA8O
qDTQLQebQmDlZKOKcUBZt/oTUBwEf6YsuPoUP5dwYPpJvy89pYTa8F19tXG7rPq0cWXe5dqZjoRj
JV/0t/1kQzrt9DjmdrMtucXPNGvsIx29cjctY3qwgNp4HEXbn6OPjQBN5XKMJqs6tAC1d7A1nKu7
2YKTHu3nkQPivDreDTPEHKkXqIh2yL3N2JyVn4U3XR0CMKxWtHRdp8IYntirWkbvxrSOukdDJ27a
to8+M8gEr2IlratUymWElwDO7nWbHIXtExZa9Rm6mIxXgSHcOSPUexs0HI4r4ad4J8f3MKS5E2LR
jNn1ls00DMOxTVZ9wfISon72ppUcsmtPghBApuNXBq43AI6eKw7err/eda5ByJrL9VkY2V2atch+
zBkrrm2RM8s2nx2MKeaHjrTZE8bI5CpfVpuhWKNXQmbW3dwugGQXuV5UlL8PRE6Da7sO+nTSkVr7
kJTVk20X5akC73qaBrdArpNDoBrHQ8lwcV+7wfRLTzD9SdIrKqTwg+W8z5FxL17ZXaYkhaPW5Cqe
UabFwlscNGiupyj7U+wOpYSpUtbTvvYi3E9OT0HhoExdUVY84VDQQBc9OErIxsh109Zv2ttMbKX/
wiFpPWBjoitf8yoHjn1wnAC/5VQ7FwbtsK/bWze/cjcdCzweK/ghSfQn/GwwtXxzl4DD7Bo/bLye
DFpJcFNGrucsEM+4w+TemWlInrSdVDuZKLoqoXfx6lFvIUUyqHEDWL/TYL4nURLGTJrqOFjWhwAt
yz6fmO1sgnkK3rVMZ2Jl1LKXJincOLQVQ1FPWxPHqkU3r5zL5kdBB/hYBm5yaJG4xQ6LDcmcDIQd
Y0XPKd/3o42mEZ/DXCJmK4MqmFnOTU5oSjnUcitNndg7HxTUiF6TK8JkbpUPpa/BGSsWr28jfdIf
whLIqYyM2uEEiHgO9wG9xrjv1t+LyEgYy8gameTwWdGDP/HjsF+FmJVyrwUq40d0eZfyibV/a7P4
3PESmsOad4D63aj4wBNozgLFLs7nFSvWMqHUp9W1B5uMZDQIeY1JX2vXZEbq6b1BGbO3KrJeXZRt
scsm/xBYdbjvVrJiSF10tNww4efJLTrMWNIzz4SsPMusM8caGSShdeQ5gunJz4wN0OKaYTgNtJdY
5QdtDoHPQwFbXBxUXQYHlhTC8Fq6OlMjyltsEuJhaJBraTvVH3XodTuDjCqxlvxGt6wWcxfVv9mQ
sl3OdOe4Bvb4qhhjMxmb/elXW64+KZY2Lba8BSyNyJfOXukve4touWMIov80Zd3vWoj6PE+J80wE
r9m39vKQoRs6L6vP8CtyZ8BBoNpIKy4IL14LrCjcm3sTLjbqWkNjkpHQ0wpGBCxq8tVGZrgDdab2
JcaNM4mwWcHyOBTHebTnA+Jr2pzMQXd9ZT8ahsIwYlNCd8Jx3q/JFaqjGJqeGdLadMuEvXfcoUep
la97GqDFjUc+Gqj3asgmyOCMiQc/qX+KWZQ310lHv9c9VyQKoMAlOnJOXloDMQSoWHjD+4Kq9DLX
891c1t2XXzXDLUPwZqucco6pDe8Gt+52UdJ1ny7a5kNlm/FU+bDkautNY+QsNsPaqJ0hGvdcJxXs
umZWWzUE1evMkPYukhMEPTbB44wMSi9V++ohaCNNDDUBo7H2y+hpZefmUIBJv8bOMqhp2wjWZhq2
6k42DIydUaMmtxt0apWwCkyQZb2lkTE+zGn7rUErgRZ2uE3FWMaIUnY10vstOOhmVw5Is+o5zIjb
WA9jhPiyFMzB10ZexMp85CqGeORgz3RT5QnhDUmDlgj0waaa9RvauGzfSL0bC/unDrLjABH4VA5L
S2RsJ45uLRXihpFd2J2x+2X+eigR6g2RvBKGsfcEy5JtUJmGZ2yI+Va4mTy65QuZFdXWDAVQ1Am/
Js5OWJMz+kIVKZQ3eXIgsi5jtG+hX6j8n73xk3dZBaRS27zNEx76NV+PfWNel74joXFczr01vIW5
GB9SZhlc2g+CBdijUwt7Q/0m3OKis+BZjexQdInvgZb8UgVmemwKJkO8Z2fqpQ+GlJllc258eZv5
zsUC3RFj3u1uy9YiaoAkQdzgxLBNbviznskSUKKK2aViHQIhcfGGfVvdL1px5T7ELgnbKq9ijAXl
ZvDRhIRVl70MNeq+vtOvJAK/oTXlL/NZNMn3uWac65QfOMz7m64CbA+lNUcemL6mIjoiBntBff6h
hSFgBscnLqg7Nyj43cVIAl0zTrthXBTI5npCpzfkzGzpX6RMSDSQyz3jkScYXDTmyQin7XAK8GRb
5LptrKvj14zMHwnsOAaOGO91pPz7pZHdr74sI5pm/qmA13yOkLfux2RaD9WU/CjwzcQB5f5Lbzwm
mxT5vLKWH/xMmXnsK3KdVFL5+5bsxvNSlDaS3Sm9HqWI3cDYJGMyOgZGzvjQwCwyZNf6Irx2jvG6
clZpkojifvIQxVMidBPBtAOg3lLxhXORFywFUBQgMentWnO/qVuZ1lnymWnVPQzNLA5E+30kdLDr
OefrgNNnVYhhg9Nv4zQ4bYwbwT5zLxguvqFxu8OS4m0wUwzkbwH+zGXZntJ0bdj09avde3PcMs8X
yA/fc9BJuPDyBmT2D2l534LS7uO1Zc9emo6b1hZvjXCHh6UcK3yxuAwX3y+PEBwcCKvoYZuEkKnG
dPlnNg4o2JgasqTU+VkSzY332lhbZNicbWX7XTvDeCD9h2+KkRRZyHjvO4iW08pFU+mWw28Jx/o+
q2dOd4Fb7hfbrvdWNPfbpbAvmppln1P/nGnkczgK6tgX7UOL3AxcXGje08byDxr3yYEWy7MhnnGf
4Mv3R3UHeaO/7wy22Jm1Y+dFSUCQukB4kl+1fpnTmrtV2Bo90Fzs7YDiONQIcot83Q0hgwIid+0d
mtyIIIdgfkF2SemiG86SWEH2qpb1z5kvdca8xJxy5pYKZ2iOIrWGA/utjXohtU/QEvW5Mke9rPmO
8aW42IspyYwYcgTWofeG8zV4C2f/VzI7YiuEHg9p6drfyrFEqubkBKo1Y/tj4tl+6NswuCyZS1a1
61oHEpvGw1zNKem5UXfnD12182jjEOyWktZjMjTtE6d5rBBOJ1/tmlDgQTFksglOKjiR+WFcul1l
I/dsgPZWJf4yGwy/4aio6Hj9TFSqd5lxFobAHIV6SuRDlPs4Hpecs1Juk5BntL/NNQpRHKTLx7Au
RFy2TDp5ffc2Kp5T4mFMmnJ/2raVmh8yFNucFovmjKVoJKUteExpRMVjxR1flyg6CpIS9jO9FGLZ
JqbQossu3ty2p9yGdxtN8z7iRaeWqtqbGpTDDnsi50rfrS64gjngasBHfuEgFl8TuAwrcoZhFsGB
kbd/w+cgSMmK9LD6YjwmuGPOCaEH9FxqsyUbd36gAHueOuF+B5XqxORwfs2RO707hfqusXBdzJwm
38ps/aIcb5+iycCRUi1gG1SBJNBAL7wBq/8qhP+Nj2W+3EanNBi8HQFW9abzliXGde2jJWEOxY1q
U1JdLHpDuu3cXTXY9IIqy6HrmAXY6hCGalyhe+QGKH4o+rxvpM86Wx7B5hsZ6QAaihrtuB5Q/aQk
xcRLHuhHehX6tbEIvW+jtPnMi9R9ysbMfhAG1Wy6UBpugjVrHwoR/TBlFT3RjwvixnLRI3gQJiYI
BHEfScxlzSBv8fO3t7o2xS6I5uI0zmQANgbelMEEcCCnglzTjiwFwDnZeUmXlcKsreUmdOoJecL6
feo8+0is2PKO7BVAKVp9OhzBDznXhBT6gNAZEKgdOtfmviQsPi7GJbsNsE2QduvmJx6/R6BjDbYp
rcxxVm56q0ad79a6zm7EiPN1YxV0VG/KeSDNyhvc8XHJbe9rzNGLnK2VEPpxAo8UE9Qj3x3m/sUO
Jdbs71qsNb9rHjKJDJUI+dtU9cvLWqFnQOBgEWFP1njvbT1G2u9TAFvRWiYqvbVfX2yhvEMzluyO
CwpJpibPeTCwZkZt8bMii36fhw4C+3lWO1sTqlFAZn5NCn1T9ONdWDntuWT2TNQiewfvarledFtF
u1xCNdl4cu2GTaqBKPWyrN/4oPa1KnUN95a106mrO9RtxT7Xjbz1U7RlpTOlLHNhrz8a3Izn3q/E
bvUkXHOvNuRc+sn4OpllfS6S0bxkhetd7Cqyd5OFw9TGy4a/O6fL3pVNeXSaCLhlL7MBO0nC6Bkd
AWtiZbP/WnUJnmKNkPooOVm7TNaIKjGVIaTph2RvpKKXvpiCSJGCzWAjhwH9UmC6cm8lU/MZFCRE
XO9J8SJZf+7wgIBpxXkDJotiEnIFUSIEeGIF22eifUpIeLKd4ikII5z+Y4rnm/4lynlbXSZ/ePAg
bG3p5JBQnED4JwjzjoY7yN5kQpWVsPAyR9hb/tQiyGvMgdTfbZMhyx9w40QWibxoYTGsj5EpLr7C
KVSY7k2aLE+3aeESBMhM/zOglDpGYyjitk363RT1OEbXfniipEx4/yvEdakV7GbT8Fv16fu0sPsJ
f5h3xAjbB1ofX0icvJPGp8HUenoblvSIMWA60Kl1NlGY2A+d0N0OYqMNK8Mq4jKDTkG2NALUtDBn
N8yegh6xbT2O58SzkV3xtDjED6XVjq7OcJFdLn7MNUL5bZUTmcQZfJGHvrVHFFV20994kpgyCVCx
ZvGyw68gH4lEX0TzjfZH8whqtH9SU9i/h1GY33PlqYtp3e2dsZX3nOWmGLkvoZC8fVukM7/6VLXH
aHXmex95K/qqqEx+0IPlhA9Mq7nRruqR7LPmwVnvpCT4q9BWATDNkBBU1FHf/0ak7QBTc5LV3gYT
FJ5D5WvQBp3bRK/speh0Ue3QzfKXgTIYxXq7nvoIrAeHbpuRatgTVlLLCqpBkb8WAUgSJw3NbacQ
GCf2deKSZNb3BVXxTELxrsRvz8o/dU8+lt5D1Tj2Fdwg+dHY6jLV0dHzpZxponOWBc0xk/Fw35Dd
U6XCJiwE7ADBhVu/8cb7BJxX3+XdZnLzHRUQ6tO2+Y348VX3c/Sq8Zmy7aprlp7SXbWVzvqOLevb
2mUpkKdC7NMx22JURRzSwBaol4y87pqeEAOdkyoz6w2jU7aNMnqXtN2LOEvX7IyNbVtVqbcnRFzH
hhTZY4ifZN9hH6TxkrbuiRMsio2sxQC8t3t2xU3dheh7fBhPOm5D2M0wNgeFHSUleYipinVXd3iH
9rZV0ceho5E+u+CFbzj01SeRB/Wuz9LmORgXfI2yD9BtIuhgSk3DA9vrOoj+oXO157CAucGLrRpk
ooWiiGypVuqtC/XuTLi73SOBW0hSDPHxGkVb055k8M73Im1+qdD7m8Gv39x17N1rxVI+JCCoadys
xv1ahOHQazVWRESSdgSWGtO8hlgy0QGO1xZy4Sbuby8oBEehMLRwuOqS7Y1+yTd/LuR7v5B6iU+w
vpRIBJ4YfMpTIDBa2L5SzTbwLRAbyvImchXKLvoYl7DmIGNV+mSzw9k82zYw3TWgaYcwnHcrJyaS
gF/Hc37hLXFfB17ht8TOm9+F1ABS+qiDfmJswYjB5PYKg9ErvgxmgFMyL/MRMkyGYNBP1LZIrY59
pw6+L9KT936Tlz9KiTUyyZW6BzTuvQ+WO1IdD6r6zLE+n5vK4+/1BGdiU1oUTPFcYUeK8ICggvbD
BhGm53x2jRLHqe0h0XVYzh4KO6EbEZoOj/3q0dtNCTpM4b4DTeh/11rUbwyRkm+VquoPi3d/Z3Vc
+ZzLWZwCTpLHRWfrt2Sp03etBK8myqr+QxBe+kkX2PtedksXj1Az9omLF8brOMKv7ih3mkfk3Fie
x5ZS57tKLvNvAgtw39C3iTUk2U3XhV4VL8h33iy/Sk/ubC+Xdpqij9wRRWxLTJj2EmbngDbzNW65
bwhka5PPlSYLL0Bdmo+QzK7zylmbQ/VaImTmALhBrdylezX6L2xe+teoh/oBhoB9YNhguRvfb9WO
Yx7RjoX1HQO2TaQLMgp6N3ayHR1VHkijze/QcfR6w7JPOErdVA+My3qqPEW/ywdWjbJXVFdR1IRO
rViIvaekognpiS6/Ag/Kk0eoCf68tD9jkmi+cg5pBuNz74IfcK4ZfwLM7Qu+OtsmOKOqLywYYbP1
Mu6cQAxVHyiTibMahaGKrisfuLTOSgLZVmirP528nR5pWE8PmD3Nsz/K+pdvhvKibV2cV/zjvyPP
Dy8JXotbBXYCmSlWvN/+0CMLE8XkbSwCPz+u5sj3nNQ2uSld2eL6ysygYyIMvGSzaDc48qhGWwTZ
3kvnGwd/IGiPDF94Zz9Zbe+9KVzCX1q1bw4W8Vh3nEjGpVlxPJYKcJcLhephHabls+oibIwtvdPh
6o5hhaH1vh67nraej+O52lMGcJGHZuSAYQVEA5/z1HjVNu0d+IPtnGR3y9z79dZn6soaoXS4B6bd
36Q5+9e2oF+xn1bDo1NpjKWxQLR/EF3BILoJLfsywmBgbKUHcWcPuNVZ4/ol9gOpPoe2ScBhtN27
5yxNvgUFkJ5wENdPKTcq3Hth5712DAiXnV0Z+cXRyBtBiFXLT9SaE82VsoHC2sgKLTAT42XZ8zTn
3SEB1HwNgfwv9s5kx3Lkyra/Imj8mKCRNCP5AE1u3/n1LsKbmBAe7h7sexq7r3+LmflUqZBKiQJq
UkBNBAlChHvchmZnn73XbgFPkT1U33Tpkwyi6tA6h4E9fFXdcrL5aoD6ZKDaG4XwTyE4p6ZJ5xWb
42FcMVrzPeGOxL+AZYLAnVzWHLno2CN7HPc1zObsowmHAMmykzgSJ6wiQlxkh4TJWeA0am9jkI82
Lgo23VqyYeFh8398EV3fY4qeHFFsq3DheGnhlt3WiWKks1Yk70HrZEfXiaW1zsLOFBv6QkClZEH9
3kzuxKnrCI5/VjfTGQdwtjYHEgtzzdaBJQbDWw5BJD00WWp/JFlnnqfGAXM2zNMSkKBb3U57tc6S
bsIqyRKIj2RxHELNogzAjX+nfORMdpCa06QN2qWRVnDFs4zmOXGjfDP03CbKqPph98In+eT4pwS3
1d0w28CX+Ge3p6lpm5uJbsENu1pm/CndUdJsrAy2fXtmmzLaMDVXP2poDDAxiLfeRZ68zdj77q2w
Dr9EeW7D0WmN8ZDkIup37O0hy7TOmyzN6cFQifNuKKQdSkgukyXKDy3t5Kvt0qh4mIfSR/x16hdC
K8XFCEtxpQTGeAgN68+MGP9sefFNYOE2BzegNMdZ7BN/wMJGqbl4+2tvmelZnjIx37mqJKbWVTHn
NlfVW0JayVez7zlK/71hwvlXdgksKGxBoSRjvPnJ3zNbBuADQEX7SYXdra+q5tA3LVsEk7W9DcoM
wmHE0QpzrP8YZo6URut8V/WpAHnRvqdVixvVyxE7yb/gnWfBVIzK3g1c49k3W+KuCAcbWSZXLnVt
uZwPjXLKE3XYAGPbmChtz6pCog3aOLWytR6o3fHBCRKOyzJy0CAj9vmYQsTAHbRRpD3hj+FcNQdJ
3HvBRA2TuKtj9Z4UpbM23L471Ev6NCkLl/BntFilRu/P+titBfT4j1YlyltM36Ez20IddH9ymuR8
lHj5HG7reCiZG8w7xxmnco2B9lgILEvDhDcD9zin0qSnc9zqaednW24Bi8dgsCD2hb67zqOeDLnO
1Tbx7f4IcTRal6NxHk3NvJtRYhXbSXIoktT9E2POP8GfqbXzJQstZ2F9489ZnHN/+OhB4Aqq3m/8
vdlU5G0Lv59hP8zAkmejexBjrzY9h/Ma4Gp0EqapP9l46WNDgd1hQHCTgji41Q4msge+jT/5bP6L
11eCXuZzSa2U/NkkGKLhKaFyf0/BM8/Q0Q79ixkUzZ/8GPEzhHV5ESCwmstXgEe7+Ol9rFgYO21Q
UYkVTnCve8s1DgT49GYcM/XdYoDnGQk6qxBBsQl0rx5iLqHQd4Y6PePZ8W9Bd6XYZviyVLLIbztb
E6ZPg9nYOrH5perS9unfvzT/RATmeW0KKU2skw5ddwsr/o9vXJ3VM4IEn72+Jau0ghok8XkjDiZB
SrCMMeTJT8Eix4BiAFiCE8R1H/VZdJqcSW0wM0wfBKjH33p6/rvt1zfxewM390f3axnMe8nlaCmH
+bXH4D/+1/8gk7ag5ZyPzX9u0j68NdNb8fZHg/bvf+Z3WL/7i6TQDZecFBzqvxZA4Lvo/vZXF4w/
Lrbl7faAwNIZ83eDNtUQRL8UbgXGdJvpnZOjLXUX/e2vlvsL6H8KJciNg6Hn//mpJOLflUZI9+ev
CG5pWPZYkjF5/ouPW0rLtpWmUQF3w/BuMYUPLorDkt6ZCcqFBFVeGWqyI2t40pN+DcdVjnDaTHjV
h6a3/GOCLv3IiAV9sHcT/6lE3X+xhsK9zrPpfI1lgIuCzTpsDjv5TqOyfdVNOB4L/vOgcumyxTXh
vy5pQOcjHWc2MW0N0YfNifWFTDEAuJh58AcpZ+sGhT77YqHAbeggsE5kjMRdW9usgCacDV2k8mNY
MQGQ6Uueck/C+TC84MmsouQmSXI6jTseaQbRLlAS/ha9FudO0qGGuBEdOSmak53YSMOZF6xlKGu+
c/Cjrn5sF/u4ha/qjGm2sdlUbm1vJHpGJduqH5PuquGhbPBSYEJF4YI5Y14cx6luoNoYpzEzHRKc
UX91iA/uemLIj31ndjdk12eUSFVca8tpESFasSUj0z9kRdQdQZ8SEc7ACyLNXAPdkDCuR9aTo/Zf
Bcnc9WwQPQopstoaVp3eZrjI8V2T9u+aalplupvfwG9w9UKF25UZ5jQrWnI3s5vhJejkqXFMC7G0
+lEUHYV2RdfUMUNtOrya3Rg+dUuz0BQF7Rc/0MEnD2yCII43Vz0AkKWxZoJdFh+VqWFaxqB7ltg+
w7HzawmON7vjt2SqB2eXUod7V3ggIGMvH88UTo/bpho8RFNQL/GmxMu3mUAcEmU3bBYWjMGwLSo9
Fxev1/kPsVT3BL1AFjJxblEHTjG7vbT9BKOsHyH7ZBunhjoIJOLHNCYo9FFXngzuLDe4OMJNbhTd
M85mJHDP189un8RPpWmEG9ZYD5ZKqnPSD9YP0GlylZtYSzGT1xSJJuGEw8VKPqLI+0ZxenBTNYuf
b3SDMwRdudFDgfeLFSt414AzImVUqOQNd/nkAXOB2MRzO51o/3ZvQUPuYc5+HaNCLLvRsL9g8Cje
mlZzpQD5cwhjL7o0U5WSn822VjgGh9JocVTas63uB98rbxEyJxbpajzVYYR90G6Ut00RY18AB8ZP
YZWlxyIdhm8Qusy3Ieih3bES3KBJeWdMnO0m9jF1Knkfj6J+sPulqVxn/Vti1/WTHO1o35Tafq36
KjzOGqGH4FMAjaeMY2xR3L4j4N11dQ1bDvcVEQu49BGxs9ltqls5xu0d83P1HAAmallGssayagvR
2iSnuUuwYEKTnBJ6WR3BvTsXIajv3L61bDkeujEiQh+ZOeVNvSWGJ2o13BP8zYlJ1ShvoFPUK9Ul
1m08e1jGCi22XdQ1p7Z3G0GlZQJkU1WVukmhUPXbIOvEZ5A24tNjJvjUGJxukKLGZjPkBLnZePbZ
IibC8S3ali3zoMzhK91aGHCw/JjZupA6dTc+svwmZ/NDAMxO5JklcR1tdEGVk1W4CMVsFXf4VngO
lm5nUkToFJ63LhKc3p3tEoubXcO7dp4AcAMk0X7Fwr2U+o2KlWIqYcutpjmkhL7PELXZmxLtgVI0
RJcOPMmL7UQhKg1D3P1o9MUH/A01AroJrW8OjAC5Ktgvv44A+BwQwilLBpcALGRn6l7dVzAwHWt/
OHlfcVhL4MFieEEkm4sTQ4INfsoop6MxmLLYdzlK91r7sfE9LEHiggGu3Bcdydyjct0j1l+Bc7ZR
T3loD8HEg3GEO7k2umLcaaufNAKPiUe3sHzjVUVjhreOey8JYtGOeEMV241DHFsVGBrTqK9DBnJ5
S/8FRR+Axqd53RpD0uynwsNPM1iyfCQzjadlQESAW4wH6rvZzH6y0qTQIzRTaXWPVWQaZ7eZ853O
q44qIx2F0yqp8+nRDFMkcPz2+pWlLW1neUw6GMPi4MTbtIWMkGoDK4nZyoCZPkNaCUlO9DRiQGCe
kkwdhejQc2mrHn8guhXPkEZaspnYyTAFygGtfKyzhzh1g2c9+O1N5js/IAU24Pn8B2cc0bZmifiz
wlik6ODO/ZNmYfFtAm9NOp/L5zfnV5dvyP70aKqQBHUMHX4fit59CEDgeHchbouClGou2JvAUN3h
vecf0Lhg09LM7xyoUJMa1hkP368AXMYz5Yrhk+nEgLl05rQb5HfUm0E1wycTo17Zi8wDngzOfkQt
CI3VbA5WHWhkVlK5lkfDyPjeN3wRXiqZqS9Tp7ga5y4Y9lwUfABL0P3Tfg6CHnklFF91q6ObNJeo
AqlhJvG2UEXyIl2cvKhQXn5SDjSyzTyTDEU799sTJR31s6cSnNYxigg4EjcfqJzw7axdN2YLjrzg
jTPsDMwVe19+QQwIGZIut97VWCfztTB6vjEdLRnPLKf1mWeoeDNFNz0Ppucds4KV8Cpw54Rnb2E7
64G/GpYLzvhXnz9/3/Y2aX9IpJAmpDRe2daOZ2vyzK85uuan6EdJJqfwn8J5BOxV+dm9Y49huxlG
2SOJsRnHhB0Aygx4ZXnodrdJ4AhEKQA8T33vTNC7Y7v8ZqRldfQtQbVvbVf2o4wxZq14Khrfi5os
7IpGwgaXAEBjB1uMx1XB1132xipgrvZG3wPjQ5vx2dzHZVPvE6K2L13e6McSsfHTjYhoP8P3J8vf
TIP7kNhJFC4If17JPpmx96ZleudHVFDzcimLQvMQQl7Q5ZQBJ0l0P3QRZJfWG4JNM8QbkczZd94r
4grz6FU4zjtOgR4Qi+OI+SFtItaNqU3t7Sqsl0BzSnHJveEu+wCrNsynKgEatp614176aFZQc6AG
hPjCGl9f3NBCw0s1AsUmiGQHHyzlpw9odug7aRS8BGrEugu1h4YbjDS3YDCrJ41+d98NsQ9iLuZ9
T5qivRNZPt/MI+LGihxe+6BFVj0MHpntVUckbqca4fGNp8jwGEeTuiQ0ddVrhxOOT4ac3IORaLET
JR6Ttd2nWCZns+NGK6IIGnmT3CrWugKqSmG9zYhyTwaMuxxTaGteVTPyivhZWl9Mc+QVqpwqPggw
aG9pnNnvjMH8WhiUuycfqBmvL+6ADSuH8N3jPntQmfafYka6fTSTMmiNzrqms53cZJNk90QtwrxP
cHgcOGkBHeRK5HA0kmXfWCatfwmQec6j0yF3zpbbgc+Mo/Yb1DS0uKxo7R9Z5eefgU7skwyM8Duk
GywSYQtGwBrpKsaOc5ygqEy/aVD/OzT+ScubUBSu/Luh8fzZvGX/ODP+9kf+PjPCYiJwKHg6eYqm
j/8f6mVm9MhaUZdOkvP3wfD3UK+wfnFNTyzZwUWygojx95nR+4UjyKSRWKCD+HSm/ZeaBrEk/6Tf
0H+I9ViaKCtMsPbPHce+TowhTQUTENt5FZQsRXSpuAFEDLGXIoF4BP7LOisgxwdwnR1OmyZFf8r9
6gaQQ/fsDI4ZrQovSl4QJnna04JTHrNAsIrwvdRzMdp0xS6EznFrRp3yjr1SQ3xpZF2+O7PU57bA
BH7SpgJnhntS97uQPQjO9DlS6bYz/MWWFVcJRCQmb2L2WfhBP7UkhNJ7yt54NlsbdEgSN6upH8fi
PBgpJi74MBR1iGi8yNkMzqSFG33yIlM91/NgPQeu5X1pI2O4LecObksPAHhFcUh46oWnlixShPnU
4wt9smgZv9LRUWDFMSAJr8DGOP3JagJOWwhSjXFSU2Q9msWg5S5N/TjbYBoBkoYtj7vNIE2XhoA0
GoPbyGU+ANg7sw9iwYgnvq2HbLhVfe62F6IEXctx4SCyVmXKJSNKkPhW2sV4sI4BrP2oh7G8WNqI
260ZT82lxLcjKQFpOQ2J8gDKcoZkegQow0kQpFYc7bpuzLp1EXcLu8Q3uDeooUrfCXbN1XESGsfx
1Kb8ACfkdmDGbXKbGoF/4J1xvphgrQ9TEEzXoJz8OzIJXN9iP2nGbdua5VdWwMRq6MwYg73Cx4m7
bcQy6/TNyLCeuvdpbap3E3E33mrF5nfFqpGXxgMCDLoL98xWy9Z6rnWsn71QOv1u4ILjoSUwbqxZ
M9fnJNfFI/ZJoIKJV9fJquqEMRydsaO/NcArtwHLsZR0d2afb7W27QcuIeVBhnV8j9eWuppeJOp9
CU6yO48srKn4aYZrAtjv7IfwU0ItFGvoiNtEMLPOXEMSAifcBrN/hJlMIq+WsRVstDss62qhvtWu
hqmWK9PG6YizB1c5ZjBnN3AXZ8s7Gjg7Jh0H5gbLDPQf3XN7r4sQ4ptpsz1pEXHTjVOx+ltRh8Ko
CpZb/1BipsCFvwJTRGxWnARcKohoWF6tdwHkgGRn2kVwn/esb9hppsMuHfmHAR7ymZqmYqo4oayu
udSZSj/0Qu4/erkB5iuQutmoDM2dKcGJvJQVWJc/+n5MrYGrvTRZQWMhmYHzrkmeKlDh2KPHLQLP
4HKnZmV0Nq3a5+OoYNW5Q3IwWzN5KqwB0DvGza1LP/wl9NvsPBFB3tWjFdTrOB3c4Wbyi07ciwa/
djPYmLjh5wvZD5BY7K5KTg6LzscwIizABryntle08zFv+KTUaSJvTA3GighIYQ78AIpwqOE14uo7
rkwSZj0+9TWTQa5P5ErSaYkCcv7W09RjPbOnUaW7nhgnpgluT/5y5pJPCow6ehh0ob6nGWyajUle
MToOU1bMt3GaYeYUfGU0hpZKmZvBC+FIr3y/s72j8mc9Q+bS03xjGEbyhAEZBFdtd1Lv9OhMNATL
iHntYHQTj/lV0EYeXH2K6neegSW8HPH5tAtu3ExpDQB4RVzWRpzW7Pel5F+7+j+y8idTV7repvlY
4XPqu72oGLx/PbH+93D/k8MdnIXJ0fqfK8J3ukjevv9REP79j/x+uKtfll44mzdGedwUFtn3d0HY
5nCXWM7IEbqsPP9A7LCtXyQ0PNd3l32Osv6gB/sAO5CC+YPSXar6/kvADrwxP53tpisVVwsi7A5I
BT7w/7h/CEOwjHFhYQ3UfXtoRKrfCEngV/bs4M6m2Ok81CYcbcMpz0VP0abMi/DYjF5y5shFNqAr
7skrJvnhNyZuKewOO5YzPJuGZDwbaRFhlQRB3EgZnJwcr0o4zm+Yd++wGm9sTcWbGvMzcyfwNNoT
V25JP1bjx1d7Ir3az/ET9OmPwNFc02V+wutZ76HAiRkDXjruKGxw1xM+AYj8rviayRjQRp1G2cme
neIG5s58Wwg3fwfHCpgbCsN3unCiAz9vuOWbgy9noZasKuWETxZmvjXA8mrt8EzeNH6QfoM3zHN/
5qdSvgAGlBt+9dGb7Pecugyfnbwdjkax9JgqApN1kRPkS8s3zKTdKRETkarGG2+14XlQStHasN+U
eDMQSPRdlI3jwUhVcS7DQT9gz5KcD4UVQfBKrK8T8ZywGcfHGDjrtY0cTI9BX+6N3L2znKL/iloc
ftZZ3LzEanDu82XYB9TjI8fVtBs1UIMxj8WPfZJD87SmJwSi+g5DlHi001oeNa/1ucuDmGHNK56G
YDRpcTNtkmTw3vlorBvO0TeeevEVMTQawCsJ4cNXcPtHx09y0knRZwDleD2Tyl63WtUvKp4CxNyp
eldz8GNKJm/euP5IKXB1SCN50tpKt3ElxD21E+Y29mhFS9zBf3HUWF1wgDhnO8djp+GVfzipiR0r
hTLAVBbJK7YYLKhz5eHzhgjzzpOw3rMAyGE+k6NIo2Y45aYToDFh8ya0l6874Ykj+TPrpp7cz6A5
C+sFvIaJLdL3H1sjL08ZZszNHBSupJlNV1s81fSB5kZVoNGJHPSVKtOrH83t3odUT4g2E7cID806
xAGM6XqertnkB5vQBK+Oi67fhLjp18iA0O8EbxCDo+Xf5AMy0ioqK7rNogBOXtGD8TTUD4QppELt
dmR/a3+nunpcR6U1HjsW2VcKNL+GDgUWforLJo5dIodT437xQb7tqizP3lRkIJK2MT4JqQxaMrhS
bpMGNbaG77ybCzxI46TB/E5mvVG6NLfOTOIpjKf6JlcQq60ajFSWkKTOka2Lsdnn9BusXJT/m8AL
nI1MvLXsyGxMY7Wfw6WTo141SbCe8MWvB+p2ZTTthZNB1JUjCTttpvfVqIiPGRAeU+RdHBAgtgR+
GAt15Yxo6L2mMQiZVWgW/T2dTcMD+IZXenu+U0+zlXN74Xb5noCDvJvRxA6V0TgL8Dfg4bP8jXnj
2etB4P6q5gf88A8gbqZVnlG+VQPKfAx97uH2kBYrgBX1eozzD1uW1yaeRzBbNLQIrYyHUlX6OSoH
a4UXet43qTJv3TLpMIwW4mwmYXfCvOlsdVe5n52XBjtVsmRoNOzTCO7kNohdHzunxas6OhYPD5/w
Uk/bDcnWecfneAEATwP8+rkan8M88I4QC3HLphC0LdMlbuka8dpFjdv34EWPaSm5t4m2VccW8++e
Vcx854Wz3IUuhSuBHbrIotNSl8i7PaWSgMZcwPwwFmnQJxFjBDgmqkk7e0tLPHYMdt+rRCzTT1pO
l64xxTpn43MyMf0+T4Uxr/syrS4dsd2TWY/FqcgGj1C4X3wfZNGdB/y55AZS84EvOZNQHKFYciEi
xT9ag/0V3L9rLaTsapsWI9GJgLvjFRKr522j2LN3FOaAigcuQPoj/2oDWNhWU7w3uEGteCEOBFfd
DQeGfOkL6pHb4TrF/MuDhHV3jKm2n1i6zAiHL02Yz3igvGRNd1i3K8vE2wRN5qP+WhJwdROh3Pqa
7383SdZDpMq7QmIBZweWmho+YuivjSLoV4nvXnQi6RSzI5YStnNO5pJCG2pairkfz7Lk7AYN4XSP
eBjiTa6Hj9Sz08MAWGCDCAqiPr5PGJlJ7xjkVT0YjHHL7q8ricfZkBX3LDnGR4mytoZWVW91PvdA
FLv7qHe/JqoiQd7zF+CJrKaXCvkaaY0cqTz0pNBoEHKCtcm+sgXivu/MJbZrBtO3GFb5g6my/szf
Ds2H4E0fvnYEtrFhf8GhdLXycMsiaQBMGebbtjPMlcwoN4jGln0TUu1pZHQ8uiw41gS9nWeZ+/Zr
ayfDJq69dAGK4I8Pqkco40jzNfjzteh7lO8cvsYL2Dr6E9iw3Lr5VJ1Lw+0+c98BXyLH5Rgk9Jml
ebFrJRZGHA7+Q6swQeWj3rI7fGFtcA2S/KwH5FyRhzdlE1kcs1mxDohfwLOo49LcBAkPVeaWE5dh
HMd2e7HHaZ2PJFgtnIkrolCAtJJ9A62bOFUCZ8RIc3qJ5u7YLOUliJgXSFIhPJDkU7QAVkiQg2Zd
Za3VPNrhUF8q79Md7eFH7E7BtabmCZK0tM6SdFhBlCLu1AbFo3ubOYY+UQmhX5LquhNpxE50Uqz5
MPb185e88LovKTt8CBlTmgP2pcvsntGC8F0lmxtQxBGzZw48PbYm84lHD01/mM33bV3gcbemYW9a
hdjMdLawYwSpP8FKejRQBI65N805k/MEQd+O2i8Aqjmka+/WM6SuVrlnPE0x2MSq5IoSmtVnVo3j
lyp3s7XRwsqiHZTT27Zz/95zIA9CvC3xaWIXjq6IszulaQhhlfkiuoZQag6kpUjtexxH5cKJISJO
lOymCPIo3k5m5r4kkv6DkmtFKNP3JHIAgFGq2cbnjnwvC0sNht+BNjI7eJz5ZpU57BseGG2yLRO5
0J7IxJMwmQzzITWjdw60p6HpP1rpsO0e5JW+jHoXCgeUdUIIU06z4NzlFhZEW1kod5OoebqpWmBW
AcP7hsaL+hpQOZdh9Y5Q6vGv0TWgr4Bu8XJW9UC+pk2qTYIZ5wuPX+8ykQSC29sbzpYrfMHOh1un
E11J9sVnY2yNTdwP9qGeW/OeW9z0WCbZvLQryDtBTkfmyYcTcoHNR0efNW/0us70jUpattARi6uW
pCc9hRZcdyb0U2DF3UbYYjzYlDaty8Z4SyZVHQgwZhcW4xzRC5m9c0vUhxZgQjlH8tISxL/j+l2f
PLe3DlU5hKc6oBjCGOkBSEb3qQ94/ll9HNnYoY1hcdZ6Dw1iwa0fCLEE7N+8rOD39ZuKdAjUmtFV
R4x1E50N3Uutmre6L+Umttgo0aiyVx2EgsAUxrOMc++lyJcoEiT3r4VDF7Oif4m3I8YoyEv3ORoA
J7hRsqueJrAZSWHKlZ9DClF1mh26uj4wWqiDjTGVFzUPL0FoVHeut8Q2S6wVpG6eq6irL7BMALXG
pWA7WmOka1RtLPVvAPuHlBxgUDd8dmifANEUrAdADDtFpdQaqoEkL6aDr8UU1fdmaNEeQuvVg91U
9lXFYXXkDjY8lFZWPDf4jH+NE9M+LKcH+jWxz2ID+yhzAauMUuAfflUF+5H4CgZ+btB4i50LKxyy
Bpgv8rcYsewCqh6Sshg864wHNX4MAQYstRF1/NSaGUdGVgGjJlNzFZlp7vH2mlfhUgyp4c2sVNS2
x2CGD4vkRwjSmcUqwNa5GYwh/3Bq7V8Nr5JPkxDGCvI9pHJbt69+W4cPaZ1kj+UwWicCGGR/ExH3
vPTYkismgS3fGFBT7XK4FtF9mzg7YttkM8O2fdJR4ByMdhwAYQB+VkNdXJ22a8+5Kd0tO73PoRhQ
h2boCDQ3TlzdRjvYpbPyXsXY2FQl5PbDMKt2y9ajPodtorh/KnSsTspvjKz1ds5D/7PqAmvjMwAe
4aOWtyqM42svovggnY4LOdUcpxLTE6eGA9+mqD1BJ8NdagzFVofczDGyilNMkwuIXD+5WnNzm5uR
BbNbYkV1u/zkzSkrmAo/UucK+0IALf3BP7TeBjQanFMWYw0MFjCntGn+IOj93rFmXXmgetZ4UMKN
aEaqDX3BYquH/0v+LzhTPnyFacHNUfg3i2a2YSNP8i2V8XO8aHvDnL2WHiUFcZi4NxWVlphgCeeb
+bQmVTuclyGfRVvxWQ/VXiJ/n8vOn/DdRARqYH09RZFFEMId2ZZGfOc2Wc8WWi0eAq0bwAJcwdY1
oeWv1BfReFea/VNoAqo3avMxgUi8A/vLrg7eZZ2egry/Twa1ccOBh8vEldw0d0YopusUzPUOjjMR
gGm8TZz2+8KzWJLayVWXwBEgpbSbuqtdZm7l7JtZgN1LzaJaS5sPagZIt2sSdaupKJgj8xry/Nzi
z6KVtvbiXVkbxravDGvLnBccPCoJN6kTN/f9gicxI3gnPTyXLdUu+YGTIjmJvipWdZ97tySanX07
uzU+C5pEQbJgpWkQ1ONRiwH3Ao/2KE0si3LBoCX55FvPlsXlCTCIQ1s34mOZkeWqCPFx8T1E5SX1
PDYSYT9cch6F1KwYY//YyqR4pYecL48dieC9CeiWomDaBRpJxx0WT7NP7vNGGA+jA4QpPzZOj5Tf
RUSoZt74K9XWxTXpEvGNE7C5VkbGmBs1/OJJWtMRFrPxWwvDf6HcMXiyBIHkumduWWHGZz4liYZ9
uEnFHutrt3erUD00xQhHpVMaVk0pH+zRcfa6t5p31bCg3KhIx68lyb33Mcce0lZkcyEXqQMvjX8O
alEeO37JA6L0tOoV2P64bNlaWo3zwiw9PMGuyh/pKnMoerNYL4qinFesmG9t3tN7K7f4ZUgpPIXW
8FllibVlEopPEWiy20nw3/QIbAGfdI9uIGu2DoUhbjltxZYcFMnTADjBNBkXI6FwKs0cds1cLFa+
qEE5Z8sWw8KRxDU94WvL3tx9dLORipfcIoBUlPkNav3WamZvbYaSJ1YfxgdFGeoJaBy1GV35BQ32
DZsYyfXYIK4ef6SpkxzdurnJ+8ZeE23DomePzy3Dj8d32LXFdKP96VtZF8aJXGn0G+Txv1v3/J/k
cTWF6ZJR+Hei5ubto3n7y1vx8ZfrW/jW/OXwRnVr/EeRE27Q73/L7zqnDWQYf5SAJ7c85/6DTOxa
v2B3dbA4ueiLnuWJvxtfLfMXfDX+gnX9WecEdIwbn42jCW0Sv6j4rxhf0Vj/weEvfRNrLf5wXOH8
Ij/DT3F8svgOsmA7VAn+T7rAnGgnWgs+lbP/w+t091ts4C+0Mt2VcdG1f/urcH/6WYoHsg/IkB8o
EH5/prqGyEZlJduAW2qJ8bNH1qsPberuilLuZr9+5bRdd8OzbwPdnm+ZZTF02y9ZuPB/xvOYVYwo
1p9545fsyT9kHJbfiliKx3IPn/HP6Nygisk+5XWwraJpSynyMVNEcQfL3Ymw2c6qohU5XyuKpzzU
Ej/sN7QrkxqHyyM7rFTVb1+r9/H/hp/lv3iZ2B3/82/kWbZHXEHxnkjzJ+U5j1xyptDFtiQfo72V
OMeQJusHKKfB7RhF5qqSBtHgrNegKNV8AlfO3YFdMNRCOiHmqPhmEG2/DzqRnW3tBWfHiY+VC3aV
ItQN8MBv7vieYbbraWZSZXGj8LCmDIVYcCaKcCzyub4ytnYLkgYMYUtpbV3O3B3lurBYJoFe8atk
h7FvA+fxxk9Z2kTEIo0H5K6HOcipMgBhUPdr6U1bw2TmIXFV4FMOVbDXdXlplXWIaXutm5cpN46U
3a3n/rtRnJWLDOEM9mkx7VrOIfV5dvfPvcb03zAorqvRPTrdUzBo+nthNiH72qhaecs53oX3s3PC
PHWl3HM9m/PakxNRz+Ako46DOFj5AbwwOTxSOHxCDNiNrNFUyiCm825HISnz3AD6yXI37DLWBqOh
dpqbnmsf7pHRxW3t8DOJpVZlv7Ox5bbyGUbAKclJJxBRFZnEYAYHLGYPD0qViQ5/7rDGzszLw4/x
HVgWXLkbec/7uUoM+6A77EDzsDTvjMiszUbU3yP31irqC1WOZIK89WCwPzT9U+Xwzey9rQk5yYgf
06E8GM11qtyd8qM3CoO3jvO9HstvbUuVLPKhh0Eu9G9bEGH+QisrDjCp1rkHmJ+Naxi0+mqyn8O9
Tfe8mxs3U8075+r01qiS4cGax7KjKEmvrC7w7/Cplu9gIXGsVRUvWt5XyUKvzD7pWo7urTks33w4
VtwsICuALVSrWEBGIZf46AptfSUf3R9bYnSv7MHLFYG4cD8MS+oRk3v4xKqWvikstiuCKHO9IimG
g5q96/9j70x2I0fSLvsqjd4zQdJII7nojc8ud7mGkBSSNoSkiOBMGmmcn74PvTLRUYnuv6o2vfqB
QqEKGUopXKQN97v33OKbn03dDpORR9P0zFGxHMaJcmslxw+3mfJDyTjCwQTXR7cxrThn0Yk7t9Hy
oZmxDbZ2Uf/32O9n2dLj/K/Gfljo/8sd8vEj/dBt/FH+vilyR1u+6s8dER+OJzHocGCCuu2xJP9j
8CeDP1iH8eVg0vkrI/Knq4ckyBLRgCstbXY+4eAr+isJIv4wHYfN0hXw/S3T/Y+iICQD/7b+Wjbe
IJNUVrDszBgN+ee/RcYqU41GabQAQApZ5HsjHHV4S5UXkggcQXksfaYeKz32hAiDdOGJ1RL/MLb6
rLjoJgC1VdiRDygmIyQoRnGWdZDBdJ0UvhRvAByznpGOCV13hd2dgwK3sJcKmuhqb2j3UyMYV/WE
2LdRRI3KGhMCwORmaJoNa6Y8YhZVDT6NolB7OaXZG77EEZS+WMAvPrJGwxSNJvq1WYbRmVVdfuJn
py+P3O5+7AP/fiZwdlsbvrEtyDvjead6VBHleOxtVX/1QII+pnLMi2czD+VnQeyc8FcUwe6yuxQL
Cn2V5NkdHTHwo+YdOytedFzUYAkUjBU42H0xftMmBYjJ5Db22fTq7o3gSrhR8zS+AaQa8TeWprok
TDPNTQGBqsc/1M5YS2yb4uO8NcS8kWnEaRvCPEVzfbMYK6NSqDtuJzWnbovwB1FDEX2YJaXCoMam
hfORAegCBto0F+lQAOi3Vlqu2iGmttDBUHqjtYDN0Bd9N28M2o3Eye8nXe419CMSL1bZ0MOL+NJ1
Lcq83baavwCHerWiOLxgmyjTT9F22XlOHXXPEMv5EVvW+Bx0rqlWHZdMUO1jXd6obE6rlVDDiPt+
UC+FLonyz34l14WLKWlVTnXFrWvu3JcYYtZLXassAn8T0C9Sz071aEnYMFt+gvGlH9r8Hnd+/JBZ
GDF34QTiN05avRfmGL2m0UjyCvgLU7BNUna0TfleN39nNtM3N3RXWQZtgqNh7TojnuyD4fTph6sJ
lKyCKovEyQKo2EBSMrGxT1aPr5mE3hMJHKy2IZEBUBhOypauuFmFwHk8pnyQv1FP8LHP4PiG8S2V
rX9OkwBfbhIAh9n2bVgoHtjJDtEL5MAkpklKsR+KxbUbDgjT27YuomxjVgYIN/wiZ0RLexlz+M9Z
qpHMMhQBLkm6IJwBre4+TFuRP44Ru28XsH8ntRT3Vjy3p7E342afazaDFQfR8q20u+zkeXQXc2mm
ula1prexSlThHUMqMAjhBI/HHAUsRbcctkFZybcgSi0fV3cC4LzqMNpu0NCCAV6Tne9kbTdHkI5t
ukOZ73ZmZXYcF9mSkDqGNnokMYvVto7T4NUckvo7LDH/U/a+c/KGHnwDVXwkrQZimE7lf+/IXeXr
SoA+mFrL+fBc4lJ3cD0rySBnoJYpGPPuri5ncIRZ1zk3Te+AW5tzxE3ixKp7dTGvfcZphPCaI6Tl
+4Z1IN3Z2dyJA4zjyQU7bPKdQ7PHcQV424tPtYowG1aJBzM5xoPZr0cZqJhC1C5i9JzhC2KkzXVz
wk4FilLZTbsOfDZzrN0+rzliwATrG+AjuzAP7EflGMlHBiIFanIQ5z8YjMDUwxx2LnnDEZpNHX81
UlYXj0zQfjTNGXJ6B/fPDoXz1XRFeudPnnRO4yyT5hKhx7wbcynArMF4t0x6EqiKi555oiAiFwFP
ZdnM1Y7NZHoD151foATRptuYeC1wOkT23rXaMtjiuf9KG2fce5GuoRpNqPvxmI3UkVkdGl9r9fIc
5XL+xmLjFk8ZWKQPPzX8C+RyriqSS/aNjlT2mnA06VBCfPrUzLwwvtfm2F0y+sEZVDMExzpOTGuF
fgQVjPcbF7Rd/QCvEaBA14kN8MNidXxxRiOlKQ9HqLHDXYJ9mX5KXrMB9yr4y3IWBPy8iTLusHKf
fOz8lEYOHYI6KuDG0bqlGjet4pNwk/eotQrAoQkqoK26D5Bk6ls39Njm9cR4YHRp2GQ5K6iSq6lj
I3uO0yoKcnuL+4oK+iX1ckhoIbtnbG4T56IOBltA6x49MrivLR42tQWt5m8tJaoSsHXrJN9MWnVd
/izoFiT5eUH7+TlWr0Acs9Gm0zVzZkQarG3WD4Z93h3EevFuGH1xb4NY5uw8di95BH/1vohxWvDD
I3xwbhzKd9rrx0OZy1EQlVfJD9lJ2uGSpvK3xlwzQu5JBnlPEaAEzuSJXWzcoqjf3cbx8LiRXYoX
cA3mRywMLYhfqrnIOHjFNu9r+ldc2Do1M/Twvmv62cR1F3Kr81uPVcsxLPldS4kPUWThwZxRDu0i
AKIShMO3LPCIQxi2fYi6Pn6qCpCoyvJ7WJVElMKMkCj4mSEEalgZOEkd6Mur5T2Ebpp7JeJ4I+6A
+j9CjRs3EFG/V3DluEsyE4nT1idX5oanRAA9Zojl/BjjFBxTHPhr21XUZfaKkOCUgAtE4w1r7ycR
s086f429leBCbcMISkHHXBf3XDQ639sMVXJbKVbiVezqQC+F9YM4OtJlIMpcKFXHwQm55bhGBVhA
GJIYR8QJnJYGL+/m3dj4EPTG2P9RVTVdYrbVWi8x4JJ5pcw2cWmSzv3xMvP4/AilnIH5kRlYO3Fe
tIveWZ2dNsVnEZjpIYtSY2vT3cqzwny2G1t/4/FCaDAXSXqs2pzwTZp6j5lLM5sLRW2DixSynZ/Y
v/wF85P7tB+O86Q/jVqA7Zulk2wGM6Vf0XFDeQEqIYn4D6XFqJ1U+MqkzFmep7QyjGfYITmRtaFP
qrWfdXW5seuEWr3ap61kW/DAkIzkPjMtME5hbfslnKuWmG5t4bZa58Tzqy25CFK9HkLsMZiF/ukv
SeDiGgp2lnxwAVFGrFkRem8HP8i/m695ghk04+0wK/L918xBa3XxZ6E0QYSmgVsc9nH7qexWclAJ
qundvMYXpmuUAYsU18AuCmdvj+JI5IFiac6hkSQOUVyTERmf8q3VICuAhBfcv+yRJnUQJ2tlV2jA
FQmXFw5RpC8yzPFfup6a165q45u8cH16K2l7TFZsSuMlapY4R45pDdLbNeqhhZXeddcAiJBuu1HS
iOeNlUFHPaNTFkf3GinpWOx2UAWW3Q8VG+LKNYRiL3kUN+c1XY84/jYF6SnSmzOoLSmAHrogiI++
4TE5HeoOCARWDPoBVFRt/GssprtGZDBRTMldQxXt7ZjqBtObDRkWRad+sFUhQcw3HmWNtmyxCfQz
8+6is3lOehe7agYB1tz1Ot00S6Cnv2Z7DA6mDySbhxNgIgJA4TUMxDLuvmQDp2KWjHhS2L7KrN76
10ARxLPqp90UdvKYXcNH0XANIl1DSeGST+KgED5io5+iM8FPCOVQMkkzcePAa5AR4CS2Vi+JWhZo
slAgztsXAsEkpEL26LuumsITeM1+yyvQ/CR4Zj0OWQ96Hzpi/hAvqSu7pprDXpJYdh8EP2FPms+T
4Q8nf0lsTfh68S0sYa6hSrlnmxbHBadubYdrvwYYeM2ADYXpH80ymr5XyQT4qVsiY3g0VYvR3qFF
NsrNNNtXDK1B6V0TaBE+Y8rJexNzhIk5BbR0QtQLPPoSZrvm2uiyEMdE2zKn44zpELo9uxucxrie
9iFOkuRmXnJzuHQn2omcJV2XpDlyUhfkwa+ewfuXbpjerXN8xfZWc5d6oTAsjtcyHsbG2psxwXmM
yU2MzgOgD8K/kSJFuZQ8gB5G1g+Mjwpy1GFK7dyvNsGcuynFFOncjkhMXHc2OFEr/5VZuuU/uhXn
kn3Ak6YckouW68GX6D5csgp6imS6G1qCXQQAPAKZTkWtPHWMR8H7BNt1NvziHMtW0SYvnF5cZooq
3RXob5/slftkst/MN1k4hQ9ZwJngPqdSsSQhOQeRfc4dDGn7GOtbvi38qNui9ZpSrEXRg/wir4Su
kYBDr+v6Np4rjkeKeAf+UQv22qVNcbHfuJbu4zt/8Dp5J5MwHA6pZpY+9m75gKG6Ns40lKXqaWJE
Ne+DenLFTo9znBzx3STpKyPgpji4TYgXTmX+pN+LeTI/ArC9cjFJueF7JqMyZDIXWR6HJCpSIn7v
g93ATdeaY2YzEpO3bDBs8dLObb4L2et23bQN3vQ6pIQsTNwpOLN918Mh863uxpkKq9na1PweKtPO
9i0V76iOZNy+xWVbFEeYAam5i5lSw4N3OgoYK8cbvDWDYSBQbWZTsmnEvbFpo0HuSUwH4Y0A5t5R
LOWzd1F6geZXgkOqwUq1NqwSdoYi2xqGzPXbuJDGVD1OxS2N2ba3xsjukqZA+PXVDfnBKTiEfoBt
snULL35hk5J6iUuUHHPMYThjfqB3D2VO98VzLCcn/QTD11cPUddOm1IqMIvM2QH0mFr292kdgJDj
cLeEEbHKbTR/HWdTgSiZD1aEfYFCXcboWz90PYdhutfuPHvx7s9+Y5ySInsLUtwEq9pS0X1MPcdX
4YTqHXIdU9XcnO9THT2mfY3Q2iQ0/rF8D2SNZ9Gn+2yUKt7QPF+f7LaAXVHSPP8LV6phH+FzczNC
YiBW2Obx9DVFjRAIdBazeAym+qau++5bZ9VyTTgRCpXtYtztRW1Qz+vkj12kWZvKQGenaOSN5dQS
YscM/YkhFhnF/lN7fkcPhumbkl2oKRZ7HveaQ6LJH+MFJJaro6XtV/mLcSBPIiZuELrtW1zUQFP5
aqjpeHpNcN9pFZR4a+LRWjMZHfdjVHo/apZ++llqWz9rXJa8XpA4PgqyyUdDQ1fKpReePZXrbt0W
syVXeeQ2+WYuXBTCPBKPGKqcPQmpgmKVyZw/hcXHIckGU7Yztk988sHBCSLSNG3lWdV2mPVRmeX4
EWk0Syj+7XdU0zbdW2ACb3pheUcacSYs4D7A+ijrwcBnTeFTf1bR5QYazFUmZP/UyC9B1+FonQUj
8Z3BX+yljrLg5OPgISGaLYGy0g9p31Bc9je6CWW9acnKNgxZU7NHVvdDVuw6kNv/v6GGZYr49Rf1
BhLLn1PFzUf78U//Z3uVHB9g7U6PP3WX/4OQw6Rk+ZP/7j/8H/+WcMnQTKI0/r/zCk8fRZIz1vvR
/a5c/vll/1AufcZyqIyeT3mlv/RIMpv5M7Mg/yB8YDNAunaMXkXNvwKJ4g+H+RpqCSwjYnFL4+Sf
0qX/BzEDmjClQxCLxAMZiP+AYvN3hg2EtaWdkU5Lvptt2owTfxcum1r4nRxls2VZv7dwQVA+Vr8X
jojWDSdIo81uHFb/Q7eAX3/7pP4vUyvJ2PGf52g+aB9JiyqfiUColcv07zfVFGEJSD2v2dbKjfkQ
tjKCg0C+rBk1gxkc3GgWqX1myYz3HSC1c8vL8MVSG4ELG4EJxy1k2FUwz+Old7EJjPPoUt8yj0gz
ibipG979pNHBrUg0dqGGGudDKHGkH6AMY3NV3gPHbje7VVwY1rWUTwJlY022mn+hN4Nyndny75wK
4xGZMn3L0RVKf5JhZwZJuMulUJDEc01LmzMbTxjxOLuoQswPzcR+bfvaePJmSg6kXwV3g4gWEiJI
a4w5SGaGMT2D6MHq4MH1sNJxpmlLdnuWFPcUoBHs3SQZjzMonCWBQLXXimuEkR0cr7bPnltLDe41
6QhN1G4lTjXnOLV3PKqEooQzLH5mmUEZmPx3XOepQCZV9iPSTaTWGh8FK7jBp6bFdKB6VJ9bHNDc
zuq4eCCe0f8swsl8Q0nR3Ipco5zWJkcRtcYxMbwOUUTVDmfI4lsp9PeuNtxtH5K2COz25JfOieYJ
dYgoxwGd5yf7tDbeZWcGxMqcUW4APtYQdnQH3oL+muQkQS60h7kYx0uHOMQvK8tOPZSgfU4odW8T
XoTpWvvVuWRwcCTtgYLRx8NTJKp0z0072iQNt0+ArMZ27vh1axiBH3kpzS0+eGqKAq8Y95kR3BUw
dc6o69EuUw2MIYNDq+25Jcg89m/P0P7BApW8DXhz3M3YdtZ5SoZYIcAWgD/TIYThauBezOGOwBhQ
TFs9f1wRiwh2PWCSDegn/V1Glv8dVpF5q1LFMx25J/glZFaW57yNYE9zKnduxdQET72sEmAvXbsZ
NB05whw1AkWg0OHqGKILmumTR1IiWMCv2Tc/0jRu96SRaJ6aAgMzLF3qMMw156z31O+EtVM07ph8
xCbE30z3CW+LNbjwIue5QDQZbGKfRZLMF7/0xGfphO0jKUdOIR59jgs+hEQr4JqfMzeqb96gg+dF
1MbyHnfGe5rY4znpCueJQlFImmM11t7FgQKBUDb2VcM13A2HnWUY9Z68dZquBxphIjaoOsJ4k0XD
p5pGUhM97qRz2liN9e5DBNnPnjutwfMxhQxmmX7qscnvB8KDmzrqAM0mtkvjQH3UJUqCnw+/5uW0
XTQjocxSiF+INupHMur0MEVucltnXXycmxYbc6jQ2KNa9GRAYmKVbsKW2o1W+ywHO/hKQxEegcSi
77scAUo9DDE5/8I9ZGZNyWFCguB2tpp4O4mljINWRQqBBguH60w34dyXu26okl+2tKwt3r/yEbKG
j7swsD6KaJb39GJ1+zAO+QhHXz9zj6v2ea/NM6io4jVO3fqlSqE7e37gHGON7q3YwsONm/UZA50u
G/ZKa7iJ6BSjXsMAsZovNLwyOkExijBJpbnvPNu4PoctLYzhK2Vb+5Cr0K8wFNI7OEQbZ5Dj5CgO
9gBLGXNVOm0rSUASXD9BS060/ibtiBNTwkNwFilwklD/jaDZjKB/P3jSaGYoqVlhQfICKryMhNV4
UjFmwJj0Q7qj8xKbABFlYsFe7QXnVk3FzSzg1+ygvnJN8aGFHkOMiu+u4QYoanN/rE3gL1oQ8N6k
Rj8Y1HYMCXQqnPjUYiRG+MGZGYU0JFNxihjHv1BU23rHkFtFyCkvmx8szJyIviKGWxQl40eZjurS
kl+wb2I687a9Mb1NsJTtzQQCfl/2ufGt7IT6SbiFCfNcxVvoGX23NbsOxyxRnJZ4z1SUrzz8JGjI
GuBRQ/AIxD4LW2ZHnVsjl9ZDDzcG0C458q6tWxTBQVlvo+rFIhtk1q6IzRK+TFe3b0ZJsobed+V8
J7psvtbg0tdmPdtfSdfCT3NmOGgtKGozj/TdgML+Q0MCuJAiCVLiDy3RfIss2LzO57DaTxH3tjV/
LDmhICOlRcoTT4RZQPMODi/9qnLamottww9QZHO2JA5m1MbBSikGgBBdGKtMZ4qcVuewXsR4xfJ9
lU1EzkOG+MXahkQwYmQZlAE9oyJSay/7Dt6Y6oWtBxQ4sX+vW1djr56zpJ1PGf67Hb8ykkwUPeyc
LB8pAqMxAbAnuRqz9lqKSHtdrvJYGLQtVkV5z5G8W7sOrwNmRI8Ex+TeQ+CJYwxvnrhLce5dOKqT
EgP5dS6mBvECEsupCOphH2coPivmsmm5JmSCNyBQIn40LLiWiH0znAGc5ubyomP1n9vG3kZm4P9I
qRCL1h2lZyMNF4H+1UxX+Q2LPUGRkUoFk4vGOkD1esW052x8s2ofANHsRSvH+3iwgsc5G6IXq3XT
VbWE3KldYTymYhsNpMThEYNaONOtEt/RMshra0vDec6ruv+iQCTjnUkab2WbYNJWBBQW+wlX+pVw
3ObWn+MzdcRbJAs25K7We8esFCcIO37qx3S49LPii2Onzi52ZeBsB5hycUYLb85ABupxbAH2IQia
pziccBMXBcVl3MC4B1OPAb+LM9kuMSMqAoT4InPvbrjC3GVTZK6KKVREQhTfjy9cKqoK74YgTrWf
M2mTkFfxzlEC9ryflv79EFcYFqW2RLHJbAfwFUGw6lRhJ31llxu4yfFQcQ7iIPSrAGdzmbSCT+Mn
xvwo7VSiQgqK3hG5+IGOdkxdF14Ox1wBiG1+Mnbw273jJ+1X58Pg2xXQniFINEodcPKb5ywve3tV
+3lCARGgdpel1SUJEpBvG45LCncB2Myc1rIr2QAx6aSnFk58f0UfeNGCQVALEaFd2AgEdfOtdwUm
LEcVmkWuIAXT94FGpQtfYV5IC04TDi/WzJFyXfdJdkPSV4l1a3P62lI2WD3XUaHpgLwiHIopCO5r
reZLZjYQIBfWw/WmaALII9kOCWIkFwMW/wqIyHw5Krj7CZjXjHIEfnlLNn29zGGSVe2SoAmusIn+
Cp4QC4MCa+CCo9Aj0l05LZgKc6yac2cEsd5OUVWd44Vo0V7hFswsAV3we2H2RVgeowGRaxYxghqu
PjdXSEZ5BWY0zE1w2aAyzVsnMqbwLgL+gJPrCttQV/BGeoVwZByI3Z27sDn6K6ajCz2mg2lv2/1N
IOve31kL28OvciBePVSrhXE3cgKWIRzwyYFmQVBJc1oDFqIWbIgXmxKdMUj7G8vBOA+2ejzPV9ZI
v2BHcAj05Qmva1zTOjfUA6Icvg8I8EHDkVUR+5/L3PgAApCMm9CYEVQ9k2PUdrDLBZbEzaHftaZk
OM3vBDJKDHzje5736Qs2oT45z1eKitsO0TGvmg6VqTZ+mlYaItQt1BWTXeU4jVzSKXkAy8JoFjoE
ckn7nd+2ugX3lNJhucBc3AXrEurcPs0O3ojADdsz3QLwXyha5OrOX3078UN0DFed8aJ6N4d2FOO6
gsOhp26jgtp9ak2baey/uI9ZfzcRcssMTEt6QnBTxWTKzff36xiD77bLE6fdwnrPma1En2VSfkNA
ehVB8c12SzZWD/c9h8x3TUrrX7gYF6zy767K5dvjUfXxL5Jpx6z6z9+ermYbcqbRbptQ1ytjVuWZ
Dz8//de3zuuN9u/fJsArKXD98J/gb5fOSc+9PcwOPoOIYRKIEBVh1wSaeXBiIocUO6kC92hQxj8g
pBr0ng0gzVYW88NXa5zc42SU3Vmqon3MiKreLh/ZWuI/uhgDqUOMKAr+BgooyOvUa+8RaKvwv41k
/5YeY0kL/zKb0W+/80X1+VPNuXwUP//X/3z6mX+U0d+5wv/nK/+UZaw/0GnBATO4BFW+eKL/kmU8
zNeIpgg2+LLdKzDiL1kmwH2NCw0Kq2tDkvLxRv8py1juHxx5FmY22CmBQfg/k2WC5WX7/TGVriss
afsefl5fOPYi3PymjSSZn2jyozTlmO2jRHk/FC01GhVnsl1gFMNPjKcg/bBpH7qKzAxRDL3DdIo3
lYVmF1Rkx7Y9z2W6gvjrPmiU6p1FLv/YLgCAOGduR7WxvBV+5B3RK6tdi5b8o7HDajfnY+rxr1Tt
pwano28pKiMU2oyJfOXOGb+0qtS3ddVw0aNMJwnh35v+yRtn/5gMA5XK3HaD/JCm5mImHcBMdY7R
E/4dvsJkblji/BNHyv5V2vRhuZWyQVBYMpnZ4+iSasDvI9ezxa6LxmmOXIrT57LwHHjjtRwYjuVj
0KwMxzeo6mBOdof33KnWqWOpchMbgXvbhX5SYhnx3GdaU/q3wPTnibBe0h5VkIZPTKIJr9hmRpQJ
N1B8mbJmwB1kjJLQSSySOzj7/Qum6CTbZk1iQp7n/tgP08XC6nTgOjh8VWZRIKnnrFc61/quzUaD
uGSZ9+spt1yqdQZxbulDfIozz3w1qhIVjRFmf5zqfnjow6jcNiKKfvhTzgceyXH5wXPBYIWfvYuR
JCq/OVSdXZ3NPEGw4ddcfspOuUcdmxyROC3Z/JDgqVcmGNl9ZqbWHe4DDt+ZN02bsEqjnBuXWCy5
MtnbnL+YJ1oN1b3glns93FSeJkfSwZhdRUP82I2ERYY06i2ssfCDC4JHcJG6efiI4jq9GaAQ3fJA
dWm4kj6XAln0zjbKPaJGTbDpR11tMhN8RzA38oARPnlRuoLhOBr1yaKV7dEwPHzA/ljfQbiP9lVB
abHRDuIuJhG/JYoeHWRXmFjQq/BoG7qGqp2Z7/U8zzexE4X3lSjT2ynlQW2gZ3y2ZOR3phg1UX9o
JGSHn+p6WA9BU2Hq6OL7LBsHzrqNesaNEu6iznc+EmspHzAbClUZA+0kWDDhNfq7aao3grlUVnsc
jvg1veigxxtYdm3JxS2gAKkYh0MzpvfKRq8HwiEVJIGZYwcp/1U3YqqqQQgdXJjQas3ZLvNWCgbI
E++Bd6stJs9B5srywA0jvckZrbxq6HRPzOOrbFMJS/h7/lCCYXpcakwSuM5UvJPxBZDkXkw+PpTO
FkMd+lQC4VEojHeVdF7K1HcukGbBPDWLnYj6K/AV3pD8MnuSEM0AkRPxIYQAmxecPrrOD5680uLI
3CYsFHi+4LrxnEz3MQU+D1wsSMSlpFdX9uxH92qsI27PaFePo+9DGx2mpdEtkP3bUlR3SRJnuJnM
EkRuJLiQDaKf+TflNdm8znoM7No7+HMtglWo3P7JD0b7uSu84UCd2vQZ5EnxNLV21RwASjufPN/J
r1j2Aryma9WM9SY7/rDCnKreGocqJpjY80jk1SUx6sJmipoWot5lVVrvKW7DvraYTveKKrc7zBfi
qcdjexM2rv0tK0CjNgbGvBUfiryPk84igSBra2s2uGP2ndlFd/OQWg94Oij+ILp+bmNVfKU8wvxW
Q2G/oNS1Z2gLggPTXB98wS3cQoO5lGUBIzRvJoLCiLHmSYbKOnBRjU6u1adnCzQv9ybXhdbQGJb1
RMHvoLeezA1s+pZ38bK2ePCbyHx07JHKD2VJEd9wGoZdkhcmHifKA76GuZrBQmP/8kxgB2sim2uy
5zcpM1ve+RQfAVbAHtObUWX7pBhqvc0gZN/QeB0fhqC8mGnTGoAuXGOjxJiu4qC1DqNvFQ8ypfzb
5cXdapNK2ob/IqE7l9/AvTLj1AlKSxLcgQGPbrOx8L8yESS3QxRmO8uuZqT3tj9FsrDhRrjmZzbT
Wdj3EHnSMqSYF3T9wtfld2hHEgZnnaEIp4gIni5P5TQBeCDQPmy9ovi0dF5tc8toDsIp5XdyHzvp
d9/B2Kk9r358tDK5jWs73hiEWX5Q2f4z1crbSm3QDZtbCTAOlPOcfvqE6Pfe7VzaDa3kjoYLb4MH
yHiwjJLp/xyVRxjSN2bUYCur5GhCRjOm10ktsiiE3uYBTqAQwHwMtW3IVXCveJoLb9wVwBZ3VPe8
5uZkH3PVWhvZJJ+LlJXfcB2m5EXhmN4MkYOuhww37trQ6R+t3klvx95QCCyqvTS2ffJ8970b1QH1
AH6+xlSCbNDhBB8tbk322XLaGdcX+D3SiLSnAnkOKibDXpeebAE2e8WdYyJi4Yb5Hjgx/7OrnGJf
i/SmyQCZrkG21tOGKCpkKcunyA4T9KCQ6fOPYsoxZjCDeBOErgMMLlNyCxikp8nYqgHaCaN+rFtK
yuZ68PNV4/icE/qxOxVxlBX43hqQ8NMsKNkzxM+ijfpkyxbv0mWq2pjDjBHBlxm6BHuu0uwDia1B
lk+2LvWaaY/8Kivd3XmyHQDCxTQvlQAcvIFNLAi6iU5g+7aqAFtOTAVYqqb0icgRgKYwaIdqbYXD
+ALV4EfA4/42u3LDsefWjf1ul2noSyyI9WMiuT9XzOnFddLEX2phwaWR/YDEOb9BsKJcmazlTSqa
YMC1OddLFdQEVrkZbj0/cz+1nRF+4RuvIqsdt1TAylVRGN6uEap5rry+PGC12uZoPjdMsLt7lYbR
S+bivqdg0/0lTC9/xc+jduBtmTwsTIHkkDOAOQwl4ZpVz2QC7g8z7JVLG/c9e8Cw7/Ksv+DOmG9s
DmQvCa7MG8gKoOwZj9CrUJtHVbgtG5LnnhGkK3uNR8s/xg2flYus+GXXrnnwo1ZvBGbGnS4Iv2wK
y90Dk9rTcf88Scq6GBcTLBrqtRLNxtbuxjOHcO0TLsfJWnTbbmh+CmfgPFfxKOIWwIfCNZiFeFO0
1GvjUtngdnkwRC1uuNU6R3gsLuGtsPpwWc/W2uFI4eqCITx4wZ1qk4odxl5wxL7/IGfDOkdhPexw
u4W3JVrlCg6WTTy+VJs+bNYM9+xL1Hcn255+WZamUpYgk0njKqf9H12uITK5U7ayOWpdgqxydtQt
1ad2juK9MXNh1wO7CvDG/qmlyOF5cjAcjMkICNMaL+YCjPQCMFbAK1MmGZStEUASWxDiEj1NBTvw
aVRbCzG+8UX9OSm8+bPxASGFqZnuoM2XZ0ic4jufNywQR3Y0AimVeDsVZ87WjUzjUCZOfONBdH5Q
ON5XIQPOEwaQ7M52vXxJnYcP5EP9c4GZDKSYkdmrWGUu5ecwnRkNxM2Ze0jxAMTe/Tlj5yeAEJZ3
YrSti9vZ8qZrcvdnEIfBraTnccUEK/kmmro+uaaEfpbWZfJmWEV7y7KZH2t0zI2uvS9sqsEB/D2g
NiftLvDM/TfMwO22TMsS8ZmNnnORSNUtKXxMuA2gLBi1ERWsdHdMrB4YTWF9l7ucq9MhaOBjGK43
PYZpqudNBhIWD3m4KY2APN0IORIUTXk3FvFrhe3i3gxVhgXNrw8UsyZ0rQvCepzBJ1INOy9Z4tPM
0jZTbMGeorAgX6kwIluH/bI0WZy7QCbABDL3u8lVho/ZL+7qjgWP82P1CmLIfadnM7uxopIHuNEO
FnEMNqs56oC/aCp5HiKbAVDRSfxVah6/winP4Lyz74W+zXeekIs0DRjn0YPbU3n1s6Tp47tPa/Ca
Qq9lUty/NQ31DxHA6aBVRwusGFOx/p4dFbY/ABdqad0O5DcWFdOc1P+m7syWI9XW7fxEOGACE7jx
RZJkJ2Uq1Tc3hFRS0fcwaZ7eH7W37To7zrHjRDgc9rpcsbSqlAmzGf8Y39hyzaIlux5/Jck4YCev
i1ParsF0hO8jeV/j5EyYvigB1LcUjISHMXZ9TyfcAqmCTHf+PSrd+47c2jyma+E2R1i6Psa8/TWT
3bgBjsCEyKJ4cSdGPGlhMYKGqFYizTLy8QEVvtNIXu6XOGuvOOlKyveq+kvngbkMmaEwukASSkRK
YbHRcZxoPO3QYzg/F55OCCBK5scwBJELnjT/zAxv4VdhtF+US/yLy5g4KjyfW8xD1kbhbHvWtGV8
yNSCBZP2TOOdVjLto0D52tEIWB+YPP1JhIDfBp9ecOmh/eHakhqCE9ttO5e4Ep5ZL9u59Yzu7o2M
7rjJqYSmb74vG2v2G4GkkScLwxfsenwxVA+bGsbAhi2lsgUjGVn5xCl+exz4Ve/dTqXH/7/u/Qn4
AF22CN3OqJ8y2epkQoufZpwOwFKeXFRoH0ZhciWZwgQlL+dD5zrRbrbaBrNT1R8Z3/fvjV6pz0Vh
XfOcUFIRKjzwwVX4C3gL2+c8lAjQrU1jlYwA5xTKOZtLXt/K3ireHTccOBvZ9pGeuWaPJZwaQA/M
LX4Jkej0GdtTuykNjfFKWbLENwm9YMKMiVqM9Cpy1K/cXdim7i/dm2FvhZ1NG0keOh9EdaWz0XQ3
e6k5IgXAG71LD5PjrZlUsqezBpaAMKdPWcYFewcF2TgRZ6JKVrncR3jyT5m9TPda1zEBsPGb+iTj
RBBmznJcUCoePNIWnyCWkr1sx/qtZn9jie/MozNbRSCzkfkGLjuMv30tg6E39C3k2uq+t3sJp6VS
7Y8OGe9JK+XobDpldWdpk3Ah0mBWsHmE+47tgpbsTvxOstI74Rhdq13nxLy6kaFDjDKTFxYOfIU6
vQrbGrjTeXIWcWpDIXbaPBdvA6VFvwg3EJLidQcUmVeXsFX2BWztiqiBRbitYmoxqeQR3TVz+vqO
w3UKNSGC89emgqWmYRN9iCrMJnDc7PxYy8LdE5ZrH9OaM+yGI1xxKAQpXtAO7q2IqGxpQMs/S516
62o1NMOCXk2r2CTCNsTA6C0qPY6lpDCqG5dTwfHs1MDQfsOlrJ48TqH3g6BtinpS86UQU3LylJF+
Rc7AXhSOy8Ve7Bo7Xq1Ht62VGueyU80GgoXcUIxjH/VaYb9YGDtWfpVK+1NZWlwTmzL1Twj5WYN4
sEyvVoYJhnix1yE89JbeBJFXDTfa0hm0yTJ83+A4WXYz48wz+3j9Dm67flFOYwdLbXExcPtuM7ui
uiO85z4DGHJObkti2RgUoyZNFBcmqByx0r7LGowHiXozHBhhtp7Gd6E1iX3bGQvzsTGT74sRahwa
dOBktZuDQ7U5dQIqrWi/tJrAAeSEqVFGfLXuZz2igMSptl8QrXb6zB2c34OJF6McJUxyxi6rK3Jz
1vnlqj0YBd+S0WOraDVCjGauw9XJukEFBKrll2Zxv5iWlOOSl0kSSI7WFOAQjZqYdILYy2/N8VbD
j5qEaX5OLJu/rJhKf638Sv4h1f+f5mj8h41y/w9a7f4gMBgA/K+U3XOyVNgw/7ba/c8f+4es62Gc
Iw1s21Qj/jHU/cNq5wniw7AvsMw5KMh/1N5/arqCKrmVtbF67ZgIODb+vH9qusL4L8jDONQY6xn8
7H9O0zX+xe7mclB3YXlIqDsGDQB/5i9/SboTaNMyMwp1KJVFA2dW1vvRbop9mxoXE5faMQnVe7oC
be1o+MHbHJ4jLin/mzEP8ed/Ky3/+XsIoTu241B6IVc1/W9pmQC9VsEDUlAMOqBijrGzzGyHliCH
2zi+sZpDI8ntJ5chgak925iDRRSe03jqgS+YTwNWn04AqHtZYLzp5Y2J08JPKOzFnuEyQnZualzH
jHI5cdj9PTWfe2Od6dgr1FsfnscuXYkKwRSWQVp0V4J1d2MWnoRZD0jaOxh0sICjO2z6xSa1s6eB
fFPQkdm1nIyTE9b1rS3VRLg2AsPG4K3bDsi7FmGot66rnyA10Zk2H9LIvFIoZBKrQnjlg+1Ms3+L
JZbmqFr0HUa/TTXJW1UWxs6GWjlzu9RQA7lQKvdVy5aHKE0f8TsQ5psOXCdozSv9FBsF6eTHaVqT
wqvQNkG0tSwiRREzwImU5oGY3SupmAu3ghOy7k8FscvVP7ROf3Yi/vjeObd2+yBDYy/6KjAmbTsK
7FUY/CJfesKfacmDAPpV5eo7acjbDYtpbMkm/RbeEh47W8TgZc3igMWp2bKx3fTGeNbcoQNiFec4
PLCTzPIRZCXVpA+wX32pm3K7WONjM0VXZnA7k6WXT4uDFgeYIJHbXo4nyI/PBYEKYqeYVrrHppx+
A5s6Tp3+vnSETmudvh/29GhMdrOd3IjGtHcFZ3LudxD3vGcer01m70gmWBsLXjQeOoVEpy6oK2/Y
sG6UNB9aB3Pm5AzPhlltDQNmHEl4nYwX1gYfA/+2mtBUjd42gxa4bEa0y5v6jxQlWyCBbPQpf3N4
NJtYPifkjsmqlt/swiBc6VKuOjLnQiesnva/9B7GaqhTTzXPJ/JSgWMgbqn4NS2MJ6t4ddjt79Js
zF7VUtx0mXUfcqvbuzNaTSsjag8EOqgiFlx6W9mUB1w9b5JGP/ocSLve1fZzR25vY8AB3Ihavxdw
BzfauBzrKH2lkHo8DADKVBpD3qXMZ2q2kbR3Cje5Nd+3bn12dM8ng2hj15nJv3kdnD+4ZoQYr/0U
AvdL+4NpGTi2iD0Q1bazgxtfVWTcAoLyWw87nMlWI9nDXYjVCTi1KJxe6wVLZSa/aAcOUsYSmHuN
9tx4BoUIEaUiiTQDmsg5TSdfdu7uqDhnzuNjX7rHLEL+2doRFXjR3eKgBGpPT+xvWdDgAAdaWr7n
0XC4JIuCeAsoDWVgeA8x6lSDcYoF6GOxPCdK2NuGIoaEzLefJXYgF5vuXHM3FNOdI7q9EJNfLq5z
o4hTR038SyoLL3K6vk7iztM5QzW9fYfR7Dhl3gfZqmMy2N9VZhzTZrmfdYu0kqiKHcdwVHfqCogH
kbV26Kcw2vSBklW0pZCMtOnQqcUtQqKbwqFsXYotuIsf3To5F0k50qNsjn7dqh2RSeZL0r4SdLkv
6FiDclM/JSvFFPCfn9ixgdmy/qpsj3ilfCkMsiD8i61IMy6+drbl8H1Txe2zA3AvLPv3YS7qQ0yG
z68d94Vs9qMzYlqdPA6lPcxyYAVF+6TjT13M5r3P7Q/Rix1U8Vt9Ht6bOXvNZqfY9zW/ByfkWasC
ML7BQkruYba0B0Ypx4l2s8B1ylM/WIk/wGuHaVAhHDhtenDc8ci9+iCEyamIlvGs2JdD+gkKec3x
hccS19K5CXnzy4Z8EofVHyGcl8lGGcYkEjQ0JyLe1z6SfhcUZoI0aUCHIcnN+GiCs+nx/PX6Ppcx
FKCU3Fll3k7EWwPesEs/G68NBOTZcZrAwoWDdt190t/Mi1EYHL7Hd+WF11Jzn7TRvdVVf1nESixP
nXnftdlZVOuV2vppIo3mjjbKt0bS3S58rFoYnjM17qBNE/yoGBDOLYlvjQGhjzMRDv0UYqrFUDw1
R3KUoBEt7drWxL9mdMvASLWzRX0fJ7nkG9I7TL38QacWg485uu/yYd84PA8tZhUnC1rpQEkzjxXg
oLEb8WedZNxzZHaTQ7VSd+bwJO33wcyew6ILaDndQ6LZOCNI/4pFSGcG1cfhvm7ltq4+4q68FJ7z
CqviOOXets+tG7rCDqOqd6FZbg1PUf/jyqNOLJmkChYm57EJx23TW4c5uTQVYZICvx8RGY8n3c2N
N1ITd2JUhzU2hpS1h9WTbe0uPCxrDnNS7ZMM+882G0LsY2D0ZPvq4vG0wRDJEVKOJw5jPtyS35oW
c1vQNbDRyvZeW8wzTaI7BYucfjZeeZSdK1LYTz3fRMoJiMbdxRMGr+XCiHyXptQ16ubvPqyawBzS
7ZAbN5zffFDAv3GufseRdWfK/mLK9pBk0ZM+j4FO9yDCjPfmrgVEw+/eNkjvsXRSmNrZLVeGiZew
ImVuv3AZOzn5h3Kzd8DmH5GWbrssvWV6cweM2Tcrm+UljM82i9ZiqHt6T0/OiMXcAwhcIwzZxUcR
afl21qwvz2kuahCHaprPDk7/LYE5n0vDoTA7wOjDJwZefLpekFPXnhnpr6UtvwpzJol1dutwU06C
oQ7dMjKuz53soEUbnZ/CQE4eRXEyWRTikQ7cVwL/FN8VCHZD0ONwH83zkrrHUeR3upf8KNLhZk5p
gBWyf1b9Hnxtrggix3jJq7XcMPea28jK7ttSwpEgG84QPY4gchX9e3wu81uCTamVIQlru7pLL3Xa
HQyG6BtTJS9OAppfWwREA36t9Oos23Ll1TPVrIru2/KmmzjJDlPDBwiGhZuvsVmr5KBIBxE9M9aU
bqUjX9qp/fJAWQe9BdyMWp8Xu9E63856AJNp8YwP0bofFy5dIFrdDe2JHGyqKtlXCs681p4yTFEZ
875NadlXMKnvUTr/EuHw2ikQOjM4CcdqX9qsPlRjSt1CG9j26Euh9nBLfLk8qV5smNtRKu76pl08
NKgMAIz3s2EHjtJ8EZ2xsnn+iGHM83jUwwqd6HceA9VK7vvGO40FhKo+uUu7Ewhfmnocf3og7Lir
ul0sy7smrLothINpm8Ux+0eykskeBrai7UyCPB33i/ccOeI1GvWHZNBZD1xsrk9ZQkTRtA9geADn
uDtqhm4nxFplXEkeMhdYyzg+NFxiU2Nkm2qwN3P6hXOCUSiBl5r8rdZMp8nrDB8s/G+vfIl5N+cq
OhG0QybHROZxkaibHYPJxJjJ77lPEruIa/WfCRMFXfcGhlsE4VzOD4PmvGY9wsncvDR4manKO1Iy
5rkaFVcsWRZHUnDyp6aQj0bxpGxwwrOF65x7OdNaB7AZVofnSHdwxjP0OxGmuB0cdmTElQUZuyRD
48ril2bHXlBGS3XEc95yhmy9/g19qHpp+kURQYMPr/J+/l0CVr56qe6e28xU32qsGBFlnr63kVeA
lchQ+eEAxcC1p6Ci9P2XLPP43jULeaM3Efh6FvsCemedvVT4CJgQFphxlcknSYjoA0THeMANGjqb
VLOpuSUdfko9Vwx+rGfUBQBpBVeUEGico4PTWvoPf6T7y8mX5UtDxT0UeOj3IfPYR0KI5s5wov7O
jef2pJfA1nXNaR+573E+5mA2YUUtu/umyMwnemomX/NIesxpPB51owPprqzoOGiz2DktBgboqTgR
Z8M9Ro0mKIVSubcfqro5l/g1oEu0NVgVbzlqXt2tFbnhKW+H7uQNDgOhDAHmZWo9PndMtufecgwY
e/O5coXiPDPr6WPl9s6L3urzr7oqafPqJbYHXKp31rRU75NJzxRhYITrxuT9cbuo+HJTObxpVDJD
dlBxemep3n6yKeF88Ex9viePUF+MsbUfGFlOd23lxTez9aIo0epc1e49wtIPYWVYz5pl0UJRJrN4
t11t3AEZZSlbpvy+Vc5wGRlb3c5smB9Q8Z1DUQ0uU/Np+krbpbyCBOqvNvGbO4LP6bFIYAhZNnwA
L2IGG1cM8oy5jPYR53qcNDWFb2ohzhLixaistNh7MZRFHCmsKhklu9QTAFugbMpYkwH2qzlEiNUs
Tx9MDsSlngDeWKljIGotM2sKmYciT67V9DHF5I0Q9Hw6Zuc7Bk3spHUxq8eOJ3M2EsacxR74E7jh
Zvll5ykMr7Eb6C4O1RODomeXTiuw3e8yyQ+WXRxjxnHWwqDJ6pMDQtFNk9BFVY8S2ozto8VGW0sD
PTOz/+rO26ghJGPh9QfD+mYkC70g/bRwrc5V6qso28FnCUpObmwMls2IqoaDdnEjS98TsX+le/hJ
lNTC6u4lt4YtHlT0MJO/8bBX+MX19sVA7gooFHlbFoo65yjhRFnIJ2Wp5xBUbT3jidFYiZI4u0V1
PkbufOcmkTrWRkOHiSZyvDYq22aLuJtdRoMCZwa+s4By53OTjN2uojU+63CyDILe9rbflR2Gyjro
htcBvbGvuhsvZjTlubsoL39jKnv+Sx/6dzKGpvy3YofLvI90pc5Iy7QtQG/ev5DZJI04aY+9gqLQ
V675yc0yDdMdRHKx0Yx8PumybC5TFS33rE/xw5hI+8lI6eNr4ccj3spSgQNWxZfz51XJ1rdmXt8f
e32T4vWdyta3q1nfM+PPG7e+exWzH/JTJQIKsYDzsL6jMLzqM2mv5UTcsXsJ/7zMU2R2Jwa72ikK
edfn9a2nd43AmFeROSmWhgFL5+3HAboMkQzqTtIwIzFutOEVHyNT0XVtYQiKzXldbxicmhu9Dyf6
o0bziTgV65LRcT6P4rh/hHzSPepVV9y4QrZ4SlqaYRduY9660onQZs1bVz9AIcuXva6IWlQZP2Jd
JUmiJ8e4pmYSpFgA84jFFPsshP4kAofyZ7EdyJEf5syNP8qac0atz1Q44w0PYlNkL8qMuTCMI8u3
Ho/ypplHbEZeZfwKPW0KisbzTSCSvvyzCVQMnmA9sjN06x7BbNU9V+u+AS5s/q2ve0m77iroOdWL
se402p9Nh2+zAnXCTtSse5K77k7duk+FTh4fp6m6rdY9LF53MxqJnolSCWJJyP3fiIQ3K+WP1gBh
dLQo0BHszgNZGXIx4nW2HUQtMCHz++hNEW+NSTtgHSFAZTybAZM/uqoLDnBEAMTGnMqLQ2SLwie6
Hghfxji6efLMvNnVXNoOYFHwulutE35a4N2qQ4Wtg8tN1Ru7jg5L6H39nz8Rj1rhO9A4KMEONYeY
S1WCuOiqKqd8IpWfboN3pEhZJPZydLmvAorlpFD06+ALRFb2Zer1vTJzSkBqXdjNjtIkziXcFvyh
0TIEr0JCGeuZx+l2PQWqaR5ibpuHUbPeW5qf4RiQSE0WzpULj++ck3MhthJ4WviUps1T3mMG0+ge
365o/8uol33gcmH/4RLzqrm6fTYHzwu62nqmX4ETkCbMQC9UxgrLMDNpovzBHSX8iWTKAjb6bhvq
WfLk6PgeJYHMU0xAF1DRk9sk8Q2EhOxQOhyz8QqeItNgQq3iKd5JJlgAt/Jsq0z5kRg6WomR/Aa1
nfnQqej8QDELhDHftpw/8H/xn488GH7qqDd7MKpTaevmjoJuiwx+JfbNnANYVR61WYu1d+OKtoZy
BL+kN/YOMRVZRaezdtDvORfSeySZrXD6eK6r6aUSdCyOWs11zM3jvUV9g7uJYCfeguyNt3kWVfse
yGEw4gPbmyleQtdZ6LK2FHZewbtWueiaYUc+VItmh8a37mMslXOcjSx5S5byA+wLJwi7hmLnEJLB
D9juwyWHZdUmdFYVQFtbo4MAVMPHX2n2PjBx2oVS2BKU9xQcLWqmm+aVWYy7jch8cilezWBuWL1U
IfYWb16b3df7AF7IJ37OPkYmTJ6NCXTzuXMlnWu9jVez9vQDLXHJuQqdb6PuAKMJbeEpYEHRivKb
W8zv1JRPMUMmUi4JQxktsi51RcN8Jfnsci/+7jzOFDmTHPhnXbHlVGAw9Uy+5lm8jfm7bqfnnhIm
KqcSn6jEdTEqTIlZ+Vt2ywOcMGgNLjAsLaegloAyU0kuHVS+tUJtzZTFkdR57qtyhehVVvuoDKE/
0yvecXs1fk2VbgZ2kz47bX4wWhYuzXRHbsZ1uyHRG99GjnmDBTZGS+b9mlo2CbJXyRZB+qIouwk3
g1M1h6RX1ZGGgvgQkTt6S931khmZcK2mTPFzndMs2C7V8hEmWbHFpx77cIw137IRvSiirj/hSpnH
SJP4QkYvPea91d2FFZEC1YXllTbq6Stk/bkxVl8lib/+A/uSc9uspywye/n9+OfktZ7BhEZWUmPw
vw3/nM5Yca1nEFHTQ7se3gY+8T8b7/+1CdXfLIj/+v8RD555ylr7+B8TI0hJg4C/tp/fP1389yTr
nz/5z3QCXdU6zx0JA4mFH9bTX+kEZkjCsD2LEAv8d/E/APDwbmGTkhnAg4gwZ5v80H+fZFGPaZGp
8UwCCga0ov9U0+W/UtkNT9iG5ehSwhQThslf4e8BUl/2nmwHW+3rtPce6eGb77i3gD3HA9p+ad6S
3Yy619T+Xx/Uv3OYQx/411SEwRRF4nqy4edgVV+xGH//yUMnMyhWaPPSGsJd0pp2/UkfAlaXRBmo
EENNlZSftOPwlpO6XwJmMYQIXCc3UaazUZd7Pa+ZjHStmb+H8HZYEg3ITRZX6N53W0hAeleHsZ8V
YTccRrGSXZvB4I5sjD2D3Jr1+Mscm43Zz22J28J03tHHps+5Et5LAWU7DoDaqvsZRmO95WyY3CSk
LdiS6pBljtVmeCstJ9nZdPFu3aK4sRJEEa7uM1IOJWXlV0qRbtybarswp9t2YfVL5a1x27Vjeo+L
1HklGd/szVBLb9uiNhh02xZGFi2S4bOmcq4VCyO+I5N3hPVw/sHrku0hR+5C0vZH8P0phVLx1Y0H
Z6cmBhd4bzJfM8qXJEFJGmtsJcZIgg/GGodz9OWiYbqQUiiWc1+bNp5p3ZU1ZPMJAqAw9WhL5SY/
2LIhlrWkJ2vNKcua2q12Ep/AEkjeexaZe5w7cZ5v8NxzS8l3IxosJgIEaITlvZRth8S35PxHFV6q
sBvvxnZobok99sclbNtNCJNn11cDE57WGtCo6UmFKATcZ0ycIHMxgHUTDuOeEepR6B2zzcS0jxYg
ko2mRBMY7TDQx9Qle5MWPn8BukHvKh0BGQOHXQiinLR4BqWZgjf2Hkr1lrGloAWSV4TcHeXHstSs
79pQ0WGwsG85mtQuGAOovMJz8zAveZdtS4sK1ohGrHTjTmGMsTHVzRRwXVxwy3Mdy9sS7ySpPppW
9wnCNKtoXUSu85N4cd6jwXLPwOuML1KtxTc2K9IhOIRtk6q2ccBtkt3qE1mK7djqySUVHrI2idZI
t7RTYdb1KV6K6rUgC81nnbYEBPSlj5egtbl+s4tTwIdCVEmJ4i2ra8HGzMEltNnRrCoDc4idnjqj
bFnDqGZ+m3eFsZ8M+jEhaMTuY2FrbbPVCkvfNrJES7Q1g6zx4kj3rLcmY6KumdU92868s6J4jk5R
VOOoIcXgvHe9O3OegDZ7aRyziv0G2u7DPLr6cU3llPizooKEZyWOmQFsg4OWG4FTyq2nqm3xSrrE
g2Y+zJUrTVUZgrUh6/zOLCr14kUNCVjyMKA35SToWdKsdgxcm0TAaR5746dqapgUZmG8ZBTYD/u+
MKzfuIxCjzm4mNuN2TU0EG+W2dYeXIzIO+k1pNqpjsZRaguaU0pQdeRF8jR+GgTgZHxn2g2nKKgb
/GP6dpQ4DwPGXmriKKLd5YuGnWX+llH21RXxLSGAfc14dTfM4BcLZmsHFXvmnbTo8W2s4TbpM6p3
MOPeej1jlsVYB4s6NVjFovWHtG4upVy6a5Pq3wAGaASuWpTPPo8OeurU59Jx8PlF/EYOU6ddVDjJ
NQ61fj9pnXuD+1wEPaX2X4tk1EWZgrzoc4rgTOh7vA27DAW/CAFsAW1L1hs6WJc0deExLyUInU07
28aXQybilIshv/FIYUzAVUgrdUZvMswtO/nTVPNa4+WgI/puqRW8l9pbT5EiTSB4bqRhP2fx7Oy6
Ug33nmngpY4TIkmYj9WJqu+f2mxYP+CeWQRuoYB7xOvPyrR828owmHuTFgVjEWE+5eJx1XQ6zXzb
HOi1qcbwgbpatDilcb9lIJPhx4vI3PdaMVy6EVkziIGTbibg9nduq2J/7it0biA0Dk9W2GqsFtGX
CxVnq5U243wXODaoP93PMdLS/iTEs5uD07X5HimtgxUC1QPy6phxCrQQ1qPwMOSi8KvCPgFKc861
kPFpkPZvdqfkAnWw3udtE5Ga50npjqmZTX4dAiEO2mUBP5d0EeKSNjftd6LBI4XW0Oq3jiwpchIA
rbsgbrV0YuRAgcEUq4dkjrLXPkEiyh3T/dEZNu6xw03A7Xhh9jbha3Woa7I1gVLKvYCqKF4cvidf
TUZ7wBhYfg9EBq/d1IRfMx1E1mPXFCyz/VJShlH1pj4RR5Jtuq05HTDiXvtOgOgsgJEWZiWD/lWD
F9nZRbfsc2GoGyfxtlNbvmkghou1L1MgpXObpywLE4BBKmXAGGLVGHDgSiT90wg9YA1bpBY3Z0Y1
wSxb7gVqbK6zW96HJiE8mp3abVcX2pUzcXiZNGhnGYSfxLV2OmQ3cN0rgLqJ4LJGxwJkXTC6VsuV
kZ3JpuPCBP7DrxCfPaV/NzSbzKzvpAwdjgq6mI/J4sW+NjUgz0EobZII5J0QOfWW+QQoo7X3rsLz
FUYiJEdBq0UVT9Sd2tFLZIJDafqRByAcWZ4hYG5GDu4UaGhL/ECpPMCVNNlpYxgk3IJ2/TyI23hK
ym2uUcKJrJx8T5HAhTqo/px3rrlJNGO1qUx0dHXACaOO9tLawTTMNzQGnAVNnzmsvlXT8hzm5PZE
8aesmg82b8oQXZjCk7Crn0c71p68qmwPvYd2wlEDcVy2/b6ibZ2ZmudSN1zTB5C1kjGcYGQIuvIA
mombYupdCdTw+hbCupv43jEXA20UraL2h97tJMgmJ9q3tG5sTLOFA9FhgrvhuNC9J0iDqLdYWXeg
hrurTGovSFF5IQ2X4fjuOXr+4PSLfqN7efa7m2w842w5R27d42tKLd6WATP1KaOtV5D2p6HcRo4e
/tbjZThIe3a5SuWCPspUD/eacm0CHokRXyPNY+fMIqWfMNhC/xOp+Yn9oblVupjuMGfTYUM1tZfw
eeOZ5zoMg0IxkD5FYqCK0DPsG91VxhMI1vAn7+D8kMpwiz3prCRjYTLCY9rr9inio9ZxKjMejEwt
IWM1ceeG66FIOOKz3Re6MF5My/VQa9HWAWxMnh+LPPomn6bTEEMzdcWXUBZXoBnak3BkekAnmW/S
KV32pT6rN9xU1Lw2c6mBeVwzq2VJ53E34KTvdZ27qh2by1OWzvPPkMqC15Sk2eq0UQ8eTdnYOhMJ
KqoIB3BM1BWhJHYv7lzplzAuy1NM8H8/C4jXbH4O7bQ8B9FbYqH2FoWe39iTNj2psbAOqkzUveYB
NOiFpNu+q9wzeFfjpi9dhynCSPVe1FRvpoVTqTIYifYRVqhU3pJUQRFoNFtJnjOLxkgyStgzFkKG
VGIkt5ZuLviC2hbPNlFwCmSTyXcabhabAfN8TpyZwin8RWFxCT0n3nu0k28E3hHM9zNZ6V5bjkCI
Mr90S+PZlEoxYGt7sDjhKBl9aSI1rmwR7G9D5GChyIjXUQYEAS4nxEtutaQ13CxBe0lqUAc603wn
9z7TpDYCTRgUxbnlvGfWIneUL8TfHFroiJakWHxKd1ESh2ku94U9tse6Ud07L+3yoHkdp010+n3W
8oe4mi6ClCxRYBcVc1F4awwdWnEZ8UBNn5UppuYeQFaTP2qM9aiwwesbchPhgucTRUtHqhFxNfiW
UMz4nKHXXOK4StvbdZU+FNYYPU01stdCcGSP+xsO9TJa0X5gYHdfz8J4HyrPehomps64JYT3NiwR
NYNpAvMhKrT4expletKkZX42luixETRJwtdRy+lB54D605rk/KKxMik+SKbmYW4N1ooFPA8Hts5g
VbP7Jto3U8aS3XbmAMSj0D+z0LGebanL9skFLtJf8AZYZrCk0DgCowPUxGynDZQ5p0jmdgTzwisi
KO1ENGc6qXDKgeHHSZZybu/aoC9madCPzNtrzalrbCv2w5vKSD0EJLOpoVM7MaFsjeRYo9UOzbW1
Q9Fspero2FSD+Z4vY7wvDa9+QRcbPgVXIrTzunlobes+0aCbk63f1p3r3vRIONuI5xClSuqfqROP
H1GJOCMTO3lJF6W9GXVlu4H0ZovJzzydVI9thgKV6k4spryP4AfQRh5NIXOnPGjmOqPKyo1vJ2GN
h6YbYC3yEX4qJ1LwDjV5teK63ZEt2xt95dzRVLV62ISxBV2RPpSWRpkWZcN/Al70kCP5EHN3G6z6
Tg4ZumqXlhXHwUsaux9Mv77h6U/3pI1C7HdNW7Bai04w6FDeb4qLHT8eimSH4y3aqlHEL63rDa9j
ypuTa2X/muZRtA0naZ5LVMxTklvFPQGr35G1en5o4H5oOM5eYcU0nK6S+gcLKrmMaBSHssvk00Is
4rREuh7QKz2+ZIaZbjpqmS9daKfXamlxpLVNVwaFUfe3U2iNGLJpnZVREd8rBICtSf0axV7pWF8H
7qRfzSys+5ho825eGBR2btXeKUbOR5I5r4M+JdV2csXM8aAwh2CqQOOTrBG7bOiXz1jmRL2nQfez
3OQM1KfiDXOJIKyKipHLzHtLcJYj0rHmQ/7ujpJ6k//G3nksSY6kSfpV9gXQYqAGHNfh3MODZ7AL
JEgmDJwZ6NPvh5La6e7dkZWd+1xauis7KiM8ACP6q376CEqH3nDOYreljpfd0kX62sP6e9Kc8khk
5pgrF4otzpQS1deo45EfOtZ7WVf9R0Kn1i5adPI5w+hzYb5wpTbRdK8kSFIy/TNvV8KuslVkUyjt
ZE/xR9pTCWISHiJiS6lsei3pnX2htKw7uyBzXoyK56pTXsFNcCi3fk3naqFs814C/mTyMYxbY4Cg
N821dVWosX+ccVLNJhGlRV9Eqm9FwZ6Hzy2yf/w444bVt0V7EXEH2WmhHeFo8KDh/M8Hw8SImDHE
azKNUdNw6lc91TgFiHSbT5k718+ytTB3GQptRf5Fzp+CpsScm0efoxbMLIOY9eXSUbGCs8eOXzDT
wN1P/2LwU6LktPs0o1Qj1iP3KxcH8Nfgld4qqC9YrWT1OY0mdrtIyNfKQ6RxC13dxJzUUPNZO/iG
UlBUqLz7ZJDOY2Cwepte6x75JLs7FPHhumSD/uyLfriYa8VAZ/kU6FWMa+d+FWrXKgJCPeamipP6
rZUi2ZNxNR7dPHOBTAkqx2SoWeKrkBYgzKewKaZb+OPKZb6LedUF6Ttv+jE2X0AWUoVQZ1PyZxCO
v4eVP+/mFFDbJiKARUUKqefXjDvkNgZ+fexkQhsEPzzzgeGvugVL4TElyTC0N1hp1bsVJOazTCnX
I5C18D0YXfU4V36H+SCOyxenaP50f5U5NHIuPxeA3X8qzqAn5RosQwQ3tqpoqq07GDAcKIXIYoQt
s8rQr2cqQdx5q9maw1Fr7DprqwSHsRdSpNWZwtsnEY3WIe4T44I3lcRKTB8FRHZ3a3iUyPbYoVTv
P+qkc+4AKxY3InZgr9nYZHMmWNnJ1WV5GQl0n5Jp5nGg4sY9L0XbU+Sr7HWbYnRcQeALZE4cKOh4
04zlMvWzf03iWW0RPdqDGUTiS/H4fNUwixYQDFXB1+fNBQuiex24Qe293NaP6Szv50WZB/ZmYmeR
QZRRm/Sk9oY7HnIjAOWOKHXnWuJu1YTehRc5cCXr0bS3mVGmd5zsgDEI1qurgjSH2tXhGN9Qiw5B
LuXiCZtjwf0wLHprTyp/odmdEUkwtt4DR4OcYZLKojsrTQiwjLI7akd5YUpKaUuCWWDTwXyu8igA
qw20bK+J40Kv7av24rRoiXiirei1iQdr37V1957OtrhSYwFJwFMGC7gzuA920jfXhr8trJomulem
sK+ixrq3AfAiL8zf5NGuaCS36NC6UG1UXxIn8QHMwIcoRw8lzyp5T4k46jvEtU7vXLtbh6MSFHoz
GDMGYKdOd7EzfwcEiLZ0sNghjFDxYzDyPg3kVp88VqaNJxn6sx0txOwWP9vHaR/vW1csdyRrkwP2
YFLXZlr41ynT9cNiTNTg9o3gjwy7PHq4OMlM5vJcu3X6y2MkE7B4dw16o0d/EOIVYyEy5HfcCawX
T80OyQAxcOYCIGN3bGa6osNFAtazM5oHWsv45Wumt+kM58WcC2ikolbTLp3y6UFGFlSJ2TdOOvfq
s1EJwKpG2XyIhAMII3D8HkWasBhjzV7IS5tFczcwp8VzSjOMSURxXse27kk7EP5zeh/3ds52ui1V
Ws/hDHR759iKd7yCXBd6/kyrZda0JhuPNVATHXQvlKGYL/5YxsAQ8A5tUK4Ayw1emuxkju1544xJ
/ZzRaiX2idtNhPiJoZZ7g1r06jJQiI0kW1cAIwrED/pbsth4LVOnO/uClhTikogDoVLp8AghoE3I
rnrJk5IL3XF5AFdks7ieO27TJun/pLJYDks/eh+ZhcXQn5gZ7SUgtWaXpuBS9q5dsW6ljWJYnufe
6gWAZPTY+Q5H5JHsJCxpP6hfe8dOvwZDzAttUKNwCBIAJT8vSP3PibOUb40djQcjLZs73DgUHsdu
0z1AeQd9YJHzu69HhDh7cLBrZvrdNRPQzX6XUdcVBB9GZStm6RO8NVva5863ihfsGwzsSwgz+95T
FrQhM0dI0Sc+hYWAaj3RZA9lnvx6UD1pPUxbEc3LM/Kle2aQLu8JTiAxpKNf38R0NnQb3dj+D6qB
54ZxaQWYeFtGB8Y0GQ59cGN7RENmoNfG1fSW+B4bBBLqfNWFI3e9ekhq2ffbuPSC54yU9k1MTMHJ
vDbbWtT6XCOLneAII4a8SwJt7stXaVeFap7ICE/08uGnKg33gXSvTfZ7nLEJJ3KmtUPbKLXbofJL
3J6QkPdsI9Z97gT6wZ6t5RXhfHwwvL6E7mrCg4DmfNBdbf+ygeLcAetzdgkDQrGvEmvedhRf3IFc
n7mXj773oetMvSeTl1+0YQ73LV61BgnSVM6l8SemLiYWGqChFNPezgmnrFBLY3ibl7WUxuNwvVeY
x2ngSLDcBJCccHRmAWEOPoiHCsOXAbDUin8iU0EQTRzTfIqjFd9JoKN4ShNmt5MRcYEOyAywnXZu
CLuXi9RU2O5tW5ndIzhh8WjhtLmbDbckrkSZwPtCR9Stt6TY+wcsIFfRGQIZp+zSksFsY/7CG2Jd
iDBDYi6IGzPM7dE/YaYAuUxnI/pmJrt81gEvz47cPHfPQTRrDQxNuTBh8XVgoR/yV562YQjLPGEn
QPWc7jphR9+jodcFjpcI3Ev+KqVtnfAnLFeBle9MTlUc4qboLqztbEBdIH46p2/VNqjY+eCsGr88
I6kfwLLL80Ts/cYZ9XBabNX/6TD2Hzwe22Yz+kFDaZmept9eSn9um/db7hB5GmpPl8fSWeTZZd3e
DrLKn5xpcM+GRTfaghn9p2QQXocLPRSHOhflMXXkVG4BETefZk3t2i5miv3IFQn1e7VlZYPtP0D6
zOFeSvm0WC3/gTlm38VD8xbrlWQD0IVxRyI746wzMe56PsMneLf6mx2owFsix+DZWEw7CsuitZJd
1al7+D/dIwxKl+kBa0u5cXoHeLjQGqeszEmS8UVmhP0hXjx5700laoKYi/5jQVZbN+TBuhJ66vaR
5FZC1+OYP4KCzNJQBalVE0qvlocpY8QGMYCxiUi8B4Zb5SkXpnrsLLcOrWzC5jc0XDWcqt21rak2
ixqju2KYvTNfFtPb3hhfEwU7If/zTUUDoYGkos8hWPzbHsfG/TwVP43pbousJ9+rKqyraTBfPfgq
T8loj4e2khDKVPA0U3ezy7x8DaAjXZ50h6dhY48TIR1LeM9AVdcyZcnLM6/lOjnvNZygbsR3L9cJ
TY/CYUDTOGmO7R9SVcT1hMDI6dhT++hwoOcmkLsA13waODfDNNXnhLQRffNB3FEvMbU3TFe/qzbD
fFrrzr1TsSWvo1c5DxNyxkcpfcfdZFQnaa67jG9Uz9M0ivjIqgqAKyl9CNFoCuAcLHx70WBsoKGQ
6TCrzkhCZHfC/pk7zkXockS4YEAuX+2YLUsVAUcWhcKZmdZIXINpC9w1s35hnqpPBZ8vNB9dHSfV
+mT9sGP4UHmrg7Bdh900nhhaaV18eHYEgy5a+l3uzf4feMLdhTwvtCm2+3cBNrQlYJ9jcc4wLp17
rG12KFPmVvbSc4OxTDVeOhrvDlbRgAtlmoPcW7ufteuUDuQgbZwiA0qxg0aSgMLOlivpKxa5QDY1
BQWdeiJtZO4B6o/PiZycn2qcp6+EY+szVXU9hhGwdKz/0QqMDFIfaxg9ix9Nxvxyw6pAjwlrHje8
gjseqAcW46H3JXMYvNpsNJlW19EQ4gtXrl/sxjqCadXObFxzGXgnvCDiwg9l4OwM2ilUtQ1YzgUi
Az0bynrbuTXV0bFV1jQU5fNr42cWcxsV7C2rZs8vGwXs0yOPElaRZURbLZPl2ifRWik2WtlZBiQf
cRwRQnVJH33jEcQp4gkmfmBfKnYrC9MfBKlgdm/rIlFkZLRN5D5V7GIbyFop7jyvt5ubANtdFGaZ
E4M/raogLDzH/JUPLXMUq8zo4ZRTtdGRQRoLtj9gprZb/8HISwccJbF+MbO1iTUyEJVhUbruD6yH
8rZmgvrA5sXZJWe7pPmZrf2kRWFmW4j50xt6s7Vrs9R4JitKa6xPb0MfEyUMHeaDuzER2XZKcnH1
g8H6yYhLsYnlVKtEGaWADlH1aO/iIggDxOHLUgjzPJXNdAuLlyYpcxXJC7Ua64FKk9IxebMGa2ek
44NjoIwCcud23b31HMLPc1SCPKYpeKcpZN2OczP8NmsMTT3HiVtrXZ3xYgKnkKK8MXAKkqbjv9Fy
gwWO4knxJoDY3nZUL1zBFeJs0gLrHMwGOLbAwd9UXy/YrIfypsqAXHTKNHaOFRWn3JTiO6+J6MS1
394UfUXAfmnSNqyTMSGXMy7flOrgVqLo+ERHJrVQPX2IY9XH7n/TS/9/6aVARbEa/Ivt5f+il3L8
/tRci+PP9t/sQSZ+zb+/+D8sQhh6HOGCG6USYLX0/A0w9cU/CMAH7BCCtObqCPoPixBhdxpnsEGv
5TKu9Ey+l78tQqb8h2T6EOAJMPlSlp//Sq+MDP6PtLuDO0c6FlYhOKqI0gJX1L9adUSUDlgqhmkv
nUpZe9LvLVfmlGHVHKzrh10vdGy0mQlrf4jXo4OUazAK6sNkgNvWDpcIz7oB/7QGZKq6pHGuaG5I
tedPWTIaz+7aEx8zFrr3ilJd2kKK9YZJSLLDdrqTdk1AsezUD2eXRVE8nFNbCNpTHdEv8xdwbzlD
8xwUKTKBM2wVe2KI4WB+8DhzW5t2eYoRgsLFOOZF0fsMGQp3x+yxvSifU+zkc/PckwPqszCaYq0Z
E8zGeCitsblNqpmto88X8RS5Sf7Gwh8/VVbF8VFY6Vfjz/EV3aNAfEcy+IqrwCVyAIlb6779HC2Y
qYGJTILMQZGLjf+/Ss3MQjDA+zeho93RN5juSoNPp7QmrB+aytUCSwtZeWuPGgIQqueqtHBR/vIT
fyo2ZdUThtB+kt2Qms6+Ri+gKieLc8BBlRH/ArtorzbYgNxZIhl1bGPmKkzkOcwFduZsBG3QOAFi
65zyCyBgiv1Hs8Zfpqp9man2i1hzpwSDcFdOYQ6CtmIkBp9ROUtmb0Ehk5z0xvSTe0jxGz6TCA6E
WLGnNOXQkekOZgKdgQnVyO0MnBEFB00anHUMOb6M9SY2bMqvLSYieEDHgIBUCXWkixhEFlxbcIUi
9+LNkhbZNaOC2p8XpIOxcyg0Af4ek/KOAQgVh2fGgprzJpWOhD6qqA2I6wZwb3Il+p+6LUe1t61q
IsNlBAeJKMadLvZmbNwAdzdM2LN6l/NY/9LYRu6zJHVuIq/vnlWpqs8YGiuTfV02wUXHPIohDTH1
d0Oo6B37TWVuCb/g7Agw53yYsEWpGjKpWD2kadk+mdIO7h3HZEte6jG4SbOqo/O2aZqND4iPE8jk
tw/4bqeXzjEK1J1CGL/7OnXdrW+a7RuchOLLa7zqwDWNP8ebNj53ZckRMNagV9mmcZdib6NOaDOg
0l4wnOKjzy1u4hr/cqzG8SXwxvrR1dXC7aVc39usOUpfGUPo1B5HGGEG+H9iF4dBRCnfV8zLtX5p
lJsbp83z5iiSjlmOM3g++KfEu89BTXJocPJJvMbNLN48Hrl5J5qKqsGo4Bfo9/SRHOzZdzfU8gkO
sqIdTYZPWIAWmuPItXu/o9xa3scYsD6JPrsY7e+KCUsSiixtv1w5FYRsTGd6n1BHyJ6riWI59uFp
7Osb5dvRMXMd61zSlo1nJablMZaM8Jp56l4XtHpaCTvOYpaPUJROCJ5SLHinEQXgD0OD3Gez7XEx
96PjPCvyEvOyq5q8DoeRCGhtUyjeN225WSwZvQRWWoCYsSXogCzwsNn1jFtm3TKOHblvbdVSMnN2
loTpTTFORbWzIgajoaUaSJZ9rX4tDLAuIjOxhjTaZl4HjWZ8M3hRzH1j2W2PU7rp3ws75QAWG9zV
N1lCKRYHS7e5r+ekmPckvblFFEs9bU3s6Bst15bTHsjZbdNkyNQzGvZJF1331tHFwrCk/MmKIe23
Zcs6PaDwXODzKnPnI5nijgqaX0Jb6XXxLeZ7gZqGVyeK2xs7UurdHGSab+hUX3aAhV1w/lPEQRyE
lqBnq1nkd4cyf4wL4AxNAtbZL4fqzFbiZmFMu+ePY8SSyXxLtmrl84zXpKfsPgyYB7o0O4GSQ+9e
IVzOmFYMIOnCkkf0Z9JEHa0EaLYi6H7PDuThcJzkplpgKsbOUByZaTTnyEvKu4JPivFz7S6cuMc8
0wersztFCpbgvZN4mgwgs2AivLGNOGDmiJCbrKcYlp9eOFgZRdv8mcbZPwvcQ1uz6zpSUMvE4sRQ
+qk0eN26JaF1IB+b5p2bMQ2QNY22D7purZdZVpjbiIhZN3SUWr+Clqu0rFL/7DNls8maa2x6fh3b
d7X2yzvPCuSvBtoSHzdu2yaUBGXt/YzndTVbDNdZasgGzuTEL4HZUxs44Wj/Ixph+he+Q2VvvYHU
G3rN7L9r7Ercu3KLVjOt3OIYOZbLwjC63jNrU3szFEF6O0aVtbdpXN5OlHvBNjEwJ21yg+kEDTS5
uTeaKrlJ50i+klVDRqwmYNxpgE/KaqAB0Ih0j2EZi+pimvcpKxI3RNW8UBmf/apBF2/NuX+vhbSf
NUGm+yyfrW0PrPfYuIV4hp9m/LbSiuC7xXAKSm0F3w6PGwbZxImeCxHLe1klz1UljPuIKtwt1TWy
2ZBgzO6N1DLD2GHmFtJJ5BIYpCpO7Zh4IYfpv6zCs0yxDUcUUq9PQm7Xnwz3o/3017F3YHKFS4az
sFpPxXo9H1MDsHznCsM/veIcn8v1JF1REXpTrKdr4nzJR6Lb96KOl8PUB9MhSrgWS69IPqN+BtTq
j9mjDwzgQGnbciRrWe4bgAceGX/L2JUj5/a5V+A8rK6z2qt0YYznamBugid68nciz+i6BmrunPKY
Csqwg6516hXmKRBhEA+NFmMTkZSdXscGBTNF6oyrzMDZ7NgH6srh7KJbPbtsLVxSchpuKLvKmNjg
Sd1VYuw+FzMdr35nR+mOFUGdhipSt7EYLErc+/reJD8/bHTsSuY6g/dku2qmgJd2p8PY2dYh9Sf/
dl5ErC+41fAnBELlVy+V+Wc9BxEsDGwpgIeCP3CqbcmuzFECExUG152JyAv3ZW6NGh9lX+b3yeSU
jLdtfsUbsxijY9vpBBSKU82v1uLSk5XN9X1Wl2uQucOmgIPTtD8ZaAuINmmsXjyHepP9yBDeuJ3c
FsZRnC7bzh2j6GArCVggTfp5PAWR7KqjnlPvdTB4I8kLDo8ybhpAw4V5xzjcQnJ1OzyoPRbno1fi
ePKKXL/Hc1atnX9GsLWYip0ZZKwzqIx3dcHPcCNnm7yR14xwb22jf+AAi4e8CQb1pkzdEt8eB7D5
YIrsZ5FOzStBrvo+6NJshwxIXwpdqujpIKamrYsvkjNhmywIOoX8wSHJTVwra741hqg8B3UpDu0S
TAODbm3s8NFRV0OBjrn1W2f+1MS65rAruIY6cz180XqcMpG0cVaPmQq4+C2w6TNNn9xfP2XjkDer
nQaI/iCf7ZTU/QjE9pWXE2NYk5T1vT8WFBE1xS83yx/J1yfbif6qm6BQCBB25PAAOnhTKEQK6Hhc
Va0S2xq1M5EXvNYmGR+Q4GMMZtOxYE2sKK+X1IuQDcyqegyqynskngZlDkPzTRfP+ZtBWUGKb6YD
4Mdgj1YinH3h5En3dmI6BzYk19MHPmExn6vJHuYjLeZDdlalhaDgxfF8RGNxv6M8Ji5VCrKuJQEZ
7NI1Q/qNhe3htmzi5Wiyc/02TBytDJdbakPoGqP6axF+u/UKftcbd7AT62BVQfJrwOWzx5edvi3w
LR9FUBCyG+YqYG9Tw4uZBepRzlZ+i+l1uV8SW/+2/9p82yhlMtXT4DXgHH2c1dx9TQxzr5Iaxed2
ZETdxDGIwmLwPim0bqbd6PiKAB0eqIBWKQAj9ADZd34mx61Y2xmx08J5DhECcUVQQJZlx75Pl9M0
EKsKu4Z6aOoBLfdNxGYzMXrTHVggshO4tEX97RgNDBIKh69V31YPSTE2r2RXyWc1bnBkHGW+DOY6
1JnmKT7ByO/ol8BUnCDO6JjkOoWYpwyn9NGSyUQpmD2bG4qByH1zz2UI3Gp8zsoGiZx5PiNkFJH0
hisB5EmkjWM9iSZDEGLsZ7qKc+i8Nj6pvqxrLCDkYsM0chczJMTJr86runNRpJg1h4mzHL4As7qn
yhc3TW6vpxvoIwdXUAvouyVNB8TtrEeybs5xNL3yy6+W4mO9ZWv+BrvItwytjCfRtz3eeLN9zaZm
xoxuFxxV2fDxGdPAVpudy58MgiOGYVWXDpDrTRXE+TqLUquollcrcjpv1ZGSjPgORhE/QpYxoeR9
SNOHPij+IJh5Nq8LGJA2T++NNmEERriyooDVdS8xzcXDhnulIHgXBY84GOlg8hdmq/ncU4yeNgMH
EpgaMMoS1MmtR1/ojEvUq4+dbkRIDxb95wQcyZLDDaXQsNUdvxqO8aII5gtemfas2ZE+qa1BXC2T
CIcxBmfZARfFRw2rREcD1nc97ZdRpzQQdmQXsODIgTsb9HWmYAopFStPSxz/p/BNj5zbBKuVY2RR
72SPlovDMUtOATVrv6c4q65xm7GSGLjUySdL8atw1zuF9t18m2IiBQ/km+2d05v2TeHp6AgLqDwO
mexOZT8DgY/LYnrBp2SJQ5F6FR2oQ/ShWz9pmGss+bUMnIa5C2yv+FX2ExPBQY7dvPlLnfnvoNvz
XFOm8/kD92qbdLpNvvW/xtUQloTpef/PrNv/bPvy81t95v/jP8m7/fNf8De5Ua7pNRqofJt0WeD+
s5AnMP/hOoFD645pStOXhML+N7sx+AfwB4//t2XRIietf8pZlvcPzxW+y8gZp6ztyf9S4g3dFrnq
X/p4aN3DG+F6Dnd5kCMAHP9dziKRwj3KUsNpfT9TPABddic7l8ZWO+o1lrupz9NjAaEcI0jdon5z
kATMV0llnQzfSXeeabUn5oeudyWTjFQ9QBzHr2Z3yfuCIZqbM5f1dsd9Pj6j2gT70m0tsWtHYce3
IFAgxBts2O9eLphCVmaCrYNwLLtCRsucv7P4CV46Kgb2ppYjV+l62AFUsrBO+s5XvXDo2kWNw82V
IhqdbxkT+Uu4jMH4wHWBhiFUnGEJrYkOg2Mzpe2hpfOSDO1QDv69bfF+4dSviyKcCQpdoW07D+jz
WH2yBosVZo6xdsPGaDA+004u/qiEbtRdE/sBUyyMio8l7LR8vejHb41DduTg43r5tj1DA8gnb9UB
eu5DP63HfmO3zvDJGHw6wfosCN3XXvLuGF53bCMsFijTQjzgUW23Y2F5ABCYjdil43BjwhRFNhkl
7xmj5PxmjrGvN2iOILYtUSVHy6csIbQXCDIbPKOIenUn7atVmON1nBbjwg4gD83i0I5rk1CAi9DC
F6ftYG7ivRPUdvA6IO3Q4qNA4eYBky+iMbHVHGhpYPunL54X6tR0ZPjv/PVzwTyzYErZp7lU/nOn
ZozMum3TTeTV9Rv3ThgHM+16TaxOvYYxiSIEWSzWzoVoMOUimV/Md+Y0lUyspRrMu1j6nAgNSU9H
OtJPa0bYoB38jpiuxJ+UrX9XZgiGY2dFp8pgWGHUqH9tY1r7qO8IfZAFvyW7ozag3KDmLI7eJxl0
FQwYEwb62Bsdcsm9fBqC6cRYmp4YglrB2SD5v4Pg/9SlfnyLHfDVqgm3ZV4JbJjKG1qTf8AqnErM
OOMUc9HJBebJjtD5VOJlsRddXmO6Ks7e6swjr2acCO1nYWpzLsibxj+QqMTdU9XkZZobRYQLwww1
iEvkU6YnuqtPJfemHJCDcwUe2hKO+nGGLj9w1SxeE+2Wt4OdwV8arDQEWjxvaEDERjh04Dpw5WBi
7KtHqD8w5MsJAgM0691CDCHdTEpEtKxMT7iSoP5RVXyae4hyjZTgMjxFHiOo0Dknm1LRKv3CaWw/
NZWJw6mMh7U7PNp7lNTsnBLMqOkE5maIgjAxdX9tcvzR1NZAUk5nt3/OVX0/ENwfJoFdsHcxzrSp
0neRghDlLohEa9UBAyYoIq51GBrqT+eBCS9HWM49T5wNf/d9cp+NJjXkkUnyRyNDl2kn7xiRxm+x
b/RbxZ9ssGGXbyj/NYuR/ewMPP8EvzZuEf3kpjrAxAvuYeCI39wteNKr+lLj4NqYI8KXCABVt6TC
ZKkvPW22YTMa/OZruwgNWmWNtRyF+VuPQBu5HKftHKsf5Io9Ib7uJlU4i8oOUa5ATw1HKWljmd3l
zeD7hhEXLTuVU8xi2+ulU2WWCLGkYCOtntj3qUhymfgFIh/2qOJy5yNw7DIsGA8ts70dJxTAPF6x
3GKY653tXEwu9/UI/PWA4XXrMXIQoePgqkJvZyYuImt+wV7LzA7j0S0I+RoeOVy/QHEf0E37p26I
kYreb84TQMi9woKw0yZERdLHxb2Lmx4VlVrhKbezLwYT5Z4BPpfPeHTLe0djossHQIs8CSt2wRAd
UJ/Gfx0DrC41nMK/cdBk4OPf1X8SjPbcFdn7b7uTKwROfIggwnIk8dt/352qqm1UqoQ6+RbOvW1k
jgVXX2YQd11Z2L/GCjmzxtpKA43dcG0s26F8xtIw71qVmz993AQgeauR6upMo0oYpDroe1t/+2Hl
44/ejGKUkB9lhNuNZAy5jdI31cntC3+8myjmRWTOlvGl8+zscWZ+yawWuXNwL3Wy+Ndl6bN7bO4s
UVQBdxuRQuINtaW7L4z5yFyu8l6zbub+A7fJZhZkuPg8Gv7tK35svAZEVU7jCAqyZ32/EHCe9hg9
ESLtYTq6kwzOwTyMQIh6quRyMhVxEOmXIDVqOmA48bc97jfOyVg4NOeQtfWIsuqJfUv7KIiVs9Sh
NwbLfPQ9Rge0rZojHDpJDj1B6hUUtorZLW4kfsldQDCGGp/B+O1LOZ8RalYxplodYGSCH7PMA0uM
G/CumDv7vrNV/NSMwDrtNttjincxCy0wWofUrAghUROMqOrfgb53X0ujpjfa9hEa8qbeK02LbSxm
vauF0ns79p+U668kxI8y5fAe6E9gMQdwSunGQl+E9fc1DC1+Z7pDKlOZoYsZY+ujmD4CPiNyVPHB
cd5AuRL4o2hnoYtE9Mmn2bhAfHKHq6AcznBjsFURVFQRbMlA2N491JajdCL3xLaShUIzQ2u5K0eb
zrWb0yJ77tBz3Q27GnfxJija8g1bW7cVVv01jYiHbetQYL8E5dHk2bxrZGM+JbH7LStnekQVbP/Y
Y08+E4UFiruvOiP0FzcCiAQDKz6XQxzAEJkdapbIuyO1ZjJwDgHG11tqVgeLRdl1J9Lxk7mGRkT9
OePGf9dR4SxP8DJIpsy15E7skRJ+N+1Y3fq1tm8TVXpfYwr4JKuH3t7Frm18DQpyFS6FYQxLU7uH
wBC04ig54OxLkbxsQ3/buRVsMmttRy2p69tBdl4OgHRJczW9e5VYWK591Qeg7JIy/nALP34Ujnau
tP1xImgggmrs4VvPwfvjeZBPm8xhdpLY3ienWnqwZTzF5nEUTX5Oxsaw+G2aSiBuGNnjWDbjiGpY
gyUUbZasGYZCA0/mwEGLLE8PZWh4f7YxK1bNhXvpmxCTVnxLL1PAx2mlbPt4l3ZmSa0TXDGw28J0
fjOC6Y8cvbieUbbghHbdED/NUqvgRejLIxoeNQp47HxUiB5sALgmDAlUtdzSNEUZQhoQJ4KP8pwU
jrFv2ih+JIfEkccWbfnEt5E9mwvmP0A+bE2LkxPP89E4VOO4FcHuTt6oLB9KIFgNvGAgjDurtd7X
Iq6zAt6c4gDL0neaZuQbkeU/Q90bIjTNYTiaotxbc8LWNbopPl1Kpz+QHloypVPfYPQjvPfZCTU8
kWZ33qJJMtRBDUWJjwkAJAw+h+U4+IX9sWSNwFSZGu+eTtLHxIyCz7prpmdGS+VNClgdaGJJJct6
CneJ89Cyt3PEmgDDadbvE3vxvnsy3cfa6DUA1Gmxpp3bZz37KkiaEalezx8ISQa0pBqTTRmllONZ
ZZRdDCdtrk6/ijmLNfyIol2Yb+nOfyXqSaY5DSzDpl/bYiqaWCJ+s3oYvpu8npIirI22pbKazeLd
b9viyR397ITYaYdO3MShj4vQ2HZOVAYhghwR9BHhCtNz0fVbEgZTvqUnC0Ozi/PpAyLUDA7UGdUX
KWRC4AUh02udLtDgsZZg/uVOvlx8ztjCrLP4Mk8sL3t71PIH9LJ5EyVef1ap1WYHaVvLi26Vxaxa
m93RjSfjF7ZOdY9j1P+qJlM/DSZXqGl9JLk8ZVPOQxDzEtKSnPDKNzwj2GxLj4Kr2jwlNmYGvEgF
aUWtY8bpvuPE9xqM2rMWiXE3pxOLvRQUGtL8nht/dO9gE+0o5Mg3XSfc2yWATM2WYQ9X+i7790XZ
9hfzwrnb88g3v+k7zE5m40VZiO4Wv5UTPfb7TEmIjtw3/vwv9s50x1Ik3bKv0i9ACjAwQLpqqc/h
zD7PkX9QjMyTMRk8fS8863ZleGVF3vrfUqkqozIizuBgfMPea9vpiHagxAC6K/u0ssIWLRiZe2O+
jkjy9sUqs2XaGpUusVChZNvwEGWhnvtEs/UGWgXgokt/6VQW3GY+Mx6+n+pmAiFFwlvHKqGd2LpB
0apCRfECGjJtCanscUdskDMRW43pxd1Z8aRPykGAANsgQ8XtulbGNr/meswaXd8yJk5vUVLFx9YQ
EFmxAwpSyFGSb7EqjOjkMyYy62LFq9n69cFLUaWoCt3ae7YMa/5CH4NUL9Opw9i3muXMpZCqGzXr
2UKTF+i7WU1vUG0eR6Nvn7CAgYwddFXfDqtC/W7MNQuUxXY/ywWf826Yi/4GdJw+tfi1do220Um1
ovuhY9MvQ8ax/mNt6vJxcbL4ZZ4KnkT56CWnUpXJuF3YRV/iyqryPYWwcY2GwsZgjNj0lMQZaDem
cM9qlPZ5rkQPbxaVV3YIBgNrWqz86aYKEnXLXp75WtIuDzItiV7wnO7kydH/5FmmflSUW2xMUSGf
aJUIF7G0AAFCvan2fTuX4TJwdW5te8ab16KG5gZicrIlSXo+mO0kPo9zpU6sA+ob08o1YX0gGdiO
rzmAdEtUYEmnVr1na2iGf0TNpIU7fUUc2H+LG+IHN0Pml3DgsINTsXJOfKadHbHEVL23tV3ZhmNl
4GfU7uRRFmXzSzxlLOD5ilnwBkEDR100yQQ7YmTmt2m5sedtTJIMwnW/PWXL0D858CsteMMYLMi7
Eytg0yAfxbKc9to3ME4XLdrawR/0G0lbhJSVRim5htV6bjapOQuYcJxHba/78q7B4jruRjrh9KBb
Z6a+8Gq2hgFV0QxkvN4JuJdczEWwbJq2jyEpL+KCwZL8V7/VbK7x2uQECihfXTr2wdje0OXM5wnv
WXzyCWlPdhH7n9+bgLLNBATyrNug/e7mk3+CoV69um6evASM2Ql2ss3pMJmGdYJ6BU1Z6uE0V+jm
4NQNP0CMYAaMBPPYdVpZwE0EaBrOJFbskXsaBx5JuJByptc4bYFh2x5tPvseoGux5351vJitrwwa
94mFfLGr7DVJNZBnLx2dPRQFsau6YHkc9WzeFExnQtvIQShG+De2qc7qh04G0VcW1PYmdVX7WJhY
9FAgsI4Z6t6gX+xF+rAwlNp3+IpencAYb4rc0U9141UnWscuo5qtTbyhkx+iiImuuwJL+sgN/zT3
lP5E2szH2NMA0+Cr/KhBxON0Uu4Tlz2VcOacIamLk7aiHi336FwgEywXb7H0McHZdMI2SphqL+Ad
5UQde+4jNbm6nzwNWzaOnSuG5vURBoD8xMoj/hKJLN7SA0EKTx0VRouVXzVDld510DUYU4ETwMQC
L9VmztBFdvzDd5LnSBsrKbUh4K0QB2q7aVvTZ+5m4aqrvulZPy3Voc27CcproFaCRx76GAI2iLBf
Aw6s6yppppPbpV8tDw0D04p8JxTKFlY91AP2cLbfk63ivrhEfmaHfZVg2rZ0Qa7EVF0vTkvClqBF
4OnQHYHe98c+y7zQ6ME88nm6vZc6IqyDAxiF4O/4ViuL9OcuziGyzwQhBpvRItP15y6OHL6+mjhI
TvaY2pSda5Xm47JB5FoBY3a5hAj6ljgSm0E0qFAG7zSVAtTnnxSHf9FPWoLYnQ/vBG2gg4hQcou7
wv9ATVVD1Gq4Gfo0K8Jvx67/Ap5mWu5Z0QfdrY+xXt7lZu6JXbGU0wMbLvo/WKu9tZtH7u/EGV/Q
wrjMyWZbxfsyC5ifAeDFXyDdxXNCpzPYIPZYhSFz881LUbz5RH4zllgHcuU0gpipNDl0bM7aV8Yf
xp7QY/Foj5PxVRFriBTDj589Uwzr6jFO3/qUdSRHHIZoM2Uo4I/mK5gGLpQ00fdtLTM/ZBIb7NhM
5xcn6VUoZhIKmHHGt2y66m3vq/7B88r5grNHXA9FzOOwcou90MWbzQL6Hi372ZssxP3r0JKENgjL
75PMUfeckAZu+2THyNV9aN7HnvH7CNTDVvijeR+M2k7rfcM/6N9pN1cPS7xYr1KYKLvanCp/U6wF
u+7dwSZmlkCBdCj0c4BocaUTrNU9TEIq/eC96keITAeQjvn81UUQsKNL9W+z9z4Bs7hA58gTre/a
wD6I93aCaZL8nC5pgZ478E9GZD+ToTqcIH7FoRHxxedgjzZGFtTexlh7lvG9ffHXTqZcexq5djfY
g5dDRB5QskPuglOnnoNNZk10RGtv5K9dUpKgK1ZN6R7sVjGjXCeigMrorJAh02Tptd/K1s4rWHsw
e+3GZlbDZOYltGjMcmjXmiCxl0fpdvkn1y6azy5eNRRJcy/0ayFbviS3LtybfqG/PEyOZBbOIB2z
btTI6puRyCHdJe4Q/8AhX7d3v75N7Peh/083rGeS+G0BfWI/Yfn2B43rsOrbRcLjJKXWum4MHV/V
U9qGnRL5qSpN/9T6qpxgi9TRTqv6FmRQBO2lJu8UrIM+g8VgQ9cuRhwyAUAEWJX59EDXg07UYU76
psoRQlqcivbRmVrYI3ZGYvmcTjvpwS8potupQHKxKSdrJFe67HsWCjr6ihZC7MGsyJPEC3NvB65m
pA/QQUjrEYUa0SzRXYB8kaDVeGACHCEZjR+5xwU+8AV8MzNLaTjmyIlnuuSNuHgBQ4Wb6pikrYv6
Q1Kg8uwwj2PjFXcI+cw7UVtkwdcgLJ8szPGHeGR7G+sBNHYt6onZ25x3Nxwu7Z2PvB/zkM+0ymW2
TLSkI4Jx52qiOZfWLFu41wqSHFv/6psHJGgtmAcKSbe/s4OR7KkYP1YtMsSIKzEuQARfotHyok8J
W4VP2p2RdUxlrfZRnyeAhoDc8tR1PHYWWb/PPIDGle9yyzlyItbVVVIjp8jGb2UUoFKA54pDE2s5
WoYumDPkwaqsNt5APKo0SYWJxiD5AjssOvSkReyiqDIeNJMRJgW49nXqjmd0FVBJzNS6YbS4cFVS
dBYZAQvoAIzfiSFtdvx1/dYy/OoBBakP58dtENbNEXdADFljnHpmZmxy4NoOA4+0xYXY5bX9p9G2
0icDM9xLm5XVMTIXYjjrseVo0nAClw5nviodcXE5pbYEo/W7ml3DDrM5kqnEyp4rs8s5RbHC4Xzj
mzmnwnRI7ARnfTWDfjtIPDTc10EmrpqyfgyCqdmPBQMK+f4kwiDv3EsI4dcTtFFiiJRJnghceQjN
FUnTZF6vSyTrfZ9k9XpYIJeseyZzXTkpproL9r91ExV1BVspQjiRu8jK/mK9b60C9lf2+yarEy5x
QfbkvRTvm67KNoiAqdOJ7jPl9K5CTrfmU8x0Lz0KCJLxzdLgCMd60+pvzjBpRfdt+3B5121bVo/T
sGkUetANnYGQ14SuqpMqFkBRk2udWrvFeT62Ds31ECyMmvoAjvgx8yUL5JkBhhuq1KovYhAohtv3
ma5ex7u5a721fuP6qKOIcYXQq9YbxM7YDHnpGbvSKsAIvH1j1cP6rru9y6b0ohNWRJ1Ru0fETN3n
Xx9UH6iZvulZFBYcUo4JU0s4627zT8FzJpP5nJGodwpi9yYObttcXTXj/X++CP+3gYM/4Vyf6pL/
/NdPIYT/++dfdn/8mvH3apD46Rfw4YCy3Q/f1fzwHS9q/7//649B+fo7/6f/8n/9jwwbgv3xL80a
j2mepz/lEf7jj/zDouH/hv0hsB1wNhA43zfXf+QR+v5vdIHSNv9lo+3/ZrF+JLzQZxvu2rgw/tug
YXu/8bSx2Y97jmkLR/j/iUFjJcj+qcSTgesI3pVtrYYPEzffh4V2JBKzmirbPjpjYpwXBTAJl/u1
w4CBrGGWavQGTegAwdhNTayf0ylnBGtVwaYFyB1awfrUseHDZ+xAw6hvvAdCVDWrxoZMYEaffwgt
/u2SY32W/vNZ+6/v90Nx7BozUzh/to5BWkCYdxhMNLYpNrKKQrMBd2O3gXnN1Dc6/PruEc7ffVUf
tiuNdMpGNWI+pjELnUX32U2OvWq/tLreZYNRh0vAxosHFlk0tnurR6XR9QYl8AqeJFnjquO8VJxY
Bv19vdp2PZXc2tCGYGbz7UmhbwsRxddRT8Z96tVMW1VlHhEPPzQjLpkifc4z00Ue0xqAqBuKsLcc
KuASzi1kvDop60PSl8PjCIz1Kl+97XnBTLlo7PJMQHN97bL+uFaEPX9KhqlfNeA1uTEF5nikVHvV
9DuzAoOXmKeC7t/oM4MUqAT20WSZz85U6xOh9pAygBowSY1THqDD10wFXc+eFqRtk7rmIUFatV/q
FSsXM/pRsAAPtZ2Be4puh3m6b7NGnbopnArjzekqrBEFpLU5C167xQZdFTQXNcMUnROMP9kSX5NC
B3IX/0Toz5BxwMCAbW2Kzeh7n3tSpkAUkXVjB9Q1IzsHe5xvtZm4+w4R6Y4HuNgaiejPDRZYlt6R
HUZFelNHi9hrzmXc+k/sO87Rgm4Yd2A4NuYGIjlWm/YsrciFU2u2cGgQXQKG7fYpo9gDAm28ARPL
4UqvjJ3ZrHd8MEbLadOfKCPM36dYxTuCA3HtkWUyHxFE3k9Ehp25a8D5DZdoRu6B32skEF4/6dEY
7ynV+1CXjskyc9jHztQcTXB9wImnXapipkXsskhAQW4cDITRjwIuK/SRnZtn1q7zZXTyK2kegLZE
Jzp/f0vwbrKj7WlQt8ItCAZyWEayX54M3Z5XzqQBimI7JiXWciXApuCBSHuuZk2VvqcoQx7uk84r
8mG+UDbAgk0xtpuEYaAIferXaGUmbgcW9uj//SfTDMJODqSFQpSnqsNBzML0KAUShbwl9avycH8V
NllQxdCEE4lMVD8uEmjfg1gRHaT7AtCOHTj2jw1h8kXImj6jLzF8fFpZSLtDLoPnZ4e2mB6Yg5sX
8PHcapOeUNDxNK+b3rvMIJ8fM2EZIVFzBz05j3ntgp30NQ6Eme1JPmQ30seqMSceM4B6YBOZmZoQ
MPtgTOpAr4k0VsYPQAeBRJQBWMT8xC7yIfXRe+ITeep1Cvoz3fZ9cjO2FhFV7hJO3rjTVKZFe8tq
q9t65vCQJI3/bLd5urc8kpHM4XOeMkOXsSL4CG59WT11htrZOti3SfnVtKpdv7CnLTxr3LZ2R8aD
cG5Y4LCjhz2YZu19OqHBUBbM1ficRZV9XUo2QxvmY94ed0y1hkrX3RcLiDjfe2U+6m7ed3ZhP5A+
Gu+jFG1QFYz662jHGmWoklhytAg+JwX2LpOPddILO71tETjzlo2cAP7fFHvJJHxbJCTY6BZCi2rS
6mQD+Gca0a21Zg6gIoJ/X4w4pTM0MccCFtJZcC6GuYPALyVPndNvuszmNDypgJkKJn6kArFhHqaE
fUBReOm8mSrPvGL6YJI5NqiHNiqHu4mJxzGt8flGE2lmRQY3mBlmwpZUmVeyjcirmc/Kxk3kyvxp
rrL+nDM54xJ0XgYUwjvVeARAzDHqBrvqIPk16sZu/WFr+hG+QIcUBRvC9gZ977JZGTUnJmbFJjOU
eTDiFAaLiQAqqDv3Dek0mVcL5x3dWLn42bGa/CxkZbcc1URmtmHVP7y4OuKl7w8k1Nhb1gH5kWiD
T8JQaEPS6N5L0fhbYHn3utMTg+0VB21k1qlssupmYYTw6+fYz1Xg+wPU9120dZ6wCEH2Psx0LDSa
FnHX1hF6BI7pUh7ZS2yGNHEvv36h9yDjD4/qn17pQ2mR97pKTLhAxzEe2ItFwXdr6Riym8SNA/n6
Im08n9qlkWDdThyJN9Xhr9+C+Fmu98eHBSGMJMJC3hF4Hzpz0lGmrOoW68hphW7BdGxjK+giN37h
Mc5TnhGmrQWvbWn6Y86u6QYepN4keAYuZha1l2DqUQt09ZtMM3WfTwnEbjDEMLmsqrphDoGJzGIj
nI1Al1OM+Udb6w5078whWJln1aIA8ZoYsrQHTLgH58LW4p73YewYP/5HFf6/fty1gvlThZ85RWHD
0LCOeK2ih05p3Hqzz8jfZ6L266/259HgP17q3VnMfznkE/z8UtbEmKjPtcVkyvuBUx6NlOv8LsAW
hcpt3n79Yqvo82PV5//hY/7j1SjH//zBCJotR11n9hEq9N0yuOJVlMlwyqb4m5WqdtvKvL8bkiI5
+729HHsDTLOdI7DwZdxfB9lwzPhJ4o7qD8yL9D7rhn5FQYgtY4kyTFN+hGAqQO31mRuyxanuyJ5n
8JQDVGA8wt/G3pGZinGl16KkXcsTFIB/c8usH+PDHUPFj8ETZ4PPJ/3QoeUl6C3WUtZRtm6Mko5Q
+ZK8JEo3adylI1Fb6POL/G9+lH91o/70sh9qaoKnOdzqSaArxdrmK/eblwPVmxR5LzSuxrma9Q0M
DHWHt7beeVOf/82N+pdvgUMJArXlBwxfP9yoQFh0BznCOoqUsXvHI5F9JCwGGcEzZ+5UNPLW9UHv
kRvzO6d++weM4N+2FX9xOaMe/ufrf7hzBuLByXCLnWNfDL8zHNA3PQDEc9lKLmwjvvr19bx2Ch9/
ztLHs++R7uHyvz9fzoxEDdWT8XSEqpZdWRP04RR25O7Xr/IXJz3f5z9f5cNn6oQpxsKtnWPZa4tQ
OrSSXeVASpXN3/z4/uqV1o9ioommW/2Xw6AJhopAaPO4RNMEkchiKhucVurErz/RX14mf36hD+cA
/cfQR4VyeJo03vd06m8z20P7M/jRBkKbeMTMjU4rXstjtGy0Ak3fXP/Nm/jXPtAxTQ/9t2+ypKJ3
//mnx8B7Igc4EsfBy5rjMqnxqbEdRAipFsdG6Oe6CfIwHmNSM8aZ8i1OMGm2hbnxSuMzG2923LWx
si+7rrog2n4lWLK4s1L7JVPg1H/9dt9Ffz9fbKh1glUBb67v2P1wGUDsyqMSoOqxiYdLNbtQ7xLw
evVSmIx2l2sdSL1rBvM4dAnpcLDlNjShxp74Lcp3typ2Y8lxilTwRJka7TJc62VDT9MhBoB91v5o
8GydEOlRwgnnYnkjONESXuM4Y2dsjBTR2lJTW4G134zFdxuLMyvsttyacnSusMv+UeL8fzPG09+Y
Mdw19/Dfhw79H5KU1ee/dGG8/8n/RxQBcIfLgQORgeE6YPoHUcSTv3kMi9gNrHMpfhOn6D8sGFbw
22oD4d78b2/Gf/NE7N+kjWmCCxDbBPaM/2ha9WE16qwvYckAop8v0fvL9SD6U4EjEbyNzI7BLQ7x
1D3CFvWfFo+NCQugQN46qOpJaiCBZV+Zut47Zp+hhY7dvznvMDmtz8R/3lWew9vACBZ4jJwdyTP7
QxltAi5n8BLA3rG67gURzxBiYoxOY1zaT0OeBlcaOdECQqmMUDtjPj76wBXJGEeXzP8F+9/KGYvk
Sfk7vjZasdWntylkigsd+fSd2ZPFvtgdzWEQDDcJIaQlmEWXfFzavHvkIgZ5IwDMCJNRW4Odab/V
cRHtDJVPoXA9hP8IJbdgLKY3C/2KvUdXWu0yfw4ucshdUID2qrbn99NrDdo6wWOEOW5UNiRT56ZM
hYEINnPBwHe9+Gy6ZnHtiiJSjJ8K5LU48y4aZXAqZ/0FHe/yzcoREzC7DA71LBCP5lN3lxY5xIEs
yVl2gQn/0nt+dxrkqG4Tp7fOZm3hVUsIdJWB09/F4LxChxjbHdLgc1E3R52i2i3xvT7PIAHbTebM
CPUzS75ZA8upGo7KczIFBoqfHFN4JaINm1xKNPwCe36LedBeJMN6StSxc8zgCnjIdBp91wrVjIEa
DUfYOu1wmXsjvSGpOd41U7ua1VrkrUNbYa33JncX9Q45Eq7sn1yo2mGQ1iLEE5w8FtXkvnkL0GA1
AyIXyiT9rhMLH60l9RnXYQnf7Tou8+yJFYTxOrHB22euwsvGqB6RPQy8ds2+w4oyfmvLDG54mVf3
TumLFGeIMVxPTanOaSyc0JKAX/V07SS4QSrjghJO7pHPSXQJ3q0H+wEAaR5b24Uz3i4rrHWuIgc7
r4JDLmb2gjgCmefOxRFebFhFS77tsnLXye6uGFJS8xJOaTZtFYYaxRplhIPR9Kq9afK8f0tZ4B6q
rgfoEgNiIILA+OIxAN35YzXf4Osdw2Diekq5rPbOGrDSiK5c/0l+i1UfHDAKxa9M+djq8mSar5lw
Vbxmbd2bGkr1QJ1/C6p22bZM68JpadJNGVS3aVEoXK/Dcmjivr8vClceisJZ7h2sAZhqgM2VAqrA
KJf0jujB6hZvV7wTNoo4mBfylLRYJV0EAiETVXs7ev2aJ940iNtQ+QcpsICqIBC6wotJJFS8Q+1f
PrEnJDZzVl7I31Fvh6SVx1EHC12Adk612/uHCsPPTlRzwLwFkz0BH6RbKpRrW62jJlSkheO0NPwd
YGVTHzy3NjuIqAqJmnBHeGVScq91uQyNRnuIP8u5xHtdiDNjKUZjQsvbFArOw6inrVl1N7pZoKSM
tXvt1858II5rDEGrWNexz0yQQwZiiXNrDiVDmgmmiVkNl9ES6VfUGcmPkoZnGxQ9M4dgYcFnTZCO
PQG8kVP/KIZCntU4kh00OWRtVaO7NxC83Xa8bWIH3OghrogCsBs/Pcusd489g6GvyinaB05m/1R4
tfrdbvFVEbcSAUuTZQJbbCCJ0XVimZ9YQRAL7yr0TN4wzAd3acspRKiHzrRrWrK3knza4xLyG9zR
Ju3koGLIaCwfwjXoZp/F5MYneKLxikekOJPM5vWh3ZqiQD4/ErRiiUmGYxq9CNBrt06Z1rjZXMbT
myYp+DkHqd27n0rLH+7x66JWt0mLeelgFMMijOJb2avyzMNvvGY7Mu850+ZDNw/VGYxh8omgNcal
fqy4rxMEjhtGZiuKHV7vljWLFlfs8Nyz5ziRsxNN8H3OJeYh7CEtKum+OvsFoyMnDfrjktWlsxl7
AYPP9+SBPDjNzAla7o+0BmYAHV71P7zO7zYRPOm30gqGYyPr2yoxXjEgd8eKvCOIrpJGt0pJcGsK
i3zSWbJMXszF+VR4uQwAQ8f1m4Oc6hRkMy+Ah+MUTam/ncsSkaS9RtQYdoQBqm8jCtEE1c2hjCZH
n2Q2jwFrX0xF3yVTheEBVrPzGCP/0/u+MZrPiNH05yiyq5e6SIzrNpYVIuuaB/TOUrxaGSzTc5M5
yuAhFTkv8cjOogyMC2wfHV1MZ1ZbKdfMOxfH2hZt3SS2cr3+40aJh0r7pQ/IsOoYO8/yhzXb7gOP
ws4/TV5WZPd91wGs8az0cVAtJYE1aMIBrJbkMtAl7Q8G9sJE++PJV3h94isBY/Opbxr3MKejvMh5
9L8HJatTosjM7GgAsb2KMofFlcFO5dFOMGpWmm81z3EDjmReQ5cwWgk9XLafiK5oHxxO68e5bNtj
VhnjPu5iBKgwc324346vr8VCs+C4KZHuIIn3k4PkpR9ZY3eJWfi3nRV52XnMCQcZ/UtmgwBwHOby
Zg4YZgtEpTVf60Cln5CyD1j3cNLgg8QUKHZpPbi/S5Qy1W0Gh6TeoTwGS9AVvrkrLEN1m8UOrHuw
TWtKkxHfJ5M7vTGXt56FMYlHPCPlGdCWu7cF0uCISe0zUN4EiWSXA6UZ+SuotaYsFHiFQnZJ06Gt
7Z4i3/G3VGnGvTvb9cFqB8K8pqX+jsnf3vujYaDwi6PxWSHhzsI8aysQkFUOMDEv7X5HzDp68yUB
pbaNS/BayIaGEF7BCSyk/pJ4xhTWak5eY7uEfiAIVzISXCwVUoYt9j1CVEaen2XWbg0oWKek1Mvt
ALQbbUrQEUFplga1mH8g5B0jPnoaACbbPKp7fWmQaEB7YVFgH71OL9O5q7PkTDlTh7NtkeZG2SCf
nG4lRvkNz/cD8UHWXd6Clp9mxuQ5vlx4QEqoB/7U3s3m9KCGlQhQupDdCtNjUdKh6a3nuAwrlL1v
TSSXTZS588nK7H4PVTLmcSRw97aMN2rsawcItfHtiPBq3ztcow5m+StpYFZIY4UhAWaQ853F3Jqj
JVkgRC77NZGfbe9NjROz5WKMho1DttsX6st6j70JyhPLqfHVgMtyVygSIUUekYiMb8a/qQ0elofZ
HGQWogA5+EaehXEeFAeICs4RQac8uGbqE6Mlx/YGp0JCEMtgQaDEy68j05qJCGOYe67rBUVYUI53
CdFSQJKJxLukeZA/jUOUsAcyzQOey+KUdYR7ACgX3S5r6vn7aOOwZd88Za9+TyI1cGuS7wJ8i6SI
4TVqtpMl6nJXl2RY7nTVMZPduKPiUTu6CMBJOUjZajXkbEW4ifF/Tc5pqVWzl4C3ripvMG+yyWsh
lQz5iwZ9ZJ/HeDRAeltedAyiqC1Qc2TVFaKuodlYC2soMyV4HNXycRSID9lpiDtnstkUqG42Hzlt
EpcLd2B1leiUcMg+2uEbGc95HFxBgd8LLy92FD3NIY6q+Gpy3W5DPp7xeZmivjuMsjcgO2WfW2Gg
wRArem1e7OL7AEXmNudU5OmPaXOjtEP3MKABWtcm1bVXgBrvjNF8acw0wIbFeBpKD5TkwOj3DBOH
PdBErgkIqz+IZS52kCq8Wzy8NgW0N6TIaImf12ljvJBLwRky6wjR6DsnJm/KDrq82z4sk3TgPvS2
uFGA+bYpPqrPBKxE9zOn+MFmSYMGGMFuaVXFdii67+jXSzZZZht6rtXw5Iwjis4Ftp013USKogDw
8UXwE8Lumnu7EdTsc8PcZid50DDaa8ELpZF3PTPAfbEGddPast930O4ORW13mk+99FfKjfOLzJXH
QWIXw7GmxwiDGF+96bjzvaNdcG9FdSnq4lna5Xcj8m/7EZ9FbiXkUOkcWn5STSCTfZ5MkMNqD7SF
BMh9i9m4/DrOaritqb5IhIjiq2TJk6P04+nsWV9yPLxYap19LrC8wS8+CvYo9FLLxJZ6LvcWDyQQ
yyRSIB+P46NM2eBHNqHQyQkN2DmZ5RWAwUu+pPI69mLrUvn4ECFcIbhYGpcUN2s0KBnLb/7Uspzq
xump4Wba41itt+QEsL1gfRgm/pjfx6CJTpGKnQu+D+ceEYR/Hk10Uj15R6FnEPMXcbdfhhmc90bU
yqIErVhqo5vbejOXhqEV7h7UgFEhJVlU6dkHfGYmU2j5ycFkgwn0ejsheg2pOtJzhJdkq+xMXxQD
zZBISgx/S10PJ8srce8aGcxaxwVkXubKwQWgj07aHluTGmJxRn/L1BADo8yKU7SUnH9QXF6siDnY
NilnY2WAG5cE/+kbi0fngD3NelUAYrYBefDnRi8DWgVoA4XhsuqegvG4EGL7uy988Sq9pXmgAs4A
YafjS15F9UngBHmwxsF9yJc256x0/WTjVCq5WpGH10SeLDuTou0rAmxaaAvn+sbp629EgaJ7dYgc
akmlKSM3nM3oi6l59r0jQCH6A4J8apF7XOx5RGfK5PhozIV30vYQXE9yCh7XGJ2wilvSzC0K2NGr
xA4bnB+6XgPjrbLwpNShJDkmQd8Temb5ACE1p06o1Gc4NOSsGdDRHVr8ExytI8hp42yCINhViGtv
+qDvzl6QP7gsPzGBSkiK6qa2X1tTXw94Jxbh7+1efsqT6baaTOuYJ/rRD7J9bJQPc6mOEbkVPJYw
r8LHQTlZqlekBW9lCbZqTD8rBhvbQgH5j+FMPmSsSI5BT9wGj5nqysknm+tY1afAzy++mxCSp53l
IlUCZMqF51fm/sGBhLXNs6RAklilp4lQ0oMYh0dTVMgM5wqzDF6jkKisNufiqOXJdGmuFlJ3vwK9
WsNjvGzZplMlw2zgjLRN45jUGTb4vgCcD1JpX+dedNH4wncGQPNjYNHpQ7POvCvcROTDag8CqQ+r
o8jJPPBO1pBcrNI+LqJsd6Siuc9N4/VXpuOJZ7idDWfu2JOeZ888GHNEJ1jKopnVsJ8N7n5B2PFi
TEER+oIWZZHkQUDsbi5JbY6PjUdgH/T61dC/9Um1S+zs3Jft9wrS2HWZzwAvY9+sdhzwZ7Pxw1ZZ
5Z4RU3MCc0Okm8AAZudqvl5sawwBmZhfBZ+PWfaAwgINvPOGObg9jZmPaHyo3H1kjlZYecGmi1GQ
jq0293Lst2gR0TaApxfSMB9GiFJ0ODqY70tQwPbGNySeJQhBhylFIzBNJl89vvetN+JvnwxSg9BE
ulclprZQNnICWhb5V6MA1ZOamOes72R5Mf2FBB8Ej8S1hOCb7ua0OOF7+zLFw/c5VojgzaamELdb
lueujNtjZ6l6z2PT2E5uocPMNsxdbZQT0Xp4rDeekUIeWdep7tHyoGKD4p1ITMQqVR59Hyta7JU7
nrbf5WTfkMYaHDoPcJ5hXVwfABG11r4dx0/oQ2MIYLgyT8BFqkdlmfMNNMpPA6bDraqNF5EG7m0J
0fOz4aIm4N9vqpyyxaOBOImWbowSxXjUgbiuRRs2mTa3Xt3Iq9YmryNz7TcO8HgjzdZ9EZjsQgTm
M8ok66X0ZBBm0lfbRSV7auitInZ8rvvvg9nZ+LxBmQcemDc8C1DpS/kj92yk2empzAG3T+VTi/sM
vhtq/naMNy0P8H0ZESVcikNRzW9G4zvcPUa+S6cVqFc4Rf9Ik022sJNeZ9GYHgKrv1sRUjsh0uQu
6cRzVgf4RTRB4lZhUi9aTIzws+MH69K9Js5v66R2wSjPcm60lqQS4rkFjptFoVv9X+rOZMlxJMuy
v9LS60YKFKNiURuCM2kDbTbbQMzN3DHPUECBr+/DiEypjMzsyC6RWnQvQyLcGSRBQN99957rbYiT
b7wOtkDoivHo5GeD5XgzpSk/x+qRzBX2neoYBX2wT3tF30agqWVVKlirWpRP9D/qt6AajhmsnFXB
wAHDRbPhLPRuaFLa/go914d0IOhEf6g4kGymhrsX4327jPFHnAuqPn37k5H/ye6KcLqn2UaJ9ttH
53qaUsY/wdH3kKAMbSo9ng2vYKCmRWdral/uHYsujGpSd3GJ3KJU3bzYIlv29GNiUkrhYGxEQ2y+
GsZu3TbAuywfxYyxIdqO/uI90gFBL6i56Jt6cTRapuW1B4zuat0ZOl1XgT4bwAOhXGaaL8qMd40V
4ROxfOIQLbHs59HVzi3XGciE+Tx7UX/OIurw6sxE9TosmSU3/FmQq71jHPCR0olhm/Oa1/S/miXq
9/SfPgZR9gg5I9nBBm12XdDkL9RXNevW7e6VTZiVSinaV0moXq1SahPznOecTCVDlpDUtIrmwTMh
4i2cE+bFh4cMRb46LE3ehORH3t2a7Cc1u8nBS2Oy6aB8WWIlBhJxkWNzQ77htDxpW579uGGNhC5E
sRFo6nxNKpXwa5WgULXX7XGMmJPTQEMyQl+yPm5pgbjq4YHpTyipeptbVvyaL25OtVpdHSvb082m
T7MoXRlRD+cxmmmMgUOYf1DxNwBetN0tXe8NB6pcrUt6TNbpYkLO6fwGXmY3zIW4CVx/jM+jN58q
SBwveFgXMq+MHniqhXgKiGfMK4sy1B5CKThG3XMk86NG7Ef8jSecVBVXZ1UuyUrPnn/r2156iuK+
3fNHgOxZ6XBmlrdeUirODmLw6FZLGo6OVD2fp46BCdirebEqN76jAM3etUmHS60HnBQKrxWbOFU8
eUfiMGeTyMPVbUtyGTRThkpxDjrXelQl2SLwp9YTN/7qTnl2shvjFqyR2bXtzspKu91qk74fGDmN
Dhn+Gx59mOhn2IzIbC1o2rCereRTetwvVimh2mdLyBsVYJL056kCwFp7odDOzwiiww+TurdkDWsx
+sYXWT5xDHnPAjcnitRdLNU/UXQ0rser4AUScj8sM6Ezzs4nrU0uVxfhCwb1uNfGUn02QGP3sqEs
FfyDuRlrvAIx8uCaqORyb6pRh+wRBhARtJ5ul/xacWw6CHRkdFZl7dNAlDW3MrdV2LTa3w3J8DzO
CcQ9q3tNRduGHfHMHf5aD9JLnD7MRt9+OBBuEpAuPqlnVzmkRijZgh5u7vI4ekqSIDjgJeC4o2ry
aeqk0yzjhqez42z5v1KO/6Sey2GdI0FxJ9C0wYyYHp9EUfIw6ZecrtFBVGdvie6pebknYRRcEjLD
Ic0+zbYerC+SpFyMJKtuYDdHRL6vUVZKhD5HKJObqA4+gkHIvdeAzOOU5ITzWHAIg31LcTi2RvIA
ltjz1GU0to4pp6Zn8rvurSW4/CrfiI9KS2PPYDeRISouQ+oZcBiEuSUGchYc1Hs5jDt7QZXcjNbS
H/K+Mm7Hmb5Jvo+nhLDyuqL0d+1Qg7FKDG+kTTlDwseubEOtpgfvziBzg+XOXOihc7OjkDFDcZ4H
KEMwBodKPwjy+6uow9vrT5M4WlHwOGvwVBQHP5r8iDAOTttuxOSoh+IJBObtTKFzmHiNA0zwChVa
clKZoQs6E3BqN2wtTjjcC5FG8SYAkCQP6uf1KajtAQq92TlczBM128LjhiyCrnmeA8P7rl0f1RJW
e8jBAjZIQCknMR0iu3SfJYzUebNtuC3eDIDh78EVL8d58CSekqEIc7rk3Ni7eH0WbJUTfHqZOBXk
tiRq985xSWJ3s30JOBed0kSFXZuu07J7mVX25o6EmJu+ScL2mo7LL1E/JuuFBctj54JCsiB/PdgU
VJ9asNPrMfaSF9fKvD24eY40uq/X4AnXJP78dZs0zsaXjbErh2AVq4tm13QT07N4vOJXP0sdpRGx
/IZj99ChvSiXX0BcuWehLPZirVMS92uGYzw6cq1FdxAe99MVWah0JyngYlrhtEDn0szjhJwYOEXX
MZEciWXZbRnwNcrSejHb5NrKpRr3IHVR/RBoDfx+lFWf+UuzYyXn50EiURWGta25v91Qo5D52Bm1
8bXkHMx4Hk5YUpfxQJYnJ4vbDeabm3YGfcsl4Uou5RddFWOo0dgpn1ZJf8d9ASterJziw9PB+AXp
mrkO0SAYWQrlwLhOfeVil0hSR724Q5/ejYbmZzznfAnsmKbkltrMbF7Rosoxs4DI9kQvdH8gW7dw
u+rM8X0yffdZJSKpdgWxqZsqdknVFdpxQGvWVnEXu1SxhHZBM9kV0gttwZdXFrkDsPSZRpTuwDqK
Y1ylrHTLRO3sfVWmMBnqxuK/tcoxDPJpfMv86ispbSMc5uGLsfwask/rbG221lfBgY+F24JgRaoS
SaRXpjyN4EC5UxA57daKeq2b2asTjpSm+1Zl2ApX/GuzvzFsr/8BYyb1QyBu9bZRo/tN4rDeLqPj
HWQUk1wqkFYBtIJpGNkJd940bBsQAhdF7INfux9zobSUOWxV4tnXPvuO/VMyh1QlB1eli7bm3h5/
8umobTVoK/TFNaKluwdPO6whi0iAR3ZcA95qVtyAJNePKGvJFoBsuFDne6V1teWwinIPB868ZGNM
sEknax8H/Y+6bodxA+GlPfZGUT5bQyDWFqrsHnOtfVfQ2IRRmmAcq2jc4Xbrcap0wLrauGjMTqdb
Noo7utcqyrXlJ8bSeCvbKLvnwm8p8w7UgVYN684ck8+gR9Fb4TLGLTeN704zgO924naTOwsmwREs
bFMGK2Uu9ASBSw69oVzW7Ux4YZ33Jr0RVn3LRhCAn2rFc9yQAZvzbhekcnmpyEZQkEY/mMpIQmot
sCIX3dGG0hhqf+koFTCTLU7B6EE1Jvd65X3oaEjmTVYBzTKDsbvJJOKXRgJ7cPIox1xcuc4Ty6Zl
myRZdJmqKQU6YOj3aBA/iwXRISeYd1cBcXmpoDiGdS5xEwVBesG5Zu9G17sG74I2AUPMg2EJsyUK
TimyJFNHnmVPiTKJNFssfDaQlUFVlOQRTzDMOBLEZJDWsc0z2QU1RCpCP5JowNnpqnHn6IABrb5u
1dID5ZqsTm0A59cnNaEWb+MH5CsbDAGrhqLQF63IpWi4gqgpYHBYzIo1JSHjhkDjE5MZp5TB6Xay
buwbeIXjtpyLdD3n1gf7t+jEQSQ7F5wmw7JloKGywMNfz612zGjJntn9wUxK3Fef8vgyNqdtltrz
vh8Gf583TXdqFpFucxqSHpKJjAZLBmTOoZkAXXNqgd9dTdFjMmoPinnLWwFks/Lbyjmxmhb3fKoO
5wNnbm5EpNyQ7Rq9xfXiW9goGrmcq0X7v+aZxogd2xdmQLZu+jh1QRpKmhvWOVrqU7w46s4Gj27E
y7pCzbtpCYUfnMLPgpXpuTWwkhgxrjXdhf+gG9U2a0D+ETD81U6eqFaTx0rFr231XWAd2A5GEe3t
mMZtnMiNtaPqTpwcU+8Liu4/8xEbzyYYDbJaMYzfF77fj9lqsx0UbNo4O/bqq7gUjG06AoPXv5lO
luwA4eRUJIvEpRccmQ5xh/0dplYHLjk0NeVtphycHvS38TQvAIFlCxVnAGB+n808H5vWz6CNMxh0
dn3yK7enrsVzediwM+f8385J+jC0VJCvyqy372h9g3VZm/fsGrbpxPVLCcqzKNz8ezHK9KkPOv+b
DVxwdpU4piqzyXJ10TWUCu+PJjJiSmGnjfrNYCF7VwtCIG5VQRrIiHiYud18TEF2RbDSymcRvPWQ
gjkzfKGBMnlYrX0XExQjewFsgy+uvGPxT04tqYJm1WvHPMVlyk87ox5uNNyWjKHxHnW6+4AyYXih
V48m+Gp615nj3ewrQqxkTHAmjyySyPZ4dgK+INW+Igy9p8nyY9JBwWPc655tKykOKZx/SFGiS98E
8+frMNP2xV3IpICl45zOrNEzTYHHAk3pErkK0nFDPWd1kYSzwqiS3t1Qlv7Gaki+LRWI5RClD9x2
H9fOtmomPBkTFW8Tk+hghHNhh78NODmyxHbxuwsbL1IPaS1QMeJe76UBt2xJDEkHgbYuNTHvs08R
wHHgfvSAycMIF5R+Kua1vi9c3LEWcKU3WHT2M8mqHK8DrhW2PSZmDsMZdz0B0zw08k7cZtaE7mR2
pWThNfThRMlpTT6+WPmgRTYpBaWw9ejXhC0Zr+kqsc6mKq7AUwuTT7V4VkNHgp+tqa+pNtLvf2Ui
HUjpRC2w3Aw7Q5cXy8aCLuaj7Yd4CoOdx910w363PBuFde+O1bLtvdpdWbAmbumTr5n3tf5BXQYZ
+l5OEiN+NBEehkZ3Sz67fGBJGzxaoG7uWWB7P4BOVCcih+zVKnM8Zp0P6TyOCxXadSIfHdiZh9ke
3np06By2YLfc0I2Ub3HSdDsepfhdsKXeKat8oKArP2vOXFjRe3vtTPKlLWn77LM25Sgpdfbc4te5
n0ZN/4apnOxFtws7AkMumJvSsQkbeyEtpCvSExFA3nL2D32S75JySo5umSJHRlIeAT7dNhFdIMou
5b6q5+qAlgEniVpZfhF6OooG48ySdeibHZiLMJKz+RZVHa4P27ZfDc9+kF30HOhmuk+AbK19svMI
QsR7yslN1qXOLgl7whQ31N6RPr+fAIL4nDUor4Wubik3phKjyw82x9lLBYl9PzFEnYO5nHOo+559
0/hBvUf3+5J98+SY8ymOWRhJwz1WJKzqlSljTPuRNt+SrgV5U5TBznWc8lkonxvXwE76UGXVUQCp
o7EpxxPikO5KhdW+FDkflMRQvWJMJpXWsag2WT7QG4tf6ZoWmIpt3MJvtoBbHK/ldmFpQlmcIK8A
t1OzRfwuZi+bwHG7cJsewQM4ud7w5Ki37CTNk7LGn00n0Hr62N0TpkLaK1hF3nLfckP8X/MRP4HD
djrWT9fmqlsKRaY9TuXlAYtlsVnSCEkqENVDy+HiYRpmaxMnZfM+FyOlz4nS40mXZh8mgZC/PG1H
L2MPOYoGFZ71knBKzi9/oS05ha9SpcW8btIa1SCpDQrvrXzjVm5CRMKtDyUBt4tIvfTWrnqE8iXB
ZB9M9nCPNpB8FcQOFL0n1F3aCJHYHYR3mr3eeRP5pLmfLT2qoXZPilhLF87Q2PBtpewTAHZ/tVHg
HDmoxF+IhJwhsqsUZbfZJWUILxkEFG3Kw9tVCno1I1xZhKfM4X2JPOsFdSN9x5+23KFtQFwMImOz
kHD8mRiOeJi1x+YgqounKIuSDWsBxvsKFpYdNP6jawqipmTwQcN4ycMYsz6nn0IVx4HWl1+1sEfI
uN3IYmaOcIO3rot3oiixw1Pna2RRdFSlbW/bnmcNw3Nl3hfFPL0js3g3rKyKjaylItk5Of0dGwPn
kfI3Y2/Uc06S0PiR9Z3ceh3PT1VERwpJqTMFUXQXt1p8utWIrJjzm6FubTB5JqYGxqCuxGKzWIee
IkqyKQYN3Avr4pU1qW5dVH6zXTqEjIa0StgElvhlQYI74dCh9q4xFPjCOVLJvcfhYMsyLjqWNb/D
qWtLLltGfUZn1AK2UdbDVBMBgsBYb2KMAE9VlD7ydOXM4zJL8/iF+Vb6Pru0JD/1OXQZb0qW/YxJ
O6QMZmBnzbEW6qDKX4OsmRGjjSh5Gx0fzS0osgnZAX17wVfDLSo18q0PCBz6v7d8Vk3q7WTC9q4f
Shtmr8seL4OKynZnfkQNG/auC09tWq7ae2Oq/hfmmjmUdew+Lq1YDiONrSHfW79i6AqOTT55aBps
YvipQm9wgKnMY++jK8weNVfY8mBa5WywS307psOlXMSAM24YtyqI5BY3GWfOOKV6hNXNYz/ShBuP
vbs36QZgqpJiAoHJ7v3XYnh0WFNE8pwnfAY0xtjbtKBWAFZEdNtliiqCqKc/hFwiIzxGwVXuO5KP
XPzkhmPcjNHcDxuvMCRU5aLgHvS/8IplWWYV8zYhpyzCQtY/3faKgnGj4r0Y5pgVCpbhZw8szN7F
fXU/goD8oCJhvHVtli7otJhhARkX3JGy6vKbCfy/2y6/+1nffpY/+z8iGv6fJDbgWycZ8idG+L7/
/AOv4fc/8Lv/PfCAMtgWjwSc3R7dtnjq/4prCP6CK56/28OX61i//Zu/VRD4f6Et06X/yeMPC3lF
af3VAW9RtglYJ6D01Xdd2ycv8jdWxf3vjnIwF//noNI/VBCQjSJAzSshCwe+w2v9gwe+TvyJRHgP
1imhk2plaoM2NgXpmoZ1SigrfkZLcS9TCthwaNlAgrElDEypdPuVYTL4Y49OafodnZCD2FbSXNyV
XbqKrmVDRSRDZljAEqjfBhSS83MWV4OiwVP8CB9QUY2DlhE6wZgeKGPcZG7V3ztpZV0CVKXbmOUp
w6VRnbUVpIc+jthJW86jdJo+5BMEh9gQBK4xkd3g89n2sllntLcR17WPPqUCfqPUGg7FEmLNI9R/
vSEtnay3PgLy2skVblsXc0XdBjdRbIjb0ejjnbMkH5VI0xOtOtgFsTZhgAS0X7v2NzdSN5zG/gsX
mNzlDVieoXfJvOpoPuBDGi4LTBu4kGbyHbQe1N5Z9DAuhk9fG3Jv+ma3zRQdylPAa8qU4sHRF7cD
TJlFsRgG1MfxIDNuvdZnp7P8YA4/GLG9HsrolYz0ien47HCUHWZ1LB2xS2FuJMydxpdDDdg20vZ3
UTS7Ho78KvdmumoAYFuT/RSDXoBvQ9WLm2M1Ksk1sRPMXovE1ZvB99+gLZ2zTsiV9NdTT1loqjSI
pJjyMAng8iSmvmP0EZTi1DOGR2eHU5yhoxju865hEbnoHog/mYX91Dg/5snA79F55mWxPetuVi6u
ss5RH2Vv4c+tvTH+siIP3wLb03s68Lihisn56jpl7ArVyjtwfv4Jy/L8qwsG8JQwjFumVr2ccBhN
5y7J76DDpr+cbsIeMDf2SsRgocq+5naZFgNgdGpUuXk+iDY45hihQhELnpCL0dl3HNbpWizkfV7T
ozh5y4NM6kvuX5PZk3+/lCnYP+A/p7QdCFKZeWTd45RuCRPOX4Wb6a00io/SVuNN73sH8pSLCRey
zx98X2GSx4l00iZYzdbDx5VRvVABSghrp5pPQ+7fEZ52HwaYjOIMWDALWL5UogVEZqSsaJ28VNuh
5OwfGhAeMUMEhE1X2cibXRcNxQSrzFM82Vl1lCCCF+o6d+CePN4wHXUPnZTAaDO77Nm2kArHp+ct
phmqsUXCa9Di4g1IjznGXpOkHgpdHfmgLKKJZV8mGOFhhxHhquKOLZjhpOWwV6D+hzCx8p7wSO6k
zSsuP7pL+D3TgL3OS3mdyMxrTf1I+eKtmzBCEyzAiHCK2qSYthJflVjFaE+S9WPLaTJ3C6P+1dAt
CdUrY1O0NfukCMIYRRqCFgQsh47eQIJsDGLUwXg0AYAktjdfuVZIHJsB8SnZRqUh++/aAj2BUYbe
7bWoZ6R7ylLdD4Lj8ysYRHUMhgz9HlLrvM4ikbYr4iZJvcdcRaLOGg30J46WdAbBgCPpw3GKD8vP
Dcwczkbxv3FlpvALgepHTzmrvTyrSkor4uHnFLW1g32BRAZelVTk9x70a3AEwIElBCyMprdJTk3g
CU0ogWOmsa5Sy8kW2vTkYq9pemuyXakSXxywHA7FV9sZKt0Gfo6txSqp/F45o+BIFPg0XgIHf6D1
2NywxeEFVZOv2YePvNEm8aGRRrpzVy1r2KJejp5hWR/ANJNrhdHwOVW1ckhK6BaWeI+fPpFLdig1
5y2JKutC4UJd6p+ywX9KBv0mq0wTQW/nd+lOLZu2pLjYmbhG/WMSI1U1PEIDq7fj2Mv3GDhfsrIH
Z/kQ5vI9eQpjo6mql8jo1k1QrY2epr8Se8zJ4+8F8jjQOA0KVk9jeR66MbfhnUV8orjormbACWpI
gSB8N3eF2BiJjtQunprBWgNz7qaNVVXFdOKu/TIOjva34OmGx4zQoP0QFTTMbMnns9AgNsKR8lqM
OrNP0A9ugR1xT0tEvB4pQCR844vkm4W/AOyZln2yptoufeqg4o4fDATgfhdcQeiqY9p7K5KYK5Hm
lMBN+odGapUrTmrkYiX7PPzKzbKF94rRTffj/TDM6Z1jsN0cba1vpK0uM80ShyjxsotkYmIo5Zxo
LKaPtlbo95614aUxTHi7I5mtp54q+sscdWVxP9Jd96OyXapIaEc4RNAIDDypMMi9KBUXA/GLTcIQ
3GlwNhxwRSZ/xJx3X4sU6zSRFVpz0dkU8GlgFvKXLJb23Mxq+hVxplSYNGu/eMKWzmHWN3DUW7aX
AKKvzaz4ldJkAH7ISMzbfBy9h7oW3msJY2KXAhj1t+A9vOIscMdzV5iTjVEF3VMdtw2FkPlU/bR8
Wf8acWS/Ta2F7bV1oCB4bokNF2mHYTzVjKFQfu2buOiN8ga7gPOEI7Atz1WjZY6np3Y8lt8GECM6
IOWbX8e2DLOeXsysoVsUzE7ufBNDHy9ebskns66KcwVmRqDMRv5z0Qn3Y1E8QdKZuypB2jl+80aD
XbsWMQGiucCdQeZsLS3f20eI4hsRuwJLoTUcRscCwh07KBmumkyDe0RNA4NETqckzJgdQlLB0j9r
Esu36CConjru0Zm8uFgwbxnY7K+roQqK39gW86ozCdaxP5gLKksoBu6h2lnbxbZ799KBgngr+5iL
ro5j+2qkHCP4ART0Zceg6mx2lREpZnyoltExgZg8/yhH8qoLSq4x30FJSqyLYc6I6DAPmGEMBHEJ
fMAHCNwwQsXraSpiwMM0p9BDI5nSd3EXuPE5rQxw3BCaxovAgxIfnWZxzfOUZQsb9AA7ANLEtUlR
NySPMmNWD1Gbus0LzM9QY17H65GhuwZEJqqcn3zA7hwTNlmYnE6u3TS0wRM4Ue9C3e6EahJx3/fw
EO0NZ7H3gStBJFmpted5Vt7ZC9M20p3cESJjJTgjMa+NrF/OfeRcu5jYkpxSrNJt2OBlgA7aj92X
lh593HiCOD7Y5m0/AxBNu+jB5Acfdn0abQYPkbSHH/omhWpPZZbGz1nfDmHeT7iTzcaLQVnHhLg4
3VR8w2Crllm2zRmFQuY723Ey6I06kHytzQAFIsIiA1ASp/qdxHyOzTSxwV1Rgb0rUmOiww+Ekcb3
7Hk5hrCspD4nsp9nMaZ8zRB34k0wK/Wo6a5pDmKWTIjWEn/zmONmGXUTkt44JXa8L1Iz2gjmj89G
QBSCI1HcL0593/pC73rsIfCxIVuB6HLPGNnlulLuqV1oRK2s4Sn20lysaFg/TTisP3lgZI+xbxXf
jWpGmMitaLeTbQCqH7qoWjHKtN9xTCNUXbvRIS7MaV+MJQ+oRic+a+K0AxplghbatpBi0IDw63U7
dtRxdOMmxPX6ekIjnjTpihw/atgOc/3V9PMXBDI0t0GkJRlM03Jb1okFFn7EqSz7NxH2P+IS/nni
ucIb/i71a+N2NGuSGwenLloKuN2+O1aFkT393Qz411Hrf1SqvK/Tauj/43/+q5ch7hx4tAX6Pjbm
P77MuJRVHUXGdPB1x/6ZAEQWtnPr+P/m7VzpDv8ZHb6+nev3KxwWuUyE/OMfX0cEhjVgV1CHRVXq
M7s+4b1hYSKIZ1kkdCvn6c9iRCthh1aCyfrzd2n9EXXx+8v7NvTAQPpMt//4NlP6VYHH2cPB6ehn
wLcxPFqy9LZkahcu0r64yBaLUU648D2fa2QOThOjGTwtnC4AAXLMEFQbXQ8elce5f9H3GlTdwbNb
ZBXTjIdmRSsEqrAxpcVd33XcqmpIOchaSc3SJvg3NI1/fkNMwiadEXyw0iIX/sfPc8GN6he1ag5L
2sNAxyWPa2UECwr4k/ZfnvFxIe3Dn3+M//yitumZjhBXYInnm/9wTXZkD50RhYYXjZezDZouLwe0
w/iY+nP7X+L6XL8yXkyYV9gEf5PjWH98h3FgW1Uhy+EwLamxcTvrW+fGtjT18G/e1T//BDCccwwB
eInIYbvXf/93vzSyVqKpqfI9pNjQhjtHNBEPTmpN1P7PPz7xLz4/N4A9aXFMtDAe/8OXFuepk7mL
WxwGB7E5URwpIqWT+Iz6Yat1btlWvwuQFwMeeVN/l0/Kdu4J54U8iJJv9dvprxGYDPDFRMte/3Y+
BOnFWfHP/1f/6TMRwuLSChB2+FjcKw7h7z8TWudgVtcyPeRJYvqHRqrhXteaYem//Do2P3to61cl
iTq/P76O1yY93b4qOVQRw8C6Y+ucruOoKI6/vc5/t9z3fwdx/f9IFKQBRv6pKnjz+Z3M/xqP8fsf
/Ssfw/qLxJ8HX9/kwjV9Cf/ld33Qd67KoQm6n452WthR5v4mD3p/gV8FZDVAOcSMGfA/8jd5UMBz
9QDJoDXarrRBH/2DHPhn8iDK4pWB85+PFx+ssel5YABwQEKIta+Qjr+/XlPBon/Jl36rC0XvNrck
mIE9oFFEBvMlcQfxKjlvskxf/OKMfwIbn6xgVsopzR4rx0pZxuA4XbXT7Hxjv+LOXw1BQz4xtrxz
VCmVvMRxHQF/MWr5QsLAgrNjWWuN+XXVm8VD60DB8d3aDYdEjXcUkb+wbtQgAqvpieMmrvClqr6V
69t3nVmyhwNUeSSTlhy6GMofS6iiX9m+q2uKq4cSg3ICEmCw5mGXuHNvUopQ0TVkiskMOyXnS6Ci
ccYBjYR+tLqW2DDehQfqjGobf/1SPjamXEasKN34WIq6DI6LM2EGpk/wWhXqWMl4sOKC2QuCaPNt
GJLGkLmtIsqqSh5pZ/prguA4RhY7k3lyrO4yz3nzTYML7SZxoPPxhXxS8F0TffqBh60WewtDTolM
x0o8ziYIDWkQkLoymHBKYFZ+NR0Xwx1/MeAM9a0mk/RBGap4qkmvrWwo4RfLmd0dh/cDni3bODYG
oJBdXUjvx9ylznggITmDwoy6lub4xMO2mWh0SuAa9VZkrOggbTtXM95sEmet03dVOPG3ag1O2Wbv
35ZgFv1NL9thEyVTDCChbKYT2QAYD3E0QY91u3LHp4ITa3DJ0eLXG/G0pw3BizGf6MwY4rNd0P74
sXBxPHAyJkgxmJDvjI7sBpgjKxyWmJGtieg5Evi50rBRJXVR+CJZUZNech3c4Lusmvwjakp8dqr8
S5VcLYA+aX9Jy5paVdp2HyUw81WPs5NyGt430CePsXYRSQi0r/40a00JXarsX3FRylcH70ERCujm
9kfS+B4LTuyHvoJVImpzFZAD3QNjialKEeBMObKAKCqD9OQN5QN5MCCY17yY687uxWcv8N7B38Wb
iZCwKSBJ7lpQJl8drbOUnppG8Qbul0ovw3L1sMJCr+PQdzDjYPGoCCAWWaElgiHz1bGvUE59uTBx
z0WMdZzgxjXj/iAzDi0YNKjBdLIBYMHV0Og443sHajUk4cf1HkxkrkJkG7Kmso6kvTfhO326APGS
V2XWVESknO5pQ0eoILAjjGk6mP6AlDwpDCNhXZo84QUtZ7h4gjF566dU0yEl4qHe1rY/avh2sRGs
ITG0OPqlZSdbJ/esNkyMSXCiSzG9NV7nvdvYSgyNfELHyg4+p/NKNqg1bl2nT7pt6uKd3eorgXSN
+onTLvcmfPwTTVHmOtN80cS6Khc7vm3Flb51Wj9WN9EoJ/gRbWaWj2nAf/WQyIkBfvYjMb0OXF2S
2lMMj1v0f1mTEUtMegxpo+MqW6Z6PyTp8ITygZkVT077mPf1LDepAb39KlA157GoMafYLu0QOBUF
BYb8j1oh+nv+s5gGSmVIq3ZUGuWtYa5jnMY9FxKtYJhGDMS/inXLuC6XApWbBHrp2RMW76yhm5Ir
k5pMci3+Cq+yc+nGtLqtKtf99gxa4vZO4BOnVEQlf9hBAcOnTMjZRQj6UF35V9wktEUG3xHPmHuR
p81cOFt6fmKSyQ2tbYls6AN00zYNl2sj9jpyaSuA378k9Bqz6Omh96i2DnmL5VqkDUDkPCFFTadI
TlV0VnXT+zhW8mbM3eq1xtBUUoozzbdqAjWIQBFo9uSN3nAfio1r68G0JyU73YysP+6B8Ba43bKE
EmM8oBcXt0ToJJX1UI5V4oTT4FL6kxNaPUStBee4AZ94EO2cnoYBHIlrdO2TqCz7lWF62orOxr1b
Bd5BMZgMNFC4sqRI3jR/6HgsQtuwdHZVjuJlQ0212pmzgkdBIRJWjh7PTV6XiqVo1dwZQ60+TaS6
j3QSDmwFkR88NWZbk3qqB56Wqdy1wu+fqOrVP9ohdb5hI0xPE9Uc29GtHgNuS2zQWz/oN8lYP2bq
mvbpl6Q5tm3OnVcKP96LsqX9qR/d3VhRYxy6GB3t0M0CFG2CU0uHMuG9x37F16r6qj+x0ZG/2EJQ
MpDSomiSudhnw1B+YL2h8KN2TWvamxZdKMXI7qqwinpflmO96Ui+3Lp9C7uhZVOXbWfBG6ZXVvxs
auwEiprAJLSqWDTnubTBtPfd8r/ZO5PeyJU2O/+Vhhfe8SIYnGF4k8mcNaSGUqm0ITSUOJNBBudf
74f1dbvti243GvDGgDffh4u6pZuSMoNvnPec59Q/gCIXbPsmtBm6kZV9whMxXPI8iTvEVx8c8wyP
9s3BsfUw9DM+zAaDP24dSU+x63/yaG5vFgKVv7IBP/t6+VdnNdHoV1Jhx2uZOagcC2dwSbK8Zhs/
BPe8lu6tHAPxkpvapcR4rJdHiT+YTpRZUUXrsurzst+uL0lne2vDQlSm3R2/veoXnRULtOnOOGQt
FZu1tLMwrdUX6avlmtDqdMfkgnswqMrX2cS60tCtwZxcE0OsyIvv8qAm2sVK3gqBsboPrBgFfdY9
oUezx7z9VOnCOEt7ZdOYND/uYrtfQCvVWI3CsWW3jxmDdiO3Gew3NpLDw0RLmXVykip/raFSxPez
3bFuEJldfdSj7j4pN2Y7qae6Neh9jWYUaryLtEPFg/eEogqexnIK76z8DkNH5NT875w4IKz5ahxm
gqDBELZIFaRfG/4QSrHzYGewcZ1RczLzyzVfgDlU3a7r/KXe8rfLUDGYNQRbpvQwL2P3DfasboAG
88/CSvpvZ+yGUzE66mZ0W+/sGKl6yOuafCSdW00SOpiLfhRVUx2SptRkG+BjCTdyz7gv+UKYE4uf
mVkgQwSu5mEz88PBmI31ICEVyR9SeNUFx5a8UrZXs7W8NwH04x1klfmdqEH02ekJc7PWA7thnMXg
K+Q0J/nVhENFl1hG2azkr1fbplQ4hUpPVzRR4IpiME3CieQuy9SU4ElY9wWbab5mfADtXr8FOb77
rWNV456oEUmSKB/o9HJoQcRj48bbdG6r93x2nIsdRdG71fd6N0S48hjwjOgS1w1rAmUC8fZ4SbuY
M3M1wIv6Z+fHzecCsAtvUe05VME65OaCvnYfyZVON63G2FsHPa+tbWvnjuvgkG5HlepT1Sxg2KUd
11dO/TlsW48VBcNOrTZCRPGPyCzWcwc4iK2prNm6ZUAGso0YmkLKVqtya01z8+anGY8aHyH6Hlna
sUPVT/1719XsJZNs5QY3eX5vpbK1id6UGIYTxEOxdt1Mt11r9rhtWOX/iJcueKb8KCdyxhe7S+dE
4ALkvhpO3mS/isAZkqd86oMrQj5GNA4Y/6tjtgRlNFE5s9c8ma9VPEMtwJAiYDl2/tGqLQOBFVrF
vIn5mR1hUAwHByaC3jhm6z2kyMkevtpRPrk8dUJE2P6FQsv0yZqlfx3nmLktcRr9UMiO9hoRLA40
aARbLJUdmT32dbH7NLhBep8Ni8uQ5+eo4VaTfwKtsh4b3FM8iShCg4hiOO7OGRzjixOP/uZCu3s5
+9lvb6Y3i1HIwb0Y1OZeC8N9FP3ovtVLxgouSKx06zZriGmcu+CcuLX3K6fr9VqK1vio/TJ7EnPS
pheJd+lSDbP3jVMkVTdLrFfkgXbKL4vC1pdlhAJRLMVw8RTb+RD2oMi2kBOyim1WS96GElCRHJsG
xPbcZMYPN8batyu00gfROd2lTNoAGkPKirdxFAuLuW/7Lf7X4ixAASfQLFgNApajsifBgsW/6zVe
SIsA+UmzVjcdAfg8BEre7sYqTi8sLcTJLPvXSXTlJqLHI1ywn/JCZPMW1WK9TLnqPCWWf0pbxclj
xzahHTqBoPhgL0/nka05h9fGMpIXmWMssFtJd1iHGC918F2TftGu1Z4m+qJ2jd8Ve5vl3sEfk/oQ
pXP0OzKUvrdlzflHTItE3MTt0OjsQ112dHMxItB8OA0YRViJXafVothkSu/N2aAPWo/5pYmplMCJ
qR7YZEUg/wdGowKJ8dnm2benIVgfxyKI3xhngHgEyWNacTRrKP0McyTmx4Z8mzfU0QUbdXpQQbvu
c3p90wMjZwChL2JMMZ5Gbncy2QewTvLKfMfWpPtaQfnjLhsLqCVZ4r9ljUTsrBq3O4+8QVjUz+2l
bUgt2nXOPkfnw/viN1+LMpitCjtaH6fcxlRSRSd3btvzbMjlwBUo3pMq51abzpa4DVJIjAkq0LaB
GLVp40Hu02hyH7pSzD6L4qm9uFisb4RK1Gk2MCaEvtOKeyQz4Pvs2W+sOnrmbf/g2vFlmPoXaxnt
q+3lbLqdYtniPcSWC8Ruw69zTSjRxrxplpV9YXQVmV4cdi9AvJKfYt19cvvE5BxUzQ9XdNN7qvLp
6i4S971wu+x2Xlzv6EroOjU2d+sgJk0UV2TT8ot2m/tc6fY+L200Ar16DqyWCbCviKwWVv/G1Blh
WXacV81S50Mt+rZMiuaiaf0IG1NAVUpLK/6QQSQ+YsYNOG7AO+d+9m8Z9JbLUAf6LiugR5QJ/21K
0Z0w5qq8b4oYszhoMedULqW8q11vfO48ZvNZ50D/oe50v5oI4kJnymFHMU2yIcGgP8htxPsi8CYi
MNH4FMWwY4TfCdhcPk83kHx7y2BL6uNFyDeViuM1ADuwuWcawSY6ebT8sgokjkygd9cYDVVolD1X
HR2wXscj3GySrcutjduwQTQB4z7B38Toh28PU6D3TKP3mh5lD87NpJMUGPA0+WolVK61vxsg1pJW
b1PcIk/0liwiAAmZiq9lpsQLmJOa8Ttn1ZFZ8k0S5ryXpEW/dLZus3ObJQzpPdM69dxu9q63+ly8
ZUpfcrBxAE58lnRPSumqOk6Yhahqdzu184tmeR0S5Zw8FKAT2/c1mTxZ1RUHjnSPq0Dyji3a3FHt
4BH0wA49bC0b0zS+/c54MiEkbbpxsLc8X9QTtL3uXRYpB4A2y6N0UsLcdXKxtO6I/ff4HsWIzsK9
rqD9Jqqd58abu6OuFkvexhM2rC3csYxeDC0XssCCeN3emoys2/hjWfkveOelOCiemhYFosU6MkJc
op8sHdlsbfIuIFoaaUEKKCOi9o2Jpr/zFzv6SZ+wR7nRbMHMyjsve02rtD2j4FT13s8aEm9STcXZ
8PDjPANuWp6qzhzcm3LCF4rhfCISvED+2aWjgRkVVeLQWd6voGzKYNdwfWPLKCyPEykVIyFvZ7nl
0kmYpOKJtR/H1NnksaYRJbGMZ+VD2IDJBFOMljW83/XwxkeOUmWOfNe+NH2Z3ePwsz+LrPd/oszg
CeV5xCQNx67KC3VHaU7zabdxzIcpiC34Nb1JWjYpvjJDGdGx8bN09Su1eQvmyqLQJA9K3CZAOQiN
WUq23dZV40pFhad1m+WsZbkW9jF6RNFAbvAn1dkh53o/bpSKR2dr6doTF5pAKCRKbTo6yWUk1EZG
go7Yo+Ymlu1Lj53WYfAGEba5Q1Wx3ar+1YqAc+8HXeNAS3VRPOfIgc42QrG8xxdCaSdhWw537PAx
jqIuyN1z45T2O33cNjELzNbbfJxzJhweUbPnGGpjg4A7j4FyP/LCVD9d+I6v4HcJcMVtYlxrfwX4
aKoMyKJYNKH4c8cImxY0vjGJF/uBjGexjeaecEZZNYKddNYpel8SP36zm1kd2Ha5d0Royd/JikqF
fef18A9S3/mk3CGCKiYLCFU0iJA+ZOZ5zTTM/IPpsqPOGte6lg6ua9o7YfGRMioeKyDgxzGymnab
tNw9tjKgE4JfiVvdmJkZy41uKEAOSyu3AbxQYtgcIlkakEHGLiohxwRt1O962EyHfPAorsAMNv0a
XC5YfCe+fiGuSi+4208B3zW1JCAqc7ouiA7OCGiAwaP3vkjMZ9/zSY3bne8yJ+SxdXH1gKMqdobs
Xep+QbdIJ8PcU5siaM8ZCCOfA69ffmZVz6WLt6frh3k8eY65IZkWv6bwPA7QZ90zgoiX4jKlNRi1
tvgi3iFxNM1BRmN8b1E6qb0WxGkfdy8Yv7KfzSiGfAP3jKDvuPiQCnLDwwtBBpgI6shb5QwaeSER
1vrEePohDp7LtOU2j2FcQLAws49oHskc9VI2EpCNn2JaxXbIGzR3SpOIc9PSSonjzLqM5dAvYZpN
3mfr9O2PwpVYFah7402dy7XBK+1oK44TOjpXxgzolZycbcZG3bTid9r8vMtEYQychSDz72hFV5p5
om04sGm/KvAMGBZGu8qOBTiVbvG2RWUi2LhEFwQ+v4HISFnQ/BKQq/jlknQIF6/pf/FJauVNKwTG
KUW39I0ScsDlZHhWEFLcHn9hhsuSPdgpECxr7WRD/hQzB7LpRMI2swb7vAT1Ijei7xqXBBbsLPpG
g/FgU5O4MyRQ182gBEiSCtPaeouk9Eq1UxPvFihq2U4m6fIgmyhXB5/JqOXKFOiwEXzmd1Q6R7cj
jejjFqTWssOjKGD/5yXyVy6Czt5wqlrDxi+nvVGPor+ZR6cC19jwlMFiq9DRKJdATMKKuTpRk8C/
0yAdUJl5snEFc+cqjLIMj7NvFRQQ17i0GE/HGLFornnBsTFpSq77ysEvVprfFJv7j63vmSiPGZk/
28A0EAosjTkf4wJbhVGottppjk34PVgYHmKuGv4LtkDYzu6QcoHJOiowRnMw9lzrbZyqmD/fqONd
kTCpTB9RcW3sKZXThMnopY954c9Hz2eBsE/yyXsBdqsuyzzEL1mZMElXvsquRVO8Kpheuzr1vPyU
8RDZRb3sNjGx6CjEiVy9s9AxvupUzc9ZQTt9mNQTNhePY3e+rI5kcrV+Ud5xh5z8YzOuWnY+BJ8M
c+2HoBz+x4JDFMifGjX4GCM5GybLpm2HhQhHWdRbJAxdyaFa2L9Noxn3qBYUoCEoXJB07G2Grfqq
xSz70ChrepoXb1yOFm9cYpyjeoyWiU8AuXQgdDKWT9BWObO7xe+ec5940CVpevIr6Cvxfhm9ISEe
qFGiTKVB8UR2DwjZ5+1LGr0eLHRLfJfZHWJDPu+XxRyWG8V+1D1io7NYzyQdqKM0l+apm5OnpLHd
tYhlfhegdYDv1aESpLz9ZilGmK4gP6iUkq/MZBOtm4DH3Kecqwk+ANKUtJhgCWqBoDwzixJCFkHi
GbBmHeAbdd6Q2cQD+41PnFkUgHfdbH0tyt9Sw+ba+lZWhJU7IfY3fYpjTJKotUsOeibK1i0P/38/
+6es8z9qL2Aewgrz76c2jmn5/pm8F/9mgcE//vI/NrRe8Jegs9PyqE60fWH/a4LDc/7CdUCeXRDu
YA27/sk/r2gt6y8J/8diGcunVcq1xOSfV7SW+MvCD+EHNB843p8/+k+saLFa/m1DS3mIGZiCZquA
fKq0/1YgIhnH1Ygf+VBxbIcpD7dmowMcs8qYGeI6q91lIglexsbxD+5aFkktXhd6YxadJOLFlyCg
dMzZqITEKO77MigPNqm2N5h9AHQWV5F/7vLms+koxAx0o7cF+ssdZKXp0adzeF/31R8rbNd+BVU0
H6ZEe4/KcCiUZpdif0bgkexNZbvJHoP1fg76WwB5BalzsA2oKd0J1QsGFlDamQK+faoCiOMAH1UQ
969u3ARfueFy5CTJHB1aI+r3VmWye1q3YF8xj443WOL9edEZ3d3u1B0WuKpHzFKkFFgJHTTza4gU
CGck9e8pHRh3M2LzsU6EGTZz73LLtwXlU3q5ji7c9oAz1WR94M5ASioazZYoVT8GEJW/WZW4t50w
rDM1b8+LFsFPsAD+1fLYa24kGgE/1TqyNn5Kvh5EGRIe+1BG+j9F0HBU5oljVOavup/F2fKn7lzl
8rOllOo2ytP0hmcVrZCer58KYAWkXjVolGgRNEfmXvqRkCP5KaPYvzSptm9ioqkfahp4Bk3aMb4H
Kk1vy5kuTxquylt+4XyfDumJqIF24Qj7bnRgYoWe76AC10Wxi4T/Pdk5qGGmCNgcw1Ce2VAgThbW
51iO0GOXgkoF7HwRkpRr84Myqie7lNm+gAwBRbQXr5z8uKVcZlAkQc7TPjdvrSTRRy6HTTjSw01m
bgXKxp2zGQYHsTUereziGNGL30I+dUhMP2Ng7DYDotamWxLr1zSr/NhL1nJEBcuV2w8mpvWTEZg0
E1Qrx5I4sQYuQOeiRKTelU7yW/IjocGnUs6daQ7ZiSgJTKJI3CjufDfsEoIvR9nxj2kw434zWuXL
PMni7CdwmkfI6qw5p6C58QejR5UV8gFRU1RbIzDYhtdsghEJevWlSXIGyAVbs4/VvleZvFss6K3Z
6E53CbePZOOyiNmkIih+FF4gm3DCmrc36AIHS2wKKuOq/m1xkvpi+L56hITsXQhW+/sZeWhjTdlX
gyDq8rQ+KGonX3JFLjgvUQdaI744LQXio0MPOVyf6ofpz8FdwneHYIAqtRMRPIZNk2TxHaCE+Got
ph12iQXKajbZyGyqsRUHbdGg7kRi3vagD7Yert1Pf8l1sA0co6H6rbX3eC18KFH5denrT21OZxCT
2dYQYyhFZ+zberwtB9iHfoMzPBDuc9IYIZV2Ek79mkeRiWuE/8tZ/W+4K//W4YYVhZNTYH/hrkt/
CzrK/+5LgXFOwZ/mOKDGVPJgdmpECQUXP+HtWKmbCdbvdiyJd+nqtYAKk+zqpm3vbJgeECzwnVy6
ZcDxzqI7rJKquDC/wwXHRp3f4CevXuumaNkyjam1g5pm473oWiCrHY6Bx+DP5zn/89m2Ehyvp4rP
hXtCILbOo4PYRETMsqsd4J787f/8rcP2/9uJj98zsFe/m/PHnyP+duLPCKCo2bE4mE78FBQlBvbc
ejL86U2seB4T6Wjr0CZy47U9HRJsNgnekFLl3YBOC2Uqdlpz5ywJAet5iXDNS2cMWzSx37nVx8/c
feeT14xHeypOjYWxYCv79g3DxL4mP38go3em+dPfUmT92dBXTNeIWV4nMJQnfIdNiIGepI2pk7Mk
S8wqIR/g5bS5daqG1nK3Ihcd1MBcbqMRTPjArHxwgqmEhjYGb4io1ds8iGE/utCjJAmrOyeem7uC
u/c+Gc3yUHej94rBH1W0tKLrXKbDI//o7dulT18z00rO0zAuYRB0/m4pXXwvvVoONYaBGwkW6BQn
bNI2I30f+7iT8dOMCsr6AFl+y8tGYsnyZJ/bgXnAbe0CqIMOUdBZ2/EM6tNdq6P2pZPoGzHp8ZfM
ApTcFJX97YoAj0mX5xeQAnozKSdDN8adskX+cl6MzpH3iH7Gk6VHCeUjQGFZ2Bn9Brc/vbhG7b44
Hn2B1Ka0Vx8w1VksJT12pp3cRI1oj3KwTyXAr25I/NCr0VkaX2MR8XpzepDjOD5MY5nfgbzqm01S
4EVJbPibxdwDSZ2b9omtE8qNXMhQUZbzYSsreq4juw5ow/1BYSGKYbc4cKs6vZRvpUC+QT/rbpYW
xV0kerpUxAtuSqB6e98t0htSmNwmWtpB962ZzTBmSz/ZsiZXN54ao3ttjOoBKdVrDqQr5qNTukXo
2FbFSpqsWTAs+bVH8b91p6ULEwLdmzK2WCyQpn1I1lOkaCLGFe9EMgfIVnUPjfCJS82Ga0tJVm++
nbTLttf38PzzmGDNmF/1embFaKb7aD3HrNhMyHEbxre/nnDDetYVLEzqsZUoj7DQWeo6h+XPwdj/
OSQ5KWygo5yc7XqG+m3COYP8uHAQJAJpdj1v5/XkndYzuJWUPlc4tQjcS/BPFcaTvRxnTnQapB4H
r6kvizD7Nwc+QliTSApzo5VoWuuDIVufEQB2SDAWJrC0fH2GNPhajaMnl4pO4D+PIBEoMuKBMXdj
mJuN90yDonOvFauCEEhZ8JW2VFNv/NrMnYMWfns2BqX2en1O9kAEw+zPExQJ2v8YVebwqOA9TZ+t
TNUFmsHAGQpm+FhHhEAiGIRp2P55pBN/5RcLHTEJSQ8NEMobxOhF8yvy/kwN8zpAGEwSyzpS0OTK
cIE/B1Zq7zlhss4dgvExCmivc0ugL6hLvr8DLTpdSiS2kDqr6RQ5EDMQgMuDYvQJBxZop6xfr7a9
j/vQHAJ7W011PwENyPNbhyvVyerq7jYjdPozqSm/IYzrP1azGbEV1YneS/Ziv2mdl1fKnJ3PoeiH
a6rn9IdB89dTBGBFh7HovRNagQHrFAdSWAo7vafBZtVhwBHfuYbVH1vY0rfMdDOgIzz/a8RKOteS
KN9ZRaq86/qBrJYavfZjaodX4Sp6nXxjTrY5DDbAu7558KchQaznG8+4NZxaA+mTW7A7EM71UaWU
JpqBPmdcnQWvoQct7QmXhHslXeJsU49Hl0kDzbOCXJBuatEWJ8tI4YOXwOgJ8Q0UBmPg6LdFMGX6
1lWszV1IzDC6UzwwwdJ/WnWl+Bkv+NoZSGML9ZhQz8Z1Yw96HkDrnyhszoE8IZ9ifPnp2XNVfhlb
3zgHzTAeYR1P58wzcDuR+MBQ3bjxQwrI/5c5+dcl7qZnBJZyO2HXOxAuSc/JYmqsMLbvPiSzzN8y
C6osWVQHEaEtuw+EwfhN9Z3eCY9rcFDn0YF/5UMQ1NnxipxdV1buRaqAN7/hdQWPcpE+rNrPprIQ
wgmCMgWubRr2NeXbiAhlbh2cdJDB3DVE/VtIA2dZV1MbxploGet9H2k+7Zrd6ih/rXVun4dZ97cg
EkZ+Dl6/G0nL8Ze95eRJxBgapCGu+QzsOwCOVFsF+ByE/Y1P5WOewLPyAGOFE0R1xcbD8fm0UzO0
qbImfoTkNx84eRiso1y8oOuFMO/LF9NW8tVuzP449IX6OTooliwY2t85n/eQjac+Dt3yVuGEsVxK
GDZZ5rgnx65vpTveZxTKMfRTwdRDWt5BcVvQ7opE1zsxAJze9gGFZpdW2erkux3P3YguocAqrOPS
qWxngr76lRq8T8Viy8s0Gj32eDf6lC3Z7tjFPwiqeh3rlwodbpz6hdWe/YVlNzoEOPP2LgU6N2lb
phfFyne+9JVRPwIikc8J95dpm9ZT93vIFeOilWv/BqsIp80QW1iD1ehSKLNynTLIfXsPZPqhrS2H
0RgfIZ9EPFahF7QuXxWMfJEOlOp4qj3LtKL7wdd870MRnQg+ZpcVZb+CSdWfsjDi0FxH7nNXJ8eq
9ZYdnHV9UGhOXJwsC/hIPp+mIJCH1OG/jzLmvZZMgikdSXNwS0XYvGeHXu8ts/fekiY1D5Dss01E
qwkSM33f46adhcs1FDlwo2oNFEn/CqL+dvHE96pf7AYzMt+7wfDuA9Tb1lPPOl8xyZKNz6OM27k8
QL1evjJr4WOQ+C9lVzFU9zzbF1mZ4Ti048EXDcUaiTUdxFqsApZSvED/aViLzBzFTQv+L61h/8a2
JC3qRaUEchrw/i5IZD8jTyzPLmkuhacU3gkBohuRJ4rtIt/ztahqeZtxZYeSHLu3lh1LCIBp54Yo
8n51wFxoPDk8qq+WWY3fdv4RaRhzo5ogoMVL4oIlnu1jm+aMRUZ1W8KstUVDa44uKCWqiuxAc0XD
KSK5Y0zaCEvni8abItuvxh8wEDOMrjHwTJxI0U03ZssdA+Glk0THRf/q5/gsHueEPYPdmZumktl3
5sR3eV5W5C2VePCcqPnF+4uHF0Xy9+PixayQKvUKmnpk71OgQkAQM8At8on+hUdk/IFjxvoVidz5
6WZus+2Etk/aENmZJ0Fy4xaRsfUT1n19VFCRYLBVy7L41LU0Ngfo8xuMNMlDmin3kTKH+Y26RarZ
/bg8tWwCt0vm2vD1SbWDmQdFxPPUm157jrytqhD513hbcqTcoqTIZG52NvA2MoXB9CT7SB0co6ZF
p/DsPRaF7GgTtNugbC7hXEQzKrk5HZkhBdvS2ndZXlkiujpFpU5200/7uOjtHSJn8gNTbXqACOps
26Cn289ug2OMEQukRDqT+YsIHPMaZNjE5bIbVJe9NsPsxJtuiuMt7V+PMYlNVhy1sexxG+LKJVR9
MM38R2HM6pzbuj/kkWIgw/e0p12BO7/t2s8Bm7bd0qv6nHFmwEWbaRNw0trDuV0YIzQPHNTWJq8E
BzZgDhxMPZ8sXkq97YKSvzF0JVWAUWW9zFWqt0RBwZbHlXVM2FsdIqvUoe7IpbJkKI+VhADVAWba
mH5OnU9Wc5oRwMdMntO20efRRZpRdFsBQqyC5MNBmMlycYqJjplJdGlLWqllPlm7vk5eu5Jt3EpE
2RXOMp9R+KqQ8eGReznbtGLkZ1tOIMdoK79NVth0OQ5eiE6w7NLJod9JpvTJYFUvLgnpH34EkXnC
EWiC9hhwkUhdfSfROG3ckQSQb83GFg6SqTZWRO4XA2j+hV8z/1WldlsQPZPRI+DX4BZYX3HlrtJd
bDCaJzG7KEuOq62XDFDeFnC1+oVtGFqwKuoL2eyM+5/KjorKgyNVH8XBHtrmpoLXddQpMCiob4AL
cXVLO1ig+WXmgU+Y9aPjunbtDIhh1eC1u7RE+0gCbGEitjZdll9q6ZwnfZx9fp59FfzSTb/NmsR/
lNUQHLLRy16I09qnJi+KGy/VPu5l/BTRCFvVcsf+P0hTyX/rKgyojY2AJwKqQP8WpxqzSkaRbfkH
Y571zrEz9xP7C1CSxqn8AFwY918LFDNZ1wp/eJsHYx0miTIeCoolP1htqnZX2E6ymwGjQKZY9Uo0
HRg1fSB6ulWSxTY22E9QOIXbs+PyJwTCuXb9c0odNrYYbojGP0rU/2+nqv5fykuxZqH19t/X48/v
Zdn/0399L9V/+6fLu8Z31v6Xf/r9R+o/ff33/0Kwb/37/yzJUx28ApWYb0zbdlC9/2doyvrLWglg
PhlK/s/1eUP8iyTv/MWKyjF9D/kd3NGq1v+LJC//kqSmTKR8m2wkfor/TGrKdldo0r+GpgzSuJ5N
hvTvgcdK9rGJTXSh7rDFU8E2E5oYPHo8GOlwp0g91Lu1JizdEKNIgGdoO98Jo2ku80TnBAn/Zj9j
5LpzK1DHYqZyhuUoaFYM9zuji9CnlBGbFJ9QnhEyKOI7jCy9GrrnU0ntMJGaZP4JKVQfiGgI3Jh4
Buuybe4hfOc/4zZiGeDR+lCu89LY4zAIYnD21TIyhKxzVVkl7Rk5hYoHmpreATe5F4/8QcrydB3L
iEA5ob/Oavk6tQ1w5zcsCRnlxnWqq/8MeKTc/Julj42Mbk0mwPjPMIgqKZ+7dULs5iadL00zQFii
l+lGycnYR8RPDjPjpZ0t4Jp8l5HTqDpGcLzkI/VXNDnV63QK5HUAWsPE2mSDIlJQLb+MHBgE+oF1
NNcZF2fpTG8yQd+LjnUENe4fU3FfChChbgm4GxDRJpFFT6pojC5O5qkPO18GZA9lhH5smFs2nczg
6zSOrzb/ic6hfsYppZlindq9dT+7FZi6z/jN5sOCItHBLk7bT3wI0dnqSdUdGINz0kGJdk6jMYh6
A7TeeDaMEpvtYnssS5a+CL4RZAGRTAsPs7QwcOuJWL0bKs2hjWKI3xpl1+1SUYgwWjK+SoqRL972
VtvtNOrscbU47ZLFNcOloD0mWf9N0rLgMeO0l4/I0OV3M/JbCGVrqRfisjzGfHy98Q/EQR+A8yAb
lChX0+lWiJJElZ378X1JyvCECym5OpLR0lQtDXy1IsbPj62t523TJ/M1AsvFMQhT2eZLymvLS3zv
oeggMhqdgGhEqwiOs25inhrrfURUUNKiWLanxDbmfZmY0fesXF6TLgOHingTSC5drAD5dxGYkEfP
1dE75zF+RIfMCMOkKdH1WMyHCeYPBvGGPoUIm0goEMUeauALyBOBAuDcL2BlpVzSx9Qu4m8M3qTi
o1qxAkrpQXNqk5tz0bYdj6px4VYR+EUPLdQ3xBfa0fy+cH/9QYe974Q1W/BvgS7ARzp2QEER89e0
DVm+oK4+1YpY+gAoED0cj0pI0AbPj1/Iug6ngRrEwKHcby8NghNX3BAgwnkwx9Q4ZZO7avU9mJWC
sfHJSr18xEhlgGLsHF3JXWY2/lq91Ivf49zUJwOcCfa4conpmYkr+AuGiJyzCT1CIyIFAd6C6VMK
9MLZrJ1Pu1qKI9SL7nGKMfRPq19uoX/0yg8FVcX01URAIIvfeZrSIOTCW1Vz1KFr9cQ2ChecjJcH
kp2ULvlelwSwOuMPv6cpKroLYyxPVockIdEqN+jVbkSLPbIeRKKWqg/lQHttK1Gmwqkzuhdm6eQD
m/f4EUeQu90mmu8W5JBrWmkDT45TXoFBOZgaWgwfG9uc7TeDGgVu8Z5FPw5ppvoGKJCgWbqm2CfK
YOEmAiJ0ZhIcsgOcovhSmI3dG4irgOx6TBcpJM4bTJvOm2/HmAeqVUehR5XdGKaGdKcIiWxTOncH
PK9mCv2EIfBEdXZ9Li0if6HPxJCGnSejmyzzpuNMEGiXtOikINj96MbRWOi3rSEw6zStp6ndLTrx
zr4p+OFaPdwUrYNHmHoPBF+YUonDbAbbr/aEOWacIE6vnl1nCC4lUSeSiHb6WcvEPvcMpNzqe4ET
EFV+gFm8czStu9ZS50eJhT0sgD3unKYZQz7q7a5ez/SKisSw6Wzj7MaT/Yt4IMCZlHqGg8NKDmZa
kd4ZnHu3JciA+0ADaEocHK8UTuhHh3P+2sRYSioi69N26PPmANjTvrq9nT+b2kh+mx5j9WZO82HX
+zK4LOB8jyIQ6REjzUgJcUzSNEicI62XVc1VkF1sqMYy+x/snVlv3EjWpv/Kh7mnwS0iyIuZi9xT
uUipxZZ9Q8i2xH3f+evnoezqslVVri7gm8E0MEAD3dVlmSkyGRHnnPd93pMv0j5eG1Y/fcYeWO+i
OA1vU86u+35oLvDLyUZjtbRx6kSu+ZF92z0A2qFex0QpL5POkBCkFrCt0tXTK6epxwycZjPQXsmD
lyiK/VvqLu8e6SWqbMZVLnpgeEzI6MhP8s3qqSeU7QPlR7Ua9IkE2pCwbNtGVYV22dA2GZZoaiWy
dS/pYKljUk2S5L6pP3aVZgPoA4QLqs/wroB75ItJ9/u9a4bhxg8ma9+grPNxMzTNRmlRcisUcLwQ
kCJamCKonml/hcHZxC3wRGqUwcQznnTkVTFG5wi54zEgHn3pjzjuRt2xj5OTdh/N2seCZut4WNnF
tp2b5vMa7wSoUjx4TiAWM4a3VnGesJAXLIGl+Wx1eXZm4DGsYzTTdP+daVqUrVN/8VDEIeDMzE3X
l9rVhCfuGS3iOKeNdXeVzza0ULYAckPT8grIcfwEQRU2XOaa/jWWF51uO1GwG3C41tInqG3ftjbS
wbpQ7UH1hnHoUuaErobwrMAFuwX6z0qn8TP70PAZtZXecBM5gUTVTg1eS6fkbjblg9dnxD+ynRBQ
MhLkNuT1bS8qxqeOp+7ryCUftuvpZBH4uHI4Rx4cTZ4Z6Gf7utMIRJhqhtkqkurosq9+fj2b/ncf
0P8SezBf6EuOn5qc2wZL/vcLr56ap5/+Yf16AL60z9V4+1xDUvxNKjL/yX/3X34/Rv+dYkY3UJNb
fwM1yMKi/flg/q8f+3Y2d+13ikM0unmbqADUMZRs34AGrvluhlG4Qgqb47ejfiAaiHeStC4ckrZh
WsISHOh/IxpY7+CfgkbQQYlI10L/8ts9+D4n/hXRwHwdDP9+NqdskILLKFOweegG6IWfB8dYhgjz
1GN3B7gw3Y2Bjp8eKDBvvUWvxjcJUoaxHRP6QdFMwCnv8vCQ1ujRMXbPwZblSSsxmPleOhyU2Xe3
dWdfjCzFOId5HAC9He7MIdc3Am4XM7jKe2+DxDk1Mfmblecu7ZbMqCSub7WM9Bok8bQltHhaII/N
lmaX8DqQygj/O6X/XNPXIlKhtTeagla3KgTDAvS2Dttug4OoH4tTFREwvhLlqC/TAKjnpHvQ2IpY
7YCv2WJHmN5wl7Rp8BgWxTPxn5kCwzMLhUmu+oTt8nNPbb0LbfscZYgigfvR8IcQs2KyXa8ye3zR
tSxd2W1WngfmV4uaDshthF3i5MZih4k2WbyayKpQDPBVe2PZlSG5kUH42A1gHNE+sx++nubrui8X
vbD2OlFA7yPlYl/TW39TmamBeJN0sEUPo+FW76OvvahtGsGet7SC8dU13dezlu5Tagx4Emov6xD4
5CSGubZ/12EIBi6r3XWtSi5dwkyQiQ+aqML29Ivg+IuumzSkZDllRqcvCZTn7zR73SM6l+H0Ik5A
qe5CUH0Xb65IGjzTDbEQZJW3GlLeXcL0TaPPlyQH5PxNxEnWjAk8HGr6TFPkQVcLcA9gManbDw15
E9W+LmlCb9EddVcl5kJzgQOVDmnHFlYuhNI7D04Z8zskgLb+RZbW8B6VOTNQxwUdtgC5VXIISQl0
Wo8Eqd40Ko7lAn44SWLwgwVD636iQ+MQsPPY1LI6TbjoirWRR7ARfIOgl4AcOmPV9KCtYUriwCsq
5sVu1l3T2q0NOIQNAhsXfTkWG1slat3bBid6tzL6/jaqlBfscMK15RXfMAvDkIMvYFWr0jxrWp+9
5EWYHpAaEEzWIMQttp0swSMSY66umjouIX4xaQBU2ruXuvP3VET0j0XPQFHE60ZvyLBzYH1Qtvtr
2zqjwXtManVD1rq+gnBmLuuw2gUN/lxMS6ekmEjGsPJbomM+e4V91xIrORr2eA5di+lyfEr7tjxG
vreyYkBSwUmmiI2INgW2hloT/A6PzOzFqiGeee8T9nGDjUp75uu8yh2SFzv9xmxCjbRz56LPJP+c
lh15p/rGTQmS4Fd9saYLQE847/yMYRSPqWZGl1rX94UMQkzAxEksAoW0v47kKo+1rzaZSncu3gm6
h/WNQ5FW07FihF0BnxQOKDcBcIAQpfvU6oJtHHM47RMQb0AM6DhKgLnuiAPOSPN6OU54h+Im155s
ex7PqO2QUSpNFgflrsBWDoY5oytAGrCNgWwZuVa+InIpP+kAYj+5o39nJikgPMdstz1OF16ZaIPR
h3h2C8NR23rqy2RP9boyxrXhDPXRNKOBNqWzRyrj7Tuh7lj6Tj7t+IVVjia8Y2fTpIJKJsHFN5py
W7rVNoVvhD5c/5rMVckgx2c/9q4tVErLbrKhhNXOvTZ1xnPfOPHndvJffmgh/YlMyJRzA/D35d5B
GCQNG4INYSzKUeotGQpiZKfRNnd3ml/oiyDFPwjZgfmKjzbjmokxb4k2tYImdRnXJ6gf4SOHOYyq
Q4cuZZFy3mWdbCRvHbI+9yaimIFUO8QVBpAwdCwybUio4JgYj+/zKjMQF3i8z0bVQ/pTRaLKRZJO
lcSe2yI2GIqquyJEvCU1x5datQdGyWKRkVeEKqHrNgxKWE2015WFuFtWGdCfBKriFdL2bTMqc8d7
SUBmVWXMxXVb2zhBHN02ABjVIimhSlVlyTLVy5mvXNBzaPwNc72WLKR6g6ve2rQhPBIr6o66HfQH
oWcHE8ELqepRtI7ocS9j0yWZI/XhmIJTWHStdYsOpVngPKmPMvPEtizNbOV2TBiMnKgZsuVIU8hM
+h6qeTaIjXvAgZuvSytI+K5iPUGGGRstYiMMeO1S4iXd1h7o4ZXUI9Ig0XixCtmFEcV34YjX8IDN
NUXiicMsEIO5HlxZEQiqpah6/Ox9ULrTDV5ze4G2+hzmVXTAT2LfANudmFZ4fvaRRQGtagk7U+QU
pyqfiMhJZRldd0XrfEWI2BIdE10qtGJXEozJKvfTyDgBaovPsFsUo4WqwYcLNGgKkbyYsMUGJnqY
/iGudIGN7bPTtgYJB6AsCInOifL9Qn+Pt3UIy/bTCI5h2Tmdee2JVr+EHdKX3DA+2wSgEYdGQVDD
MGYomFY3CSFKZMeY22SmaxtgtvUeYY1qIW9jKHdWcqjKdR/ATUSqG1Z4leAnomkUj4E/DWvu3Idk
ZnrbM907991xreHDwXlm3KduAyCbTiKAIajg4MFdMOG4WHoKb+1LaUUAAzNsZkXQXFnAxQOD5CyC
oQgt/+ABH3dgLwA2+Bwakgxp98x8De3YzCsnTP1rGgzGOS6t59z23VPcQg2iX19Be4Z4noM+F05d
XwWO0S1r5LVf4dn2V5106kuam+O+nvnp0UxST2emOjCaLxwWiVcBt97ZiYtispJL6D0O8fFQ2e1I
+wjQ0N+mo26cMVWeogrvPfIsc52R6LECm8/sdma9l0AzEAdWNBRnEnwGBMTlYcczI74BFs8pYZMX
dXOaCjjy4zSOWzWz5dMBS8JMm08MA0FvamZHzYBF79QzlX5QxgXcSX0j0FegbA3pxkAH8nsdw5U3
s+2lK8x+YWq4I3ASwr5vjeIl7nzMBDSBNwAjcrAfwoQHhZXUDAEHRVZMums/UPQlrTl+HIifRfw5
jOYHNbZgEDu6DI9QcHA2IQDMAYBEEeOkkKZh6vmkW2J6gn9kDnWx1WZbGzKJKj3AoMxeqnm3pqPH
xl28buJgr9nQLZX4+CheN/ruddOnKckBgLRVDgPD68HAfj0kyPm8QORIs/i/W0j9WEf9r/+keQh2
Afaqv56HHJ/iOnj62j8/Fz/NQb793Pc5yBwGMTc+lLRIiUAS+lutpUxMC6DbgMeJmQI3V2Hf5yCG
8U7pYAFdoJ2zBcbmY3yvtZx3pjSAwFnMR5TJvuz+k1rrjUaXWs1ldK+UbuAEckjMYn7zIzuORdcL
Kiw/K9mnV24KgbGn++an1SfCN2npKX2FRAw2atVuPRKaGFqClPOkfszr7tHqo49tUZ0l7zaWgq7d
NWVzE9HqJN4X21DeaiEJ27W9rETy2Dg0hnQ3fuxFzrY0XkFmpcfcygIJt8YpP7r+4Wn8ydHiZ9vF
6y/nWKiPKXRZThz7zS9HslpAdjHAdyqRFVv4JvZeCL260aVa/rMr2TxJIUnONPiPzdDr59voa5Wh
qADsVW3Q+SdvJ8q049jkK6PwV7++lDXLpn8/LiEnhkTIEIz/sgT/NUMHf3xkdDP7VKMVhEOp+6I8
COAqzT40xPqSe2WAGqfYSmSH1bqUnIS7tl7q0iaX0i+DLUCtZsfsf2uH6iN/6j7L0pMmzGklRPXo
a/0BS/2TGaxsUUiMGvnnakjHZUFU5UxnO44UNQvkhYRYWDr91rbeW0j44HkQlmXrYb8KvPFJdtPH
sgw/WaWiLx3r4m9utzE/uTf3AHKmLkwpaVXAE/v5HnhCBR31gEsx4GwDRBBGOuDfDchAZULl5o9F
KmnZYbAN0A6FhIzbXfoVyPPzrx/G64V+/iDKQOttKV2nQ+AYbz7IGAyDn/rMppOGVhZp1VSCmnp0
/JqGpZF8SdqYvZB+LsfDqp3uczFe4CeqLXMDrKKuebHa6m4Wmw0CBJyvnqbI/5SOxmZKxO3ffNiZ
M/zjh1VS0qWEbSj1mV8395F+/OZktCy0uBmCta5PyA/QMyi9v7c7/a7U5Im52H3d5niM5W4a5DYs
9fegPsDu2dh66F5UEzpwkMGqQSMzQQwKJGaMAjzNrz/nH54unxNwuIk6hlcJV9cb44DwSyXDUGmY
ZZO7AnP+hi5wTyE2XGNQP9RejfEn6gnZkrhO42r61JXT3ZgS0UpO5a8/zHxP3tyzHz+L84bdrMsC
OBIEh5XH8WugPoldg9xxyn7H3NZ/e7nXNent9eRMFLV5Usp8axxQlgcaCSfKympQCuJaQc3QkBac
9nwr7DsDDAZO9jRfdQCmQCqp8EYG497Wg09qRLUTRXht/D4FBeZmj3OoqU8qThrV9xPl7QGfR7Ik
qwOUnggvbqq3qwZOCI7lI915exdJugoF0QDLqjMXNG6Mde+3B8d1acpngugYuzwmpeZvPJrK0ARJ
l2scfSTuleGkSDm6mhV4pMaabn79IH5ezBnW86UALSKh8koDc8mbLwUQlYR0bR4EY+X1ZPtkqJ6H
CBN6evr1hcw/viYoE+hk0LHnQrQ6f35NxITjjvKJ/LlIHagZnzNhoOZyOHNOM6rYrYMP0dDf2eW0
b9rxFtzRR89J51GH9wmKJ4fi+itxAItMj3dVwkC9qU5Dnmx//TnnhKs3X82fP+ebNilcOeWbRRmj
iJTHkToB9SJAoih99NigCXnpqECLLkT4F9QLYhpP1QBUyCnKRx/0OcL6iQgju9bWA6FFO1r/3amq
qxSsQR/vEOd4W7+UeMoZNL5ve+Kzi7I5dzluJLtoAf01EPI1s8A3SNTBUuodY20iErCx2RBAwC2R
YxamayyLLVOm/MPQRE9eMHsVi36k8Grfm4xAVhMnh5eUoSz9Ur/aeG3pH+hxThuanO9/fc/++CXi
tCNsTj1s0yhN3rzN4EE4bliZC+LRw3IVswh2y9BSW68wN7++lPFn1+LMAePXxHoq3sZ2DZFOZWPl
7qozJ+uqhZ2Ab8w6FNXov8chQ7QLYDeZjafaf/EVkq/cquckBjbYviEgfBoNyUMR1Y3hjn/z4X5W
v8wvk6JVz1uLxIa36e2xL4k6IxVYxFaQCK5GfwNQ4zCVD39zB96eVGZjLdFlJoZDA4bsPEz4cb+p
zNhvKaeJDKPp7gzzKBa6MPxK3J9hkMPsaW97vyieklI8RP14EbWFERZmorKzlizptGBAG2ZrVQ83
jNyDI3gfFGIeXbtff9Q/+6TSsdkU+VqgmnmzuDTMILGRU5M7EjBvFKKagbGAbhRGPwN52A1qA9vt
4GBz+PWVf25+8SQwcdISg9Ah2JUZwf18j7BPNFMOW3mFgPG91yuWGGZqbr6yIGySirgMmVr8+pLG
n12TdpspbejULHBvnotLTQ43SuBwLL1tatJ0xlsyXBU2UHsz5Giftl+CuHsoA/sJwvKTOYEr8rTP
DaMyiLB5fnaG7CVCd2LkahlG97/+fPYfFmDH5DDtcsBVmLA5uf98TwathNdrNhq9W1hmUbX14D14
dEmZpQTE4sQTxmS+RP1gIjYOrtpJfgItM2wa6X2sMJIsUPje0vx8iYJgkw76xicTbEHMwg3WYRoo
WKdEjla4yL9I9tu1YrjRMeHek/qxnQq7vwKHAyAX38lcg29iUT+PqX7fjvZHwpfpC2ebjkAZG2by
urNgy/36Dqj52PjTKWCONZjboa7g3SH38+c7kEFTodoI1Kru1L2ZigtD4J3KQBTCaU2wjjTVuhbB
qRh8iMce/09Orvs8LFmTVnbbVP2tXUVsBhoWwDC2idas2OAVQwgaFAo7yCp1UcUYVnX066aZo1pG
NAnMeHppzGbFo/LtfsXAmrCpPCNRwbnrLPejYYYng2YTeKh9FbEbRDA7eh2rzdROX4NZ7NWa5blq
w1XHBzX09Bp41nGIomOcIJVCF//UNQ08E8uHTNtvm0aeci3eltQg9A9j8BEZ9Ag7Qy01WOU613QD
BIhBny8dVqMBBDigZUjinIZewEAAXHyhQX+dJ4+KeLKwef6bR/GHJ2FxXObVpLSb5YxvVoaWRmqm
SggslrksgWCrXZfvSjw+REu/Xum/e179H9RAUfSpObL9cMPnkfj3UfccLfo//8c2f/qxdfKvn/hX
84QpNDNgQ8y0/Fc96HfyvvVOCss22VZsnf11Dmn4rXki3jnUxezwTCKVJS2W1O/NE8N+h60NEsN3
GATS038wqH67wc8fTKdtQo0iFRyJNy+pqfouE0kPPRA4/mJALcoi1SDBMwKAT3iwvuU4/GUS6Lws
/7gofLseF8TPQTrFLI79cTtNfKuOJYk+nH5JPeEI/ALCCgxtj23qh2dw8+3v/DEYhwbVH68lHL70
uJgtoYT+ZglumdBboAHIbTPm6XsqBEh+PzD2kWkWp9jzu1M7EUAK2jNb+WXlfgXE393U2RDvU9cG
JYWBh/b4SGdnEc8iWgonv/pgQwfoSbAidBc7m3HV6mZNCuUkvGVtKI+R5ODgIIO0PShs//kzJAm8
j05Mg9ypGN5aKiyNQ2NX+k2YILVhwDN51DDKfm5kkMO276OOHnDSvrQEpT77kl09ztjZci+ZbtDa
SGTy4M63JQM1Gu5Nd4nkpB1KFFHdrrRbYF5x4PJRWuV5HxwcW6DhghLFUegzI1v4zqjAKvma2haT
RSYaZhlQTOQ8+ohqwGfmjEm76iWNtOpK1XKvfL4PRkfnW1PZMRvlPQ2UuFjFnDquJh/eYWiK7GYY
kuMQkDfIKLxD8FA8aikuAQe4QWRP2TYT6shuRHi9i8u1LKpyabladRwDSnG9bbulRxwg3jmEtGQO
MCVFm4p6SxviK22sH5HFQt+FIrFC2psvpEKkOXTqjKcJSAQ0gSCIC8B1A3BQzYWjm43b2CdGnIlM
bWq3Y9mthKFm2MEQbJGO2Csy2vdmycggLiwuD796oRv+C5RsdyHaiP8RAPvTwVvUSeMuuwQJZB7U
+kraXNyUKTwsR7/0LdKqNq94dTL/yTcZD2dIH03pf+5J51sYNVNPO9O2Ya9f8rhC+8sdja05QsYO
7iBl+3glzK+i9Y5GrPZlHrEj4kHXCaNbgBkvGPJaF8+Kh2WeGl8jmW6sWIfj3jZbS49edFNC+fKq
R8E/dJ5ztqzoJXaZJzX+lV/ExjLuvBIecnmHgGqriXrhjN0h8OJtYxHzjVRqXbCFLp3BMdFteRBB
j5Fl90DvSY++RlZwDrX8Mesiep2oAxdWnxx0d3iWbRGt4qHCv57y8CoYkQQVuAxEmt5dQ1CK8Z5n
ACpchsit7ZxNvFZnyxs+B179YSCCYc0Uo+ZmIHKQnnbvWf5xjJS+JCWJYZdWe0tTcdSOSQcbpH/w
vTjfysp8BNnFL0AgInUk4to+/OwJm1AGrUFJaqlloxhTFTm6Y51Ly95EGpMzT69qdAI82EuQjhjS
855UkATMqZfyosalOd03Gphfr1b3vc5vmqn02DGmx3ZWfCYeNF//H9k2/1Lm9R87nfgm6mJT+usB
xfnJf0qesq8/brHGv37uuxhMvMMEjejLnnkdtFPN3wYULkYNDj82zCIY0Uqfhwff91hTvoONRaAY
LZnX/Zfew29iMDwcAERcR8JBmuFJ6p/ssew3P+9Ejs5wxHIoBwjoRg/59ig8OTUC6ZEAvjG0xnWm
nqiVXTzfVXoO7NE7AnQUq0xLH/IipmMdE1BW6kPyNNhCnSKGgdhvnS2eXLzXRX+TWVj3CXt98O3U
XcEXUAMBqYCixziANWh3l66CBNibVrXqiza5q4NYQ51RVTvs7RDykSPV8jTWEx5+EcL0xXQI0u3S
sgvLLLXWhBADhok80iVJoq8ogDlPiyMGBPmkQtjgpIgxUzblInZcIKGAbGHBwm9OEqDyHX7iViMk
uq9RxJiRs5lsh9Mv2jBrBUE9It9DrVoU16vc7S+UaDue4NcebE9fpMcUQf9Ym7dhKlDiYkAwCSdu
c/NFGOFwpQUeoKSKDuMWz/1dyL29zolbgYWpFVvQhg8DGH14RMdWcDPdprCO0civHFrx2c6a7WyF
g45bnkDHIfPS83QbDs2Xwhyxhb6vXSiqdck0GDLclW0EyRkQynspxlVStni42HlSwG2Gk700NlRm
V0YbwzJWgyORQUf3pevvgwLLY6V6NDcFxGEbGrM2RTuSKy+aKbq1X9fDQxtOYm+pdF0AgV6Fcb4e
C3Y3cIj+Dql5cAen7TaYxUcCwYVf28lmGBDkRVCuIIyzT71qeUYP2y3JJ9HWaTCGJsSk7U13Gu+t
NL+14hI5k2HZLV2SYLzTE6QQC0i2xRb7nX89yJObigf2D9oZkcxu+krTGIQgudFRdBHGyxz5g5+M
ZxJgxmXTDiyvPfVWVe819FH65H/o/b46DOF6FGPIo6rPVdW8xNkd0nQG3/RtKDgwcI7pyCzcWNtD
t9Qh3i1K19Kgp848HaqtsdOPsaAtN7K/Oo6zAWu/H2r9wUvfm0lBQzdIyfWQ87WjfYkPokoK/cEM
oQeyj1GVweyvNyB2mKo7vbEt0dbQ9HyyPS2EjeG+JJF7stA/2qi4GTndWI1D6GiEbMq8rabA+NjB
3UG2lodrmwTmO1dmG1hnJX8vsNallVbaNbAocWP0U0PiiRFsMwuMaoFs8tBUcdgs61FIsIlQRSyv
Hg+RXTlPogKq7GLsO2hEbe0zo2qhdHskFlg+YH2nrcMjyA99D/2j2o2q8u9r+ImcFRrmUrk+fhyJ
glmOZZ/fBNLqAL9myad49NTdZIdAKfU4RnUAuAAsvHso3FBuDNn3m8Yw/D1BEgMuETu9B2o/3DtF
2l5FepE+pNVYb8qORje5KW711BAPD9c66M5274qTK+ziGHdOfzHazDoLY2qvGr0yPhpR0q6Vnw+b
IXfloUxkvK8CV1xPMHmfORaQ91ynY/W1wLfVL/KOuz7h9j5FhdsfxezhSEBUGMu8Q//mOIN+21td
eTY80zimcR48kG3jnoCqVke+Kupoab1+TO28oVlbhcZypldtDQJHzlS7/ipokFFGr4rKH3aZP6kf
vtU+v9cqs6YLEh+TGxZuKRgxv2lrxRCWaWeCjEPPkGCrq/JuH9VdfS5RIK1aTyc2FokUEwajXRkw
XjHTE9MhAJJCpW0fZFdrGwC+2HdUVLPCMlhdCT/UQe2DtkWH43/EDcKwIsx9cSMzPTpADjtTQgCR
nHVHhcT/antOchp9+MJ8kx6EN+SLinJuVw9duuyMGt3SKO6rCgJs2/bptWx98ByEkHv3Rc+RZ+uK
EXhpraYSm3HGX7ww+8AtllIV4zabAq+lAAFYv9VTP4g4NNv5R80AR7AiUS0H4GRkD5YKnI+16V9x
CEYbbzq3rdK2hB1ny9GSqyIbBTGrCjCgnjB2S9GxWL69G2cxV4uqqxiaI7KOOw+Az7LIdehrg7jS
khAdL+yONSaYeGFpkB8ABo7YYdNDPdndwaty/L28/mE4ig0+jE2fhcAH2mqEwZYS7DLLz4JO9FdZ
16Ne9iNstIrSLB+jmDUGkjgWuui2mOgXFa2fntupV1vXQwbcTopv1UTn5NgXc2XSRvUxpHA4tUIP
HgLdN49+KMszfUb9lgBq/SaIab3i4CBTnGc9EBUtwxN6HPdkYIwG+opw6qvyM4yNdNWD5zTJs+VQ
ecOmmt8UbBESlRVvD+RzIMjzG5XQIbwKvME6x1o2XIoyLI+2nrE/BzVuzp6tMpNV/VSOCL2xC9v1
Jp7fYHd+l/X5rfZUnN3jDh9OQMz8fdEB4irndSCcVwQiV+ShgPyPWDqbvwelc0eOW/IpnFeTaV5X
ALGhiZvXGjGvOqAECni+rERYQ6odCcz6PnaM8Jj5kiVraKr0Q4WHY4+Xxt0XTQ8NoWmJ96Lh9xQl
5nggv4lUVRmrmwCBW7N0+dMHDiAS6LQDSC6SzaYrQnnDn9auGZZI5H2jjW9FcuyHa9biHPcqCol6
cjmhMLDk13ZcKNlIelXUbxTJAxG6DCLzljTzqnGX2kHanTMVEVgmSpGAgnXhSECeFS5SRteLrrKp
9osPdFxg65kiLho0Dlbc7HIfEeGRIGWq37wOMZ60jdO1ayvJRhAcZUh1oePVtBcObEjC18YZN5xO
YmK/FmIiz8+WJKPAocu3BNNZ1xYm1JPjD+KCkM+A2m8hco1s47aeKhHjpvJSfVvKAIgRugsH32mU
u1hQC++zha65XzlugnIbqEigwcpOOAF1ER7OpWLZfESoGTK+DjKDtWWMIqIQKpR8x8pqzNu4Kbkv
WXnB9gnzIYp6zGA4EBsz29U0TDaRah6a7ignWpO+p5/o4BYnOwx0FJyat+SMChiqCmcIIz0Qwxtd
ZqQ+uKK8wCto0/vQu+hTgcd9M0b9FyOzIM9WFur40bzx9LI/5w3vqKyrz6H6zKDVvRrJ9Wa9Gc1V
17ANWHlpLyjwtirIL9DPbqOcafGQODeG13u7IFWSfk1FFG5pq0MjB7kj1AVqXmhdAUe5hTzHnhca
1lFj/1/rU/GFwao2PyM6smOBWDbob9jOHyajCF+E3Qd7gOCI2JN8OkQxTJChz5v3BlPfFY7H8YXY
Fb6DrZ8X1rL+JsZ8FWb+/zrv1Tn0b3l+sLv/os5bPaVP2X9R6P3XKmz/WOzNP/y9oYq/B7UMMdQ2
4ybxIyhXf4frXqIBM3DGIyujDvut2NPf8W8UegzCugzsOvx1vxV7gHJpsLqzFgdULo3Yf1LsuZSa
P3U4hePQ02U0hSCc7N23HdUCfldvZ4a9xinx0ip5BtK0LaR7H3kF8UBEl8OWJ1hd8+6JjbqwL31k
pd227qcAozyOff/gBdP7uJXbIhQbQ9PW0ZEg0quG9IJBJbyy3Sno9felaW3jWXI9iW00VTviBPPA
W9tJcTBmfL6zkT0/W2bHJKp2dpnsY2ldZCXOQlpbSLQX2zPONrptelSDH2zGwp3TNO4crbibBm/t
SYuQPAS9qQ5f9vOU3I1+uY7SaSsGuVF2f1KFs2dLPRqFfc7s4X1h2VjTsxu6wOsCjWuS0gytmhWv
/z1DdWflePZ9Lf1dhU4u9UCSq8BNF7WodpPH2R+rz6Xx1c4q8E+GovvUVO697lSPkc0toyTZWp7c
05VdM3L8ojVUk9SLNo7wH755f3L2e5U8/X7044s1P0TQCi6Oalrwb91byHDMOtCx9zHfXvnEfaZ0
gPCAXotxvFaVVsNnjJfkiaw11CkdT+bXH+APuggOFMxrGNrQloc++oc83NJ1cjye3hp97FQU4RFb
8QaYkrEAnyPWcWDiQY3llhTpm6ic3ndZaB2Z32tYqilg1eJ5tJpqg+xBLrvYCjcKUt3ayyeIpdWu
JZVrKR1MRjqz6BS68NIWBC9us57FPq5oZTp9ssa6i8A8AW1GgM7Oc61DOVB2BspjZa5NCObE6fbD
dGn1cDvVHM559z5YpXnw4A44UXvIyqC8yvH/H/75QvrvdcP+8k/NM63/N62RzET+uh12evahiT+N
T39cImeV5fd+mPmOecfcu0Jma/3IEndcBktC4lRxWSq//Zvflkj5DtHoLCtRDs1R5Gu/L5HinU5s
NENclIrMpNCG/oOZE8rCn9dIzJEIhi3BAAi9gqtmafCPU6DWCxpHsMnvKrciI9QsY4mXwpoQ6kED
Cb5ipE6u2PaHYi8s2d7hyncgDPa4/ze+61kPJZm9+6yRkjOXjJHwpCF4jaXom6HcYu62HmZb28nr
e/061TTR3FgiYzlTAA7bBYKCyN3Vee7EW5KryuKoa/mwH2sERUL4KNqJL6MMh/ans1Ans1PJ0O5d
g0wUp1XtY4E3HuKe464NIt2Jw3JudUwfq87Sz+OIS8eNi5IRTN1VX6AHFrC9SKZBj2b7ZMVHtdtQ
whnTUQR48la9TemGKdfZ2lOS7lRbpdelGZo7TzgDKp/J2o3hiNvTLl0CREcyemHDyUsfELTLMuFs
eyPuT4UDcZVc1G4B4kZfWxXKk6R18XoGEr8n5Lb3Xe707a2XD4ValHV+a3C0d+ZEQCKBchNzHP4r
L/Sv+qzvLiWmBTJECKz0j2UIsRXxdNdBw+sTrGKkbg2ICDDwFStfs0i3JRaQ2ZZvECsE3NvVjMvE
SHS8ruC4ZhfD1jmbTTq5z7uYqZJHk8wxpn2rNzK68rreZboVeQb+fgZ30wZ3GuHEiVmKi5NWjbkx
JrpCBEabNqRnKDOEHk511248Ul+2qtGDr3pe+GqZFqm7zarWeC+83q2AbpJilkf1i+sOhxbR8Y2Z
wYLJK5jfC0vXdtoAxFxJQlMCKGf9wGrPARzsdzOkdIyqfpUybLpQoFK462CQ88SLhkUp9H5b21n9
1Uo7tctNLQi3YUfE4yrJ9RLJeeHcU6rMvnqVY8QjOdS5SwxtJDmZvo09hGIV1k1y18S0CFqCdRfg
6vDk+VAgdIURVqtdf62HzhXVLr5MqLH3XhYam67MxZWUc+hSxECJxL5rH+xenNf13Wj/b+rObDly
JEuyv9IfMEgBDIAZ8Di+O91JOp07XyCMjCD2fTEAX98HzKmerKquKmmRkZbpx1oiyPDFYFev6lHq
XSNLtvcQfIKdTnUI2sNGlXGyBlBLWUb4meuc/34PkiY7I3+T+UmQiqc8y89NTSppZSVO/MSntT+V
SOp4METJIDT5cXKcwlTTIBb0G3Ra8JRV2B/DQaf3PiGl9473lsBlGdCCFdKhCfyTbjRzNdPnvEGj
AKiRq5cxjvOHeir3pebZDVdhfqEOOP7p0iS2pQulesz7ELZQ1Ce87sm0l0lYvyv6WY4ZKTpsvtOv
su8BjMKDzLceGeVDarAClI0y0rcKANyjLjFaICSk6qOaOgvoJ+UXRxpIDGTUEU+OoL1QGqLfukPd
78wa4vTsw/ZtRnrVclprdxn+tzX1VNkBauwNBVGSEyYfb7ne9G+B2Wr6u8LsEvp2fdNWCUSEKfLv
Q7sOPh09BN0fl4L/1+aKf/jE+/MD739UhoWbtMeKhqfEP34uPnfdZ/OZRn+7Kfq/f/aPR6Nn/fbt
cudv5Cm4JB7+sipS6jdXwfhiesCu9SdqgG39RlxBsLvBz0ye409JFuH9xv/gsSn6fpguf+q/8GDE
cfHXD0bHspEhqevgQYz86Jg8gv/8YCR3UDU88cSexGue7VUmNb0v9PAiWCn3ExA9u2xgzKzOUxP2
IMBUKOeTFDsS9N1Ou0qf/Za20HQwNW28UDGj6rmfCyJpA9oajrlNJBkFVFcNP6K4745mEtvc0rvQ
oGh0LmzWN547H40J9PbaU7F5DTLL3hVdPd8LLuZYPp3uQIUWvwVDRoRPrR9ZGGkoAFXzCyWFPYFK
+2Dl5zHbKd/y7kyCBTRICPY6oFY2hsKPllPQjkyax9u2S7xTYlt0AUQzPckWh1qU2P7PJJek9hfg
wM6i1mhfTr35qOY4prtR1vtlb0fN2Ijfyun0THVQLDYmbu6dmFUhAPJRJgp8q/nMAIVFkMMgheYe
aftVOEywviIHfziZGu9BZ0m4kXVVXgbPqX6YeVbfOal5dnDldb55O5fAIwkuH5hizsMAbJsMBMWI
JBCc/gKH8xZaJWkJR3U7u+EyLMPmqL1kBGUPTpzMnpFXPKFHDXo8pf+hwzOH1pQNgbmxnPhBlMmp
SdkwVx4JnKBwOwqdStowlg01B7jfmAMxI1F+GrYx3dLRGXzQHuIek9mrLnNr9SUVP4Z8ykhi3zTJ
1B5wl5m3I/Wd9drs7HAzeR2MMKAVNIznIx6wtlaHLOyH54H5w1pVxOTz1TgPLUKsdTaVZxxLQWyz
tbtg3aeu4BkvBS6HQqtXDajgBIlOQ1GP0KIkr8g2cPL4Zyx1QzojnaAylYtZAnbZHn548THgIr1X
pcc4aZnJj6Yq3zuMKO++P6s9AaD0mrO8vLSTki9lrDMa6SPzjGKtzqilIesJSYKjHc/cYMLzYI7F
rqlt4+CbOt0HsGkflJGZMWEZpCryqXyi3ZRGQCugP7GI0ttsdMhpZqmgxFLl1nliaTHBzknUC6il
CAKAj1JUQo17pNN5POa6tS7CWnCnoVsNn9iR9Q1jl4OA1yYsQefuQ+eBPgcFZCEwcPYTNHQKnDxd
ajTApPnIJIj9dZrMbb0eRsOt73wzzSi9IwDVbDDvU7yWpsY2hY9WQyHzKsir6Ygub/BjClfqyyBl
/uIAQtMAMXgraohw0bal5QTX+mDDew+5W9rtwF4rEYyMsendc1wgV6axiO+SyPVX3uxkF93N3XkA
kXIZrQFxFbvz9AgCybpx0q5dACBW+TsAzPDepL8KDJiVgOyhMwvuqDLZCFvKOIEyhcapLRj0/NAi
uccaXtwGC18fRmW/7YKx2HaZlW2I8YwH9Y3k7xY6v7dw+j2Cr+doYfeDgx2DVbsQ/b1vuL+/cP5F
EoidKid5tiJaAMzvPoClGaAw6QiIuKN8uFW2FAcENHKtxfRcfdcKuEvDgNXk4oe1tA7Ac1u4UzQR
uITzN/HSThAvPQWsr/luTUt7QRBm+sFbGg2YqfXCs6fnoPIXZP4kt5bqDsbShaDKIWI3GZgHKCTD
TaeM+mJJP7/EuM5eiB3pF3PpVtA23IfVPJbc3Ge6F4jTivuhFe6LFdQAgq1Ks+DR9DXEtMwRh6fD
oS5s+6tIA4+8tq5e3JKmIKMam5d46X/AEUMVBNGdeWtbk9wlS1PEEqHfmUt7xLD0SNSYZAe6SmmX
cFQe7CIITIDTlvaJMi1scpAxqN+lm8LzaamwyDDDbk9wwTW9/1YsbRZ1K/orHIXgwn8MFkFfvcVL
/0W+NGGgG9d3Qrb9HTaA4sekuOU7lsg/WMv7H74HyrVfmjVAmZAAW9o2UuR9mmaXCg7PUJhsl14O
67uiw83S6AYcWH9TDQ59PUuXh7O0elRLv0dC0YfAP7SWVH8Ar+KM56mWB+VH9V0PMvXqGtbwRpbm
EC9S4VO9tIkULewn2djjHtNwgVUB+661ldOcK8p8FwN847AQNdhUhXA57OpcQQlcz0uLSdMvUUOP
239gIpC7yRIPp4/Qsd+aqblx+9i4tcrhkIeY0VQc3o4GNgqO6q01MS7mCTUGbGKabdegulkjIDgK
J7p4WtGlZWc3qd21ACE8vBFR0hce0xgE5bRLsiO32+XfYgHmI6AIoL9pPkymcyDtpUJS1zbQNvqY
9GPTztOmd3AXi1q7u8LPh6tt4PHYolj7h9Gq2IbhPOG2PYJBSa5qXixQed9ezJbnWdXbKfqNqH7U
5K5uxoqXh42d+wSn0uYTWzm3TKI26Iig2lhtMZ0sLbCFQYuUwzgjC4nszRqDn8ucnuXBZzQq+qxz
xEivMA5dCVXMCde1WwZHNjXlenQM+9piZLlxktJ8dPBfeJQJJeN9pAoyNfhDcVq5kUlotxitXd7H
+AGFaXyNQSNvLFE2L3w/qJbxqv5gz4tKFfblz7zLh4MnKogvopo/m8hFUo2KS5BaFFln07wNhzx4
5A3IeU3BIUE3ZgfviQlLYltH8NjYGvF/tDdhO8IhMOfyktmFeYaxkb/pwRy2QwTCA9f5MFQ7LbCy
CNkxwfjozV85nm9SBIbPYJU67GfsRmKp9HS8xRAinb0s4uhY4PO7wlMJsdaMznAomDdMeHCFzPYG
Xb1X7hdxcZuFhoHLMc8Y/zkG1tHRbJlyN6KuE33v095INWyTPQSdHf/KOXGmVeRIDdyOoqnWlvGz
neeANAh1rjGXWvgGqIQdRUE1k5cq+5AHUbyzE0EVTxmjCIDLo8ZFxAczj8WWEpzq2mp9b5Q5fhgG
+xFXR1OO5aYfKTP1TECZHVeLdQsTYd20evyp43H80pX42cZu86FoVpbVAB6WTvby3jdCeejnnnCu
iuN1Udr6rOyFMF2ZwwmQaoN/dSLqC5V3rTMeT63Z2zd27T2JWbPwJbIFwcDwNgF07w3tbhbjJVEF
N3OLXQRn7ZQAM7zvrMDYY9ozmJxzEhSuJQHtsDCV1ML89Oza3vEdDfdFNNu8DX3+BEFZ3sa2F15M
GBL7dh66nZGwAWYBJx9DFTZnu+DRuU4E+VDX6ShYEIMf0oOuhl2ruvDY4Mv5QQXquEUeDy5ghfst
plAYjBxRLA0T964v43RtZIG9DQkXbgJqxOO19gp/FcFBcaknZeEGVNYoAXhrtY0CM9olNH+DWE01
yq1fOiflNQONCaNzyEdpPQadH22bynRve8AfB5f+k306aeula/BrV1hCD6kc9DHOgvKiNJWbq54K
9Aax3Ijf3LjpDrVOwVzZdrcZRRzeOzHVTOAlHdCYCjuTBMG/KWIpto720pvYyr2DCjqW02FVfHlF
6t3K1s2eh7TI97IrzC3oF3GYU8c9+vXk7JA4zGMxVNbGSQOfRw3EyRW3ARsvQDGeW7N7cM12xz0V
h4+aE3YMzasRlBv2JNHdMBnvbO6jlR2WGJEK1GbpNc0mLhlaKqnadSVMcj0u5aNNgCVqNToU/vX4
ONlx5PQP8sHAnpZ3mb5C25dPgJBBsoddwL8AA3YTtMG/MLGLv5Pn/3ZOW2z1v39e4yJsYUj/L2rU
IIqacXQYl52NYbvpBoC6ukFejHfCTcoNuRDjufbF+ITZxX+jKK+6F9EcnrxJ1O9BDBjEQY6DPeyK
cB/1U/U02kDSTddAO1JpvMkb37hQZEVuqfZiQXqTd8Bc+87SNRCI+I3NmGFwqSmwLWNh31eDcrZO
kZ48LzZ+p3Y23NjGWN5DhWwPoE1e+rq1QIhU7jbAGPEm+p7lquWyBa8Ja2GE4UtL4/0dZdCIH1jM
3E0Ogw5/j1If3NTDvSvgy1uJ/iwH99J3KLPcUFYTCFRoOWLaUPZFNrxfGLnpfCZ3qriBexlMc6vx
Q6bSKJLIKs3MsR027k/R1fTDGE7YjRjEuBRuB8MqX2eRZ2IDqSXliI3kcA6Umo5RzW13BTtPPpSQ
G+7bbE4QczgOsEqk4hfom/gn7RsDJDYDulgXCQioKRsNIyJ2xTrL3JbTIE+Yc4yDK4gOtslc1mvh
4cWDtW6Ov4Z2fGujud4VvRvv6ODLdu5YU7QdMjvJyl2qZOYYYdn1BqyMTUdRgwvmkvLzlpKFOb6f
04IndASiCFSsvMQm5o+VPQ7xlS+6fxz9UR9F6eC8MLlhw35tv8j8cxXMtR6folxDee+5L+i1V1Nq
tPYsozxD9Icm9H3lzr6v32K5ifMU5lKeVHTn8kIK0n0JpdGmjqJ7e7nJY23gbPKW+z2JUm76ZuLj
FF3u/9rwOoCVzATpMh3QNxXf9dkg6HoIDe++TbQFhsBvn2jcK0903zFrIJHyBjXLCGJ/TyP9Mpjk
y4hC5RXTSrAMLrqJeFjjtabeYvLrrd3XxpbOo3blf4883vf4Y6mmqCBtqBHrgLRuxsZF4XSqhDc8
5YOLgJ5QI2mpz6owYWnBSVyJYuguDhuo/eThXeUQY96aSc0T3weYalRXAyrqoTJ4wWyjKq8IlM66
pNdiTXZgpDSXq/CNAgFxGogTr5wmAGTTJ321jjyuYZg7MPhH4IpekZ3ddY+p9+J7Wr3UvAfTylxG
xnQZHtPvOTJNmpR+hg6lgCHTIYKw1t+Tp/yeQv1lIK3QEff1MqT2y7iKYoqYzgRbLaMstl/e9mW8
5ZdcBl1G3mYZfgE6Dxe5DMS4a9XeNULvvXDq97FN0h9yGaD7ZZSel6G6WMZr73vSnpehO1rGb38Z
xKfvmTxbxvN8GdTR88WpW4b3cRnju++JHstIsC6WMX9eBv6EQzoPcEV1WDTJ7n8rA0sE9rlf5AJ3
EQ6IQvubP2l1/8nC1fnbrbnl0KrgLAQXk9wTTum/PlBbMDIMCbWxnzrPoag0PnYi8LbuRIqDhkYS
+T7OS9PpCHqyIhJrN+7h0pKtem/x5BTrBibWz2no9U2eOdPJ8Kz24qHmvXExKF9srzr3EJ9xXPkz
XQq2vtIIFVOyY1Qp7+nS+T2pKT2YHUPnKugSXFeSeMxN67EB2XYTv5Xti4GbFS3unw1WHLKVpHXY
aSwHGfEHzrTk+3ybv8865/vci5Yj0F8Ow3/+gv0dX+KPJxCXaQg6AhLGYjn/0xPIb9pwcrAD76ll
fJzf7Lf603irr/qufcC/XNwb2d0//4nO8hb8eSfOT7RMsDALG4ajUv3NT9QILLns4mA/SC/4QR0W
vq4GLshdOsazWHOTrk7NVCOSA9yNflju3G1BYqZfrIFGezVNcbArEo0/XChu1Ns5sHmGi7LCB0R2
ynjFlSyfJHkuQIRFCdwzdcDab1mPNIexLuszFtz0RsJdO3KT4XxCTlnhJ7v24wzOi+snYkNODsix
6DeA/3nySnf+oB0uOLbgB49DTTVxN2XGcx5jYu5pIScBMoQnkfXWfBq4ED9GvpxR7+Mk3WR61Buw
Js2LE9rL+ZWL7PX7Rf1vk/T/f1xi/x/F/Z9usW+iTwp7/oFW/x9rbE/9BreEwmnl+x676qVl44/o
pLfEOuCLOBAAYMAgk/9liU0SxIPASFcrZGB8ntzM/uLzsX4jxy/w+Shcbi71G/8VrV79HRsBNpNn
w8sh8Q6DWH4XZv/pG2jmJuxPY6KFw3KQrTMEcRg+PqWg27Z3e/jXbiBf+Zqa2aZtJF1dVZuC8wmn
JrQ2bSuwvwRVPTxqkOH2Srmdu6O7KL/1xr7bWTrqrgST6BOySvbHbj5jw4Ojfoj6siA6LvMNrmh9
0H4v9e2EMjmeJVV9pyosi/je7fuQYhoqZWPm3URFp0apFr4/baxXvOXutJrzaZrWrlpKHcbaLPx9
qRiZ6KKLoWX1IdrHyksS72D6hTtQ3R0k16F360PNWJRurLF4c4ty9GGxWP1P/nF8Yz0wdASt7f5J
tZKQlTCCLFigvcFeuxWEDVZzulxpQiY7rF0DYW27VuUunmFzbFoahu/izmJ3kUbo9JtQVbN5w03N
TlFMqQdf0W0fqEOyZFkPzsw8uA0aOFBrX2pJEVxUGB8lbBi8lNkUn8ugTD5r1IUzCRzHXDVlqeLT
KJQ5b7xswr2c2wpmZto0LZ1VxObeQl327xlVIFx4+q78JWbD/oocRS6Cq3N1DiBK3o4aKzKNCX5b
r/oWTvLKhf5+sAyhL8ZsEMdk/f67nUdUk6RJFGZb/PvGW1s7UMSDWrbl3gFeeyENguIinDDD5tOi
5xFGG7Kn0s4G7hswa5s1K4iqXJMetL5kRX0nqwQre8e5bAe73sAnT1vdDIcZIyQSQsViAGdlitex
D0AEW6CYd1ZVDBvRtPWlmowKnjkKFnWW9TVKPPOuZhFtrJI5yTVsf9fbpm5efZptN4JfTOye6MEk
1hzTRDBZxG+lQ8TSHyv6sWKmmtU8EbLsnLrcla417aIwHV/VFEy3ZljgskCBfxmrMn51/ITtkT1j
dvVMz6MJr5sfrXIcL9iKW1Y4BENSyjDvEzq2tgTtwedChrntaZnY9fxdrMOAGUD/AvHZdh6CWGEi
4/Ar6bkRcIvj+dZAEGM53QQ3ltWVB5FH/q6wZbHH0J2/NJaDSc6zn6XNEohcNP5iHz7HcOImwSef
jdW0arROr/4AOjpewqS6N71N7MXtCesCxShIe8/0hGGf7/vxxu4INkZqHtY1wdVpJSfaXq3c4fWn
Viu8wFSZH2wxeJupQP3is27vK0ELzCbi8vblUQ38QCGb2CS9az3OoZ5fFgrlIVPUvu50UivsHGNV
vFA3J16hatKqUnbkgiOo1spyj1R89Qcn5e9OTKbKdZt28sJSvH6vRd4+FLljfeJ9pie1Fsp/FDFK
VBGBO14nOSMO/IgpS1djYidbbU9Iw2wfP/WcdLSEGq3zLESNZjBk6abRQ45PMFH3mH3lR8KVfhvl
bkDICQvG1fZUcJiq2DpyB85+qjZAr6JAU1SrznCn+0TRDLJiBKm+aGq3XpYPwpM9q/krUlpXG0+b
2fOMtvAw5eNFlbExkOnp8mbNJkPz7zTI7tIGbb2DXYiMfe+MBSWOWRbc2bbqbybOiGvA2uZXTmUO
u8lhnF5Tv6DoveVoPtgyhWBJXNn+SpsS4zZJL7I9bSrkEy4ZS2DywZYBsizkbhgWnxKI6S/BMIvb
wauyixnLQbAeWBh1sIrPzO2dtQ7neN6NVedvHPzuKwdb+hZKISwJyWeg4UK0Yw4g7+AETnODmltX
myZj5NkUVk8Zz+S5NVps1C+31YzATMqXpJKuQ6ypE+01FFm9j8uRsPAQ9+1jgma8ldKuWdySJaCu
M7iGmeO8o5mlN4U5Bx+Gbh8JCIywqXssCpU5JQ9Y79P8UOo0hvDEeL0iY9sfubUKhGpjEkfLmuyz
TL3uNqvhqdNe5Ef3qTv6d5jCmMCS2eh5ITJnftCSOoyDAGD+GJhx9hQNofshEqwbwxCqE6tW8wE5
Td/EXCTBu7KXitM+pyG8j6ptmo7+fV5MExAKIiAMUUbDl2ygkRcuQGxsmVklrOG4jt21lnDw+SqI
Z0nd6ENYJ1zWukHeTAQ4Pse29j8NZDYg0Ca/s7bt5idFGIpsUiyeBovOlNkp1BasrEdurKl+D4NQ
f/pVwmU9tF0SYKnBNms1D7o5SLrZDHYzC0rZKr4CcCyU9nHbIMzY2bhu2LxuhEvHEiuu8pxoqqnL
enlFJyo2Vgok5K4D7XqMuPU/GMox5LoxvbzaxWPK89arfLZ/EcfLqrbcnM4uPWj2uRkCQZRTwhd1
E8jvwc37eyvtGaNLz0kxreeK/VrsJIgS8fTQEKTjyQ7l6qEoVe6vW+Z04IHgA9YpIum5GLDN8/mX
6R05Q8BIUV7eRDSQZmw1EvFT5STSgV712lwHth2fCAhpfyfEYD5LlcUvPLNJYjdxBWZW+eXAjGm4
pyzz4PniD3z2I1ylTPCENDz47wUY5944ZXEwm8d4aIsnu6iXurCuTSAyGaZziorJfi0rU44wAptj
3EpJs2BblDfDck/v6G28jqYnbhw/Snc0jlHL5IVEOGiXucxFywvic+gurbzdq+vX5VfkDfOrqUmy
Z11NF8fsZRt24cXVh9xFI73NFEF/oXztRBP1q06Ttlu5oeMGLL4q1OAoiu+yoE5fS9+SBH54zfYB
iku9qls/O/tT7737M/zqMZZvpgPLeJLpuBGGw8c5dAh+NpXzZIDTPUZ0jRJ5xxzBQla16pn9V19s
q8ynFt1Ns/ciNPWL4OiE6iOa6uRHlr+F62mC4pvFSI9DFt3IuOyP00SfOGKO3AeBsYt7G+UKY1OM
jKGHj0kAqwaJ4Mh1Zqv03ZsWNnfU296hCUwi/1Mf0bVpmcOvwG3J3o/JuuFitDWrpdLZbj/p3fAO
oPxTEi6pe7I674kAcrPX/vBoqaF6bbCJ7Qenwf+mBo8TKxlccz8aLcz3Mguzx5iPyWs9mkSy2Pke
YvrG8i0B2PgqZn8Yb3rDhbNX9lUXbgHgOG9+200/KsXeAYtgzF5KZz6nepIHbX+Y6bKKKL/gomNC
pmjXvM1QOmH+tRzbVfYe11LzIvoDA7rg8bkPEmERfenTC9gevql+OYGhngzjIsv4iQiPuoSxg7ne
TJQBj4x+697RBPSSkm1zZZbGr8qFg4RTzT4kGZGUhPjPLjQjZ035r/2knWOweMmoWV1VwJNv29xE
FDG1s9V5w5qEGqCVKqL8mFtmsaayILy0XlfBq7DuVB5bdzhSA6Bfpn4I6jI+g3qydpgRjGgNdXKa
KdMTkbtWtVabISjFrs/95M5i/XIO66WsiPpzNz/kadjdNjOXxVXDOPPiDi51ZnNXRhCupsIgfMkF
8YUYtfQ29uiELzVnHU+wyb1Wis3VZmGk2zurLjJYBobnG1CbfT6dzezf6WmKLqHqDFDO4TTRljyN
8w3Lh/qtlZZ89jB/0lKrAowUxSBfWlm6Dxx2bG1y2v7e+QKbO3vSBVdog+YuvjMF3pwxvK1St+FE
7UqxQWvx6FE2oi9fDvR8RDpUqNvcN4+FzqnEymaME2tcM615qHJcnnYLivVAwbVdcGpOlrHpWzbv
K5CRFAzMrG8cekhDggl9q+It3gFXrGnENT4Nw2kfizCY7XXHnX1T5UV+P6usfy+VnCqyjFNx23uK
hbknieomBlecyRnMe6+V2XuLitFtIwdj8X1bRKa96us6czdu5JjOyqcdZNxYw4jJ2Cwiti5jxZ6T
b4SfH4JB+K+B6hl0BhXg1kkJOqG5IbeXRBwdYwmGTbTSy9l6bVvU7n0nTe/kTyi+rJzC+Lk0vHyC
Ut5M9OUmpfPVYr4s9xUK87QLzA5kC36csNuwM2yj+852GDmyrHQSREtr5qGX+XDAvenKd0avXDun
FbuLZu4anP6nLhoOTZ8Xp5HYwyvHknuVJY+DOAn8UzFM3eNIyBgNP5tf9RwqgyrBeCQaiaV33VDz
h9uilrP8A9Hz36Z+/E81NJIv8U3YZ0I4S97I/Wb//mNr4+bzZ/P5nYxaWBjNvx0+h19Z/G//e4lK
/aPQ1H/6I/5wQCobWAbYbbRD1+VT86dW0yU/ZRGDop5pyQb8qdVUkJ/C/cjxYJv82guy+z90FRNH
JShnQlkgnfkr/0tAKstePI5/1hn/CFCZPDKkQ5bzb7t26yDRSSgBpAb6uZ/KW//J2oU7RGwYPoQS
vSUZhP/laj8XPHRpKEue2zrexflrMHbQ3ujVHhxckfmHT8NcGhEnxLNm7Nis7gd6EoM2P0bej2l0
IIuGEGni115/cJ3dGhPbfHN+tOE9aTFRINLsbHrlvK9mXGcHbHuDuAt/Uk0CWQA0droq9G3Z9OtA
fuWFXKcNvTvcIC15dBMMHz61AUNebKBbrbNo2ueSpiX6RrFHJBTx7U2ZNLvE6kIel9ndGH0U/oz0
qX8guDy3nfmQ1zNbglDRRGlP1bZFP3GK37vsXnoDueqBQnQLO5EdaozxbE5I4yhxsZLkMczmI7fh
nTmJw3JjoQsnW8v8bI+4uduqum97Lrc1pY49ATOZmBcMWzBNk4RtZvnLZbZeF7XzbuLF5G3aAuTe
lj7zU6B3TpvuJmdaN924SWRD/WR7a8fdpZM2MX7791TJy1jyu/KMcQHxCvzeE0fcvBM5lSaEL1Bx
aLyLJE50yZp9FUbxJcyrnrx2ixLgxXf10oc+/gsqrvV3qvkfsSrTVBbpQcWe4a9Vc1yx7RiX7BTG
OX9uOjbxjtNe6Mw8RNySXIFvP1PypkuLfVbds+3Yu5Zzoq+731BnQE1LOyDaBf5RxhmOc5Mbmt41
SRqgttgXCvDwlruPtuOylkvaTc3lui5OZu/sm6o4oY5YXO+KqcLZOD+4WXTwFIZ3y7/reAurKf5y
Gvfqpu9U+sKQddcQYnZhkpKqiNaYWliZLymJ9uz5akP51yZsjAMK2aVxm91gO5fJ9M/SwaQ09St/
xMAVdU8J/RR8JDG33zjWB6WPzHL9Dcf5nVmi8xllWK+UGiOqUSjngQoJbvfsFbeqxq0CBsbNvR95
Nx2yzDyEeomgG+TF0n4+z2C2PC/4nCp3VxYsU/gLaYqJGS6sCROP80ptOl1fT6JpbpvAOVC38lSM
H3PijqdKTBi+Cku914HNGpy4B5fpbVRZuP35iGjp7BhC4RQ2P82R33HIp/sQqgGlKyWDf2f3p1rX
zMrzxz/fdIhlk/FXJxCnM9wHGxVKmKyllvjSn5TduTS9FCNZsJVl+is0+teAly9orI+6idbz0LBN
ba51kN5Rt34fts0x0eNdHFPGk7b1jqUmbkE/2SRtRYmXfx+JnLOru7aeD4Ch4+IKK7hyi3/x6Ub7
/pvfmzQsznEKolweMBaew7/+vVvKz6rBSoJtrRrFpEFYGiDQjPYz9mgvTYZWmEWsQDgXK7w61P1i
kLL6T8HEXBX7OqK1UxmzS+Qd33kFaeREgSXRoJhUEpVGQkLDiYdHDta9nY2XOOkfK8N6nrEXE5n8
GbrjY+7A0bK9blNGtHjgA+AHy67cjoDbaS8SX2bPPBZ2ncE+B9NlMldY1Sp9jYbhgph1qmRAPbEs
biME5x0IwQ+qdawV+8EnaWX3AxIE68/qq6A/fuva1ZPujC8/srO1F8svdq+PrUzeaNLZN0PL+t76
qjLmMFJTfsFvENbHhjlt9nwuSO4L0vQes6S/Us0PHRkQmjz2xHoLc4mhDVJNBHvUfS0qsdL4PRzk
ndztbnHXXNqOp0dlMkB49D5Z9L5Hff+aNN0zqhfnuPM2p/VzGI/3PZ6szdBjOTQ6cMhUiYbmwa2L
R6pUDyYDD/3Tvwdm9UjZw00v7I3E9NEkLrkc7xIW5pHk/UU7WMMy7zG3BOJuLjfsMrc+rvk4dKkC
NXe89WfTIrY5aJ4y8Ss+scOgMOQq6oeRY8tzF8xbGDW7Dhk5U4g87VsyPy45X3q1NlF/8qv0mBTB
a8NLuJ8UpVVEsnY1zh8vnbcRsj2WN+g+Ed3G6Iy0Qm3qJnmvc0hSfpsUBwqRv7FtNbEA1b0muXoo
oTMA0a5pd9UavXHAN5sQi6POwRBfsZczbvmvDr0agVH+JJS6qwgsLJnTc8HXkJ608tLVlM/O7i4p
iQZpeU3D5OSISW9wdaxqrOf4riz+fLfxy36He2EThG3Bk+kNDvjBHsdD3kckW4sY5avLn+2oeAtb
9zw29ktGLd3KlW/uXD+N0PS2fKqPdaC+ZmGfgj6SW43DCMt6SH26xO/RTdOGUFu2dZ35zG58Vcvy
HqNMs1eN+elQo7UVurmW9vSZ1iSe8PC+mRlQBaiw5Tr2p0vjdM/D7N0MCm+qbcZbIz2m+IQJjFAQ
bI1rESVPVivfetGfzHH8kY9sf4wCS3VmHwyNimKalxyiCbbklxycgdekLGP9q+yN2zB9xxWBeNSv
/SC6a4f4wc7xt/Bpd1Bf5xgoPq/YOPpc+228DvG+7HD5WPUVQPKQel/+bH6MsDBIcO2s3v89cWiC
yhW7K9e9Bv6vnLlb+VvHuGu8u8q6c+37or+S4Lo09Gb1NqOOfR0msSLZ8QyBGF0fSQBbIhnM1YAd
WyS/0hj4jP535s6lOW0kiONfxbWHPS0qSehZW5uqFXb8SJw4NrVxTi4ZCAgkZAvJPD59fiMhwhiw
vR4O6GbArZlWT6uf/ybbMLl1/fbUHgTRDNCU+CcNoMeG+aPo37h9Ks68LPCsbwTFgcCaXqeFibg0
Lof6NTngh2Cw+KyTcXLnVgAQ0FlEixcFzbaVnIwAlPGZCfngfDWmHd9+aCVu8zYvPGL0nOuReev5
V8ls2nLjb3qfVBe68vvjnTlqFTTm9aP7KY0kSfFzNkzpKfTvZ81m/NF/mtw3HpyzKOuf4Qt3n6Y4
SIU/wOcDJH1OnWRg+1Pc88cg91PvfDigOYXKsAlwj8l/0RxkoJk5t7qNzDQCj0rHFPzkj1NAKexs
3B70H93jxdBo+6PGj3Q+/56OFu3FbHi1uMtdyuWBumqOm9Z5Px/FJ+PYA1TcGRfHT9NxJy0Wp97C
PQO3MHAoTmzpFM5iV81uGhaDvzLmRk/xY5k4EeYEFAojI6J+BwROTuLJce+Tp6cLeh963rxo+2MQ
xR6H5tlwCNZJSrA3INoKRL8r6jAaAK4/5W3mE2PaJScY6p8Bzfg50uPW0Djt586FRSbPSLNL+gTR
vpQWP9p0xeanVGaaxxaB54+ZNaf8hkqnY6r0GXNtZ43WxPJzsj6NefDXYHFnxgwk808ebP9qZA71
AAuMiE5ymy2IAiYpsdH+5O66OTAu4E10Qq5BTCCjHT11GSzojosi0BlLFlCycLOvlL1CMn7pMm+d
truaOyu+vUqjcd5ON0byvulHdWvadkLS+F4EZpxnDAPuR+lYajUXNrXkq5ZLKkcHv0QhDvMoL7rA
JZumRlCGUVHC7gL+qL/83PVLHA6LFL1eXhUs5Bprdm3+5X1tDjTepCOtPOwmzOCj9TaLOrm0d5xc
1vyW3T+j8Xv3hq5RP+MxIvLZ7h3NIsDtUANV7Z4KKW50SLsvQTet51DYOx7/TgbQMulgumJiLzdK
D+S6FLgaDZAU9thMMBDXwUmBiJ288QzsZoKjlUUjwMSsnvY6ExhGDUw7CKRLJhAjOSxhoNatElBi
cP1eutIom3pgNw9sjWIunrPdrHggC4LH1wIhHOjWQ9u8QHg3m8r7NxlGbjJVhPRvecn7dw0N0EHd
4TQc6EEwHKqMVdUhY9ypKjR5G2xlgqMZCAkiInBJuKqDd0hakZ7PSkUpnAQfuGEG71kc83Ut4GhN
S6fx3fIq3hycKrQM3liqEuBrFoE1MVZylwTonk+isBIAgUpzWKrQJNii/D7QNZuKNeoZl4ed8Pqa
JHiWZtESZ4FhXfHo8JhA04AqE5qkH9gmeECo1rXdu7ZGnoTBPWLSp7gqIIgDUgIgjDvVI3m/EmBe
qs5UOJ2go7x7D8PQFfBLla49oG2zXCpg0c2qKsDV0HACWerZ1n2my4K6AdjwoT548l6VNL7/wZsC
h170UfDsy0u2AzxUA/VceEyH+gpsChtFUQRMLF6RjeSMS9IvSsBdiqbBK6uu/6H53nBSVm5zaxDF
3dKrjnqT0oit3MZXf1D7npsElj7leZeOQJxm6YcCL7Mi3VvhZ36QLOXS81v7svYEy/ss/325wc1b
S/eqd1V/eBb1sjDrDBg0gEs+Xy6zGmVETnlArvkqC7u9yUDyfW0xq+f3gv75Q1ru2uN/kf5kEiY1
GcEZE6TO+u+tIKIrZ/slskFEP0FNRpCt3BPV1Z6F2Twch+uESVcLc0+ZcpSEHXD8tnIavEecbNVb
XIRJUhz9GSYPfx99CmmpjiQOYVKLo6Z6l09hNiYsNZKZVDkGyrSR0/gZ4TIAo0r4lZnnqxP5Phm/
DLuD+fYzBN7hHqT9azdiZHv97MpTVJmgqny5KroMRexl2Vwi7jQFPqo68fEwvK/plKuubEZVwtfh
MJzkNBNJtKsgjSrtm2g0iiSFRVJYGGKqhNthEsVHX8JuUdMq1VZlR6oSL7HQtqmWZmWuqNL/3pvk
R0GPOVaxtPrKDlClfhmizFFYeSbJ+NLXVKV+WgyhLoV1V+EcZdq7BgEqahTeyqs6ry9RJ72nCOx8
IoYiTdb5L8Y7GiI0qbqPf6nc3v16YmAgfbpYvaq3uYwWaSabA5AGPELEfFWJtylPL2QJWhLfw+nd
XpFXL1qc5PJeVNHVn73ftnll/pWiaF2Kiu9Ctgyq4Vp7YNNrWMWKaz/uxYOoZvCS6VQ2igyFqvTs
rKvkuYpb7OF92BLtrxH1nLKZXdHfg9ww6jDM82iycYdlf+4enm/5nnkZc1PxEb/aJ6xIv91Di/af
2/i/wxqqcvQ57MKfWh6FjCI7VNCS2QCdW5TS0ptWf/1+HbFdH72nQvhFfm7zN1cpyk0vtE68bvs3
2cUWv+jEvTD78AsAAP//</cx:binary>
              </cx:geoCache>
            </cx:geography>
          </cx:layoutPr>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3.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6.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hyperlink" Target="mailto:nehagupta87977@gmail.com" TargetMode="External"/><Relationship Id="rId5" Type="http://schemas.microsoft.com/office/2014/relationships/chartEx" Target="../charts/chartEx4.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7</xdr:col>
      <xdr:colOff>129540</xdr:colOff>
      <xdr:row>275</xdr:row>
      <xdr:rowOff>137160</xdr:rowOff>
    </xdr:from>
    <xdr:to>
      <xdr:col>8</xdr:col>
      <xdr:colOff>344593</xdr:colOff>
      <xdr:row>289</xdr:row>
      <xdr:rowOff>43815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73040" y="50512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472440</xdr:colOff>
      <xdr:row>296</xdr:row>
      <xdr:rowOff>121920</xdr:rowOff>
    </xdr:from>
    <xdr:to>
      <xdr:col>7</xdr:col>
      <xdr:colOff>1478280</xdr:colOff>
      <xdr:row>304</xdr:row>
      <xdr:rowOff>30480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533900" y="54338220"/>
              <a:ext cx="2804160" cy="13716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xdr:from>
      <xdr:col>8</xdr:col>
      <xdr:colOff>83820</xdr:colOff>
      <xdr:row>35</xdr:row>
      <xdr:rowOff>140970</xdr:rowOff>
    </xdr:from>
    <xdr:to>
      <xdr:col>14</xdr:col>
      <xdr:colOff>609600</xdr:colOff>
      <xdr:row>50</xdr:row>
      <xdr:rowOff>140970</xdr:rowOff>
    </xdr:to>
    <xdr:graphicFrame macro="">
      <xdr:nvGraphicFramePr>
        <xdr:cNvPr id="8" name="Chart 7">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533400</xdr:colOff>
      <xdr:row>51</xdr:row>
      <xdr:rowOff>171450</xdr:rowOff>
    </xdr:from>
    <xdr:to>
      <xdr:col>16</xdr:col>
      <xdr:colOff>190500</xdr:colOff>
      <xdr:row>66</xdr:row>
      <xdr:rowOff>171450</xdr:rowOff>
    </xdr:to>
    <xdr:graphicFrame macro="">
      <xdr:nvGraphicFramePr>
        <xdr:cNvPr id="9" name="Chart 8">
          <a:extLst>
            <a:ext uri="{FF2B5EF4-FFF2-40B4-BE49-F238E27FC236}">
              <a16:creationId xmlns:a16="http://schemas.microsoft.com/office/drawing/2014/main" id="{00000000-0008-0000-05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838200</xdr:colOff>
      <xdr:row>95</xdr:row>
      <xdr:rowOff>118110</xdr:rowOff>
    </xdr:from>
    <xdr:to>
      <xdr:col>11</xdr:col>
      <xdr:colOff>495300</xdr:colOff>
      <xdr:row>110</xdr:row>
      <xdr:rowOff>118110</xdr:rowOff>
    </xdr:to>
    <xdr:graphicFrame macro="">
      <xdr:nvGraphicFramePr>
        <xdr:cNvPr id="11" name="Chart 10">
          <a:extLst>
            <a:ext uri="{FF2B5EF4-FFF2-40B4-BE49-F238E27FC236}">
              <a16:creationId xmlns:a16="http://schemas.microsoft.com/office/drawing/2014/main" id="{00000000-0008-0000-05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325</xdr:row>
      <xdr:rowOff>0</xdr:rowOff>
    </xdr:from>
    <xdr:to>
      <xdr:col>6</xdr:col>
      <xdr:colOff>266700</xdr:colOff>
      <xdr:row>340</xdr:row>
      <xdr:rowOff>0</xdr:rowOff>
    </xdr:to>
    <xdr:graphicFrame macro="">
      <xdr:nvGraphicFramePr>
        <xdr:cNvPr id="12" name="Chart 11">
          <a:extLst>
            <a:ext uri="{FF2B5EF4-FFF2-40B4-BE49-F238E27FC236}">
              <a16:creationId xmlns:a16="http://schemas.microsoft.com/office/drawing/2014/main" id="{00000000-0008-0000-05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327660</xdr:colOff>
      <xdr:row>381</xdr:row>
      <xdr:rowOff>171450</xdr:rowOff>
    </xdr:from>
    <xdr:to>
      <xdr:col>10</xdr:col>
      <xdr:colOff>160020</xdr:colOff>
      <xdr:row>396</xdr:row>
      <xdr:rowOff>171450</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00000000-0008-0000-0500-00000F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505200" y="69932550"/>
              <a:ext cx="707136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643465</xdr:colOff>
      <xdr:row>0</xdr:row>
      <xdr:rowOff>0</xdr:rowOff>
    </xdr:from>
    <xdr:to>
      <xdr:col>21</xdr:col>
      <xdr:colOff>863599</xdr:colOff>
      <xdr:row>21</xdr:row>
      <xdr:rowOff>55033</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4915725" y="0"/>
              <a:ext cx="6262794" cy="397933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245534</xdr:colOff>
      <xdr:row>162</xdr:row>
      <xdr:rowOff>105833</xdr:rowOff>
    </xdr:from>
    <xdr:to>
      <xdr:col>9</xdr:col>
      <xdr:colOff>643467</xdr:colOff>
      <xdr:row>177</xdr:row>
      <xdr:rowOff>55033</xdr:rowOff>
    </xdr:to>
    <xdr:graphicFrame macro="">
      <xdr:nvGraphicFramePr>
        <xdr:cNvPr id="6" name="Chart 5">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1286933</xdr:colOff>
      <xdr:row>409</xdr:row>
      <xdr:rowOff>50800</xdr:rowOff>
    </xdr:from>
    <xdr:to>
      <xdr:col>14</xdr:col>
      <xdr:colOff>25400</xdr:colOff>
      <xdr:row>424</xdr:row>
      <xdr:rowOff>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796A426E-1CD0-A86E-EB19-99C466E314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089813" y="74932540"/>
              <a:ext cx="4560147" cy="2692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0</xdr:colOff>
      <xdr:row>462</xdr:row>
      <xdr:rowOff>0</xdr:rowOff>
    </xdr:from>
    <xdr:to>
      <xdr:col>8</xdr:col>
      <xdr:colOff>1151466</xdr:colOff>
      <xdr:row>476</xdr:row>
      <xdr:rowOff>135467</xdr:rowOff>
    </xdr:to>
    <xdr:graphicFrame macro="">
      <xdr:nvGraphicFramePr>
        <xdr:cNvPr id="7" name="Chart 6">
          <a:extLst>
            <a:ext uri="{FF2B5EF4-FFF2-40B4-BE49-F238E27FC236}">
              <a16:creationId xmlns:a16="http://schemas.microsoft.com/office/drawing/2014/main" id="{D87379F1-DE0F-4E96-959C-703D3FBDA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558801</xdr:colOff>
      <xdr:row>13</xdr:row>
      <xdr:rowOff>78619</xdr:rowOff>
    </xdr:from>
    <xdr:to>
      <xdr:col>11</xdr:col>
      <xdr:colOff>293915</xdr:colOff>
      <xdr:row>26</xdr:row>
      <xdr:rowOff>152400</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470505</xdr:colOff>
      <xdr:row>13</xdr:row>
      <xdr:rowOff>122162</xdr:rowOff>
    </xdr:from>
    <xdr:to>
      <xdr:col>19</xdr:col>
      <xdr:colOff>47171</xdr:colOff>
      <xdr:row>26</xdr:row>
      <xdr:rowOff>147562</xdr:rowOff>
    </xdr:to>
    <xdr:graphicFrame macro="">
      <xdr:nvGraphicFramePr>
        <xdr:cNvPr id="4" name="Chart 3">
          <a:extLst>
            <a:ext uri="{FF2B5EF4-FFF2-40B4-BE49-F238E27FC236}">
              <a16:creationId xmlns:a16="http://schemas.microsoft.com/office/drawing/2014/main" id="{00000000-0008-0000-0A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245533</xdr:colOff>
      <xdr:row>28</xdr:row>
      <xdr:rowOff>25398</xdr:rowOff>
    </xdr:from>
    <xdr:to>
      <xdr:col>8</xdr:col>
      <xdr:colOff>187325</xdr:colOff>
      <xdr:row>44</xdr:row>
      <xdr:rowOff>67733</xdr:rowOff>
    </xdr:to>
    <xdr:graphicFrame macro="">
      <xdr:nvGraphicFramePr>
        <xdr:cNvPr id="5" name="Chart 4">
          <a:extLst>
            <a:ext uri="{FF2B5EF4-FFF2-40B4-BE49-F238E27FC236}">
              <a16:creationId xmlns:a16="http://schemas.microsoft.com/office/drawing/2014/main" id="{00000000-0008-0000-0A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361269</xdr:colOff>
      <xdr:row>28</xdr:row>
      <xdr:rowOff>16932</xdr:rowOff>
    </xdr:from>
    <xdr:to>
      <xdr:col>19</xdr:col>
      <xdr:colOff>65315</xdr:colOff>
      <xdr:row>44</xdr:row>
      <xdr:rowOff>76200</xdr:rowOff>
    </xdr:to>
    <xdr:graphicFrame macro="">
      <xdr:nvGraphicFramePr>
        <xdr:cNvPr id="6" name="Chart 5">
          <a:extLst>
            <a:ext uri="{FF2B5EF4-FFF2-40B4-BE49-F238E27FC236}">
              <a16:creationId xmlns:a16="http://schemas.microsoft.com/office/drawing/2014/main" id="{00000000-0008-0000-0A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217714</xdr:colOff>
      <xdr:row>2</xdr:row>
      <xdr:rowOff>141515</xdr:rowOff>
    </xdr:from>
    <xdr:to>
      <xdr:col>27</xdr:col>
      <xdr:colOff>370114</xdr:colOff>
      <xdr:row>6</xdr:row>
      <xdr:rowOff>137884</xdr:rowOff>
    </xdr:to>
    <xdr:sp macro="" textlink="">
      <xdr:nvSpPr>
        <xdr:cNvPr id="2" name="Rectangle 1">
          <a:extLst>
            <a:ext uri="{FF2B5EF4-FFF2-40B4-BE49-F238E27FC236}">
              <a16:creationId xmlns:a16="http://schemas.microsoft.com/office/drawing/2014/main" id="{00000000-0008-0000-0A00-000002000000}"/>
            </a:ext>
          </a:extLst>
        </xdr:cNvPr>
        <xdr:cNvSpPr/>
      </xdr:nvSpPr>
      <xdr:spPr>
        <a:xfrm>
          <a:off x="217714" y="511629"/>
          <a:ext cx="17090571" cy="736598"/>
        </a:xfrm>
        <a:prstGeom prst="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2">
                  <a:lumMod val="75000"/>
                </a:schemeClr>
              </a:solidFill>
              <a:latin typeface="+mn-lt"/>
              <a:ea typeface="+mn-ea"/>
              <a:cs typeface="+mn-cs"/>
            </a:rPr>
            <a:t>SALES</a:t>
          </a:r>
          <a:r>
            <a:rPr lang="en-IN" sz="2800"/>
            <a:t> </a:t>
          </a:r>
          <a:r>
            <a:rPr lang="en-IN" sz="2800" b="1">
              <a:solidFill>
                <a:schemeClr val="tx2">
                  <a:lumMod val="75000"/>
                </a:schemeClr>
              </a:solidFill>
              <a:latin typeface="+mn-lt"/>
              <a:ea typeface="+mn-ea"/>
              <a:cs typeface="+mn-cs"/>
            </a:rPr>
            <a:t>&amp;</a:t>
          </a:r>
          <a:r>
            <a:rPr lang="en-IN" sz="2800"/>
            <a:t> </a:t>
          </a:r>
          <a:r>
            <a:rPr lang="en-IN" sz="2800" b="1">
              <a:solidFill>
                <a:schemeClr val="tx2">
                  <a:lumMod val="75000"/>
                </a:schemeClr>
              </a:solidFill>
              <a:latin typeface="+mn-lt"/>
              <a:ea typeface="+mn-ea"/>
              <a:cs typeface="+mn-cs"/>
            </a:rPr>
            <a:t>PROFIT</a:t>
          </a:r>
          <a:r>
            <a:rPr lang="en-IN" sz="2800"/>
            <a:t> </a:t>
          </a:r>
          <a:r>
            <a:rPr lang="en-IN" sz="2800" b="1">
              <a:solidFill>
                <a:schemeClr val="tx2">
                  <a:lumMod val="75000"/>
                </a:schemeClr>
              </a:solidFill>
              <a:latin typeface="+mn-lt"/>
              <a:ea typeface="+mn-ea"/>
              <a:cs typeface="+mn-cs"/>
            </a:rPr>
            <a:t>ANALYTICS</a:t>
          </a:r>
          <a:r>
            <a:rPr lang="en-IN" sz="2800"/>
            <a:t> </a:t>
          </a:r>
          <a:r>
            <a:rPr lang="en-IN" sz="2800" b="1">
              <a:solidFill>
                <a:schemeClr val="tx2">
                  <a:lumMod val="75000"/>
                </a:schemeClr>
              </a:solidFill>
              <a:latin typeface="+mn-lt"/>
              <a:ea typeface="+mn-ea"/>
              <a:cs typeface="+mn-cs"/>
            </a:rPr>
            <a:t>DASHBOARD</a:t>
          </a:r>
        </a:p>
      </xdr:txBody>
    </xdr:sp>
    <xdr:clientData/>
  </xdr:twoCellAnchor>
  <xdr:twoCellAnchor editAs="oneCell">
    <xdr:from>
      <xdr:col>0</xdr:col>
      <xdr:colOff>273353</xdr:colOff>
      <xdr:row>19</xdr:row>
      <xdr:rowOff>73660</xdr:rowOff>
    </xdr:from>
    <xdr:to>
      <xdr:col>2</xdr:col>
      <xdr:colOff>400353</xdr:colOff>
      <xdr:row>26</xdr:row>
      <xdr:rowOff>160867</xdr:rowOff>
    </xdr:to>
    <mc:AlternateContent xmlns:mc="http://schemas.openxmlformats.org/markup-compatibility/2006" xmlns:a14="http://schemas.microsoft.com/office/drawing/2010/main">
      <mc:Choice Requires="a14">
        <xdr:graphicFrame macro="">
          <xdr:nvGraphicFramePr>
            <xdr:cNvPr id="7" name="Quarters">
              <a:extLst>
                <a:ext uri="{FF2B5EF4-FFF2-40B4-BE49-F238E27FC236}">
                  <a16:creationId xmlns:a16="http://schemas.microsoft.com/office/drawing/2014/main" id="{00000000-0008-0000-0A00-000007000000}"/>
                </a:ext>
              </a:extLst>
            </xdr:cNvPr>
            <xdr:cNvGraphicFramePr/>
          </xdr:nvGraphicFramePr>
          <xdr:xfrm>
            <a:off x="0" y="0"/>
            <a:ext cx="0" cy="0"/>
          </xdr:xfrm>
          <a:graphic>
            <a:graphicData uri="http://schemas.microsoft.com/office/drawing/2010/slicer">
              <sle:slicer xmlns:sle="http://schemas.microsoft.com/office/drawing/2010/slicer" name="Quarters"/>
            </a:graphicData>
          </a:graphic>
        </xdr:graphicFrame>
      </mc:Choice>
      <mc:Fallback xmlns="">
        <xdr:sp macro="" textlink="">
          <xdr:nvSpPr>
            <xdr:cNvPr id="0" name=""/>
            <xdr:cNvSpPr>
              <a:spLocks noTextEdit="1"/>
            </xdr:cNvSpPr>
          </xdr:nvSpPr>
          <xdr:spPr>
            <a:xfrm>
              <a:off x="273353" y="3589746"/>
              <a:ext cx="1825171" cy="13826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281698</xdr:colOff>
      <xdr:row>13</xdr:row>
      <xdr:rowOff>90472</xdr:rowOff>
    </xdr:from>
    <xdr:to>
      <xdr:col>2</xdr:col>
      <xdr:colOff>408698</xdr:colOff>
      <xdr:row>18</xdr:row>
      <xdr:rowOff>36285</xdr:rowOff>
    </xdr:to>
    <mc:AlternateContent xmlns:mc="http://schemas.openxmlformats.org/markup-compatibility/2006" xmlns:a14="http://schemas.microsoft.com/office/drawing/2010/main">
      <mc:Choice Requires="a14">
        <xdr:graphicFrame macro="">
          <xdr:nvGraphicFramePr>
            <xdr:cNvPr id="8" name="Years">
              <a:extLst>
                <a:ext uri="{FF2B5EF4-FFF2-40B4-BE49-F238E27FC236}">
                  <a16:creationId xmlns:a16="http://schemas.microsoft.com/office/drawing/2014/main" id="{00000000-0008-0000-0A00-000008000000}"/>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281698" y="2496215"/>
              <a:ext cx="1825171" cy="87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273352</xdr:colOff>
      <xdr:row>7</xdr:row>
      <xdr:rowOff>100389</xdr:rowOff>
    </xdr:from>
    <xdr:to>
      <xdr:col>4</xdr:col>
      <xdr:colOff>205620</xdr:colOff>
      <xdr:row>12</xdr:row>
      <xdr:rowOff>66523</xdr:rowOff>
    </xdr:to>
    <xdr:sp macro="" textlink="">
      <xdr:nvSpPr>
        <xdr:cNvPr id="10" name="Rounded Rectangle 9">
          <a:extLst>
            <a:ext uri="{FF2B5EF4-FFF2-40B4-BE49-F238E27FC236}">
              <a16:creationId xmlns:a16="http://schemas.microsoft.com/office/drawing/2014/main" id="{00000000-0008-0000-0A00-00000A000000}"/>
            </a:ext>
          </a:extLst>
        </xdr:cNvPr>
        <xdr:cNvSpPr/>
      </xdr:nvSpPr>
      <xdr:spPr>
        <a:xfrm>
          <a:off x="273352" y="1395789"/>
          <a:ext cx="2849639" cy="891420"/>
        </a:xfrm>
        <a:prstGeom prst="roundRect">
          <a:avLst/>
        </a:prstGeom>
        <a:solidFill>
          <a:sysClr val="window" lastClr="FFFFFF"/>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463246</xdr:colOff>
      <xdr:row>7</xdr:row>
      <xdr:rowOff>84666</xdr:rowOff>
    </xdr:from>
    <xdr:to>
      <xdr:col>9</xdr:col>
      <xdr:colOff>141513</xdr:colOff>
      <xdr:row>12</xdr:row>
      <xdr:rowOff>50800</xdr:rowOff>
    </xdr:to>
    <xdr:sp macro="" textlink="">
      <xdr:nvSpPr>
        <xdr:cNvPr id="16" name="Rounded Rectangle 15">
          <a:extLst>
            <a:ext uri="{FF2B5EF4-FFF2-40B4-BE49-F238E27FC236}">
              <a16:creationId xmlns:a16="http://schemas.microsoft.com/office/drawing/2014/main" id="{00000000-0008-0000-0A00-000010000000}"/>
            </a:ext>
          </a:extLst>
        </xdr:cNvPr>
        <xdr:cNvSpPr/>
      </xdr:nvSpPr>
      <xdr:spPr>
        <a:xfrm>
          <a:off x="3380617" y="1380066"/>
          <a:ext cx="2726267" cy="891420"/>
        </a:xfrm>
        <a:prstGeom prst="roundRect">
          <a:avLst/>
        </a:prstGeom>
        <a:solidFill>
          <a:sysClr val="window" lastClr="FFFFFF"/>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339874</xdr:colOff>
      <xdr:row>7</xdr:row>
      <xdr:rowOff>77409</xdr:rowOff>
    </xdr:from>
    <xdr:to>
      <xdr:col>14</xdr:col>
      <xdr:colOff>195943</xdr:colOff>
      <xdr:row>12</xdr:row>
      <xdr:rowOff>43543</xdr:rowOff>
    </xdr:to>
    <xdr:sp macro="" textlink="">
      <xdr:nvSpPr>
        <xdr:cNvPr id="17" name="Rounded Rectangle 16">
          <a:extLst>
            <a:ext uri="{FF2B5EF4-FFF2-40B4-BE49-F238E27FC236}">
              <a16:creationId xmlns:a16="http://schemas.microsoft.com/office/drawing/2014/main" id="{00000000-0008-0000-0A00-000011000000}"/>
            </a:ext>
          </a:extLst>
        </xdr:cNvPr>
        <xdr:cNvSpPr/>
      </xdr:nvSpPr>
      <xdr:spPr>
        <a:xfrm>
          <a:off x="6305245" y="1372809"/>
          <a:ext cx="2904069" cy="891420"/>
        </a:xfrm>
        <a:prstGeom prst="roundRect">
          <a:avLst/>
        </a:prstGeom>
        <a:solidFill>
          <a:sysClr val="window" lastClr="FFFFFF"/>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423334</xdr:colOff>
      <xdr:row>7</xdr:row>
      <xdr:rowOff>101598</xdr:rowOff>
    </xdr:from>
    <xdr:to>
      <xdr:col>19</xdr:col>
      <xdr:colOff>169333</xdr:colOff>
      <xdr:row>12</xdr:row>
      <xdr:rowOff>67732</xdr:rowOff>
    </xdr:to>
    <xdr:sp macro="" textlink="">
      <xdr:nvSpPr>
        <xdr:cNvPr id="19" name="Rounded Rectangle 18">
          <a:extLst>
            <a:ext uri="{FF2B5EF4-FFF2-40B4-BE49-F238E27FC236}">
              <a16:creationId xmlns:a16="http://schemas.microsoft.com/office/drawing/2014/main" id="{00000000-0008-0000-0A00-000013000000}"/>
            </a:ext>
          </a:extLst>
        </xdr:cNvPr>
        <xdr:cNvSpPr/>
      </xdr:nvSpPr>
      <xdr:spPr>
        <a:xfrm>
          <a:off x="9440334" y="846665"/>
          <a:ext cx="2793999" cy="897467"/>
        </a:xfrm>
        <a:prstGeom prst="roundRect">
          <a:avLst/>
        </a:prstGeom>
        <a:solidFill>
          <a:sysClr val="window" lastClr="FFFFFF"/>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924075</xdr:colOff>
      <xdr:row>9</xdr:row>
      <xdr:rowOff>180221</xdr:rowOff>
    </xdr:from>
    <xdr:to>
      <xdr:col>3</xdr:col>
      <xdr:colOff>47171</xdr:colOff>
      <xdr:row>11</xdr:row>
      <xdr:rowOff>87086</xdr:rowOff>
    </xdr:to>
    <xdr:sp macro="" textlink="">
      <xdr:nvSpPr>
        <xdr:cNvPr id="20" name="Rectangle 19">
          <a:extLst>
            <a:ext uri="{FF2B5EF4-FFF2-40B4-BE49-F238E27FC236}">
              <a16:creationId xmlns:a16="http://schemas.microsoft.com/office/drawing/2014/main" id="{00000000-0008-0000-0A00-000014000000}"/>
            </a:ext>
          </a:extLst>
        </xdr:cNvPr>
        <xdr:cNvSpPr/>
      </xdr:nvSpPr>
      <xdr:spPr>
        <a:xfrm>
          <a:off x="924075" y="1845735"/>
          <a:ext cx="1430867" cy="27698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2">
                  <a:lumMod val="75000"/>
                </a:schemeClr>
              </a:solidFill>
            </a:rPr>
            <a:t>Total</a:t>
          </a:r>
          <a:r>
            <a:rPr lang="en-IN" sz="1800" b="1" baseline="0">
              <a:solidFill>
                <a:schemeClr val="tx2">
                  <a:lumMod val="75000"/>
                </a:schemeClr>
              </a:solidFill>
            </a:rPr>
            <a:t> Sales </a:t>
          </a:r>
          <a:endParaRPr lang="en-IN" sz="1800" b="1">
            <a:solidFill>
              <a:schemeClr val="tx2">
                <a:lumMod val="75000"/>
              </a:schemeClr>
            </a:solidFill>
          </a:endParaRPr>
        </a:p>
      </xdr:txBody>
    </xdr:sp>
    <xdr:clientData/>
  </xdr:twoCellAnchor>
  <xdr:twoCellAnchor>
    <xdr:from>
      <xdr:col>5</xdr:col>
      <xdr:colOff>261106</xdr:colOff>
      <xdr:row>9</xdr:row>
      <xdr:rowOff>173113</xdr:rowOff>
    </xdr:from>
    <xdr:to>
      <xdr:col>8</xdr:col>
      <xdr:colOff>345771</xdr:colOff>
      <xdr:row>11</xdr:row>
      <xdr:rowOff>100617</xdr:rowOff>
    </xdr:to>
    <xdr:sp macro="" textlink="">
      <xdr:nvSpPr>
        <xdr:cNvPr id="21" name="Rectangle 20">
          <a:extLst>
            <a:ext uri="{FF2B5EF4-FFF2-40B4-BE49-F238E27FC236}">
              <a16:creationId xmlns:a16="http://schemas.microsoft.com/office/drawing/2014/main" id="{00000000-0008-0000-0A00-000015000000}"/>
            </a:ext>
          </a:extLst>
        </xdr:cNvPr>
        <xdr:cNvSpPr/>
      </xdr:nvSpPr>
      <xdr:spPr>
        <a:xfrm>
          <a:off x="3788077" y="1838627"/>
          <a:ext cx="1913465" cy="297619"/>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2">
                  <a:lumMod val="75000"/>
                </a:schemeClr>
              </a:solidFill>
            </a:rPr>
            <a:t>Total</a:t>
          </a:r>
          <a:r>
            <a:rPr lang="en-IN" sz="1800" b="1" baseline="0">
              <a:solidFill>
                <a:schemeClr val="tx2">
                  <a:lumMod val="75000"/>
                </a:schemeClr>
              </a:solidFill>
            </a:rPr>
            <a:t> Orders </a:t>
          </a:r>
          <a:endParaRPr lang="en-IN" sz="1800" b="1">
            <a:solidFill>
              <a:schemeClr val="tx2">
                <a:lumMod val="75000"/>
              </a:schemeClr>
            </a:solidFill>
          </a:endParaRPr>
        </a:p>
      </xdr:txBody>
    </xdr:sp>
    <xdr:clientData/>
  </xdr:twoCellAnchor>
  <xdr:twoCellAnchor>
    <xdr:from>
      <xdr:col>10</xdr:col>
      <xdr:colOff>216505</xdr:colOff>
      <xdr:row>9</xdr:row>
      <xdr:rowOff>166914</xdr:rowOff>
    </xdr:from>
    <xdr:to>
      <xdr:col>13</xdr:col>
      <xdr:colOff>140305</xdr:colOff>
      <xdr:row>11</xdr:row>
      <xdr:rowOff>99181</xdr:rowOff>
    </xdr:to>
    <xdr:sp macro="" textlink="">
      <xdr:nvSpPr>
        <xdr:cNvPr id="22" name="Rectangle 21">
          <a:extLst>
            <a:ext uri="{FF2B5EF4-FFF2-40B4-BE49-F238E27FC236}">
              <a16:creationId xmlns:a16="http://schemas.microsoft.com/office/drawing/2014/main" id="{00000000-0008-0000-0A00-000016000000}"/>
            </a:ext>
          </a:extLst>
        </xdr:cNvPr>
        <xdr:cNvSpPr/>
      </xdr:nvSpPr>
      <xdr:spPr>
        <a:xfrm>
          <a:off x="6791476" y="1832428"/>
          <a:ext cx="1752600" cy="302382"/>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baseline="0">
              <a:solidFill>
                <a:schemeClr val="tx2">
                  <a:lumMod val="75000"/>
                </a:schemeClr>
              </a:solidFill>
            </a:rPr>
            <a:t>Total Profit  </a:t>
          </a:r>
          <a:endParaRPr lang="en-IN" sz="1800" b="1">
            <a:solidFill>
              <a:schemeClr val="tx2">
                <a:lumMod val="75000"/>
              </a:schemeClr>
            </a:solidFill>
          </a:endParaRPr>
        </a:p>
      </xdr:txBody>
    </xdr:sp>
    <xdr:clientData/>
  </xdr:twoCellAnchor>
  <xdr:twoCellAnchor>
    <xdr:from>
      <xdr:col>15</xdr:col>
      <xdr:colOff>177800</xdr:colOff>
      <xdr:row>9</xdr:row>
      <xdr:rowOff>177801</xdr:rowOff>
    </xdr:from>
    <xdr:to>
      <xdr:col>18</xdr:col>
      <xdr:colOff>558799</xdr:colOff>
      <xdr:row>11</xdr:row>
      <xdr:rowOff>127000</xdr:rowOff>
    </xdr:to>
    <xdr:sp macro="" textlink="">
      <xdr:nvSpPr>
        <xdr:cNvPr id="24" name="Rectangle 23">
          <a:extLst>
            <a:ext uri="{FF2B5EF4-FFF2-40B4-BE49-F238E27FC236}">
              <a16:creationId xmlns:a16="http://schemas.microsoft.com/office/drawing/2014/main" id="{00000000-0008-0000-0A00-000018000000}"/>
            </a:ext>
          </a:extLst>
        </xdr:cNvPr>
        <xdr:cNvSpPr/>
      </xdr:nvSpPr>
      <xdr:spPr>
        <a:xfrm>
          <a:off x="9804400" y="1295401"/>
          <a:ext cx="2209799" cy="321732"/>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baseline="0">
              <a:solidFill>
                <a:schemeClr val="tx2">
                  <a:lumMod val="75000"/>
                </a:schemeClr>
              </a:solidFill>
            </a:rPr>
            <a:t>Average Order Value </a:t>
          </a:r>
          <a:endParaRPr lang="en-IN" sz="1800" b="1">
            <a:solidFill>
              <a:schemeClr val="tx2">
                <a:lumMod val="75000"/>
              </a:schemeClr>
            </a:solidFill>
          </a:endParaRPr>
        </a:p>
      </xdr:txBody>
    </xdr:sp>
    <xdr:clientData/>
  </xdr:twoCellAnchor>
  <xdr:twoCellAnchor>
    <xdr:from>
      <xdr:col>6</xdr:col>
      <xdr:colOff>185057</xdr:colOff>
      <xdr:row>8</xdr:row>
      <xdr:rowOff>114906</xdr:rowOff>
    </xdr:from>
    <xdr:to>
      <xdr:col>8</xdr:col>
      <xdr:colOff>439057</xdr:colOff>
      <xdr:row>10</xdr:row>
      <xdr:rowOff>106439</xdr:rowOff>
    </xdr:to>
    <xdr:sp macro="" textlink="">
      <xdr:nvSpPr>
        <xdr:cNvPr id="26" name="Rectangle 25">
          <a:extLst>
            <a:ext uri="{FF2B5EF4-FFF2-40B4-BE49-F238E27FC236}">
              <a16:creationId xmlns:a16="http://schemas.microsoft.com/office/drawing/2014/main" id="{00000000-0008-0000-0A00-00001A000000}"/>
            </a:ext>
          </a:extLst>
        </xdr:cNvPr>
        <xdr:cNvSpPr/>
      </xdr:nvSpPr>
      <xdr:spPr>
        <a:xfrm>
          <a:off x="4321628" y="1595363"/>
          <a:ext cx="1473200" cy="36164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575734</xdr:colOff>
      <xdr:row>7</xdr:row>
      <xdr:rowOff>152400</xdr:rowOff>
    </xdr:from>
    <xdr:to>
      <xdr:col>13</xdr:col>
      <xdr:colOff>220134</xdr:colOff>
      <xdr:row>9</xdr:row>
      <xdr:rowOff>143934</xdr:rowOff>
    </xdr:to>
    <xdr:sp macro="" textlink="">
      <xdr:nvSpPr>
        <xdr:cNvPr id="27" name="Rectangle 26">
          <a:extLst>
            <a:ext uri="{FF2B5EF4-FFF2-40B4-BE49-F238E27FC236}">
              <a16:creationId xmlns:a16="http://schemas.microsoft.com/office/drawing/2014/main" id="{00000000-0008-0000-0A00-00001B000000}"/>
            </a:ext>
          </a:extLst>
        </xdr:cNvPr>
        <xdr:cNvSpPr/>
      </xdr:nvSpPr>
      <xdr:spPr>
        <a:xfrm>
          <a:off x="7154334" y="897467"/>
          <a:ext cx="1473200" cy="36406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516468</xdr:colOff>
      <xdr:row>8</xdr:row>
      <xdr:rowOff>118534</xdr:rowOff>
    </xdr:from>
    <xdr:to>
      <xdr:col>18</xdr:col>
      <xdr:colOff>160868</xdr:colOff>
      <xdr:row>10</xdr:row>
      <xdr:rowOff>110067</xdr:rowOff>
    </xdr:to>
    <xdr:sp macro="" textlink="">
      <xdr:nvSpPr>
        <xdr:cNvPr id="29" name="Rectangle 28">
          <a:extLst>
            <a:ext uri="{FF2B5EF4-FFF2-40B4-BE49-F238E27FC236}">
              <a16:creationId xmlns:a16="http://schemas.microsoft.com/office/drawing/2014/main" id="{00000000-0008-0000-0A00-00001D000000}"/>
            </a:ext>
          </a:extLst>
        </xdr:cNvPr>
        <xdr:cNvSpPr/>
      </xdr:nvSpPr>
      <xdr:spPr>
        <a:xfrm>
          <a:off x="10143068" y="1049867"/>
          <a:ext cx="1473200" cy="36406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5139</xdr:colOff>
      <xdr:row>8</xdr:row>
      <xdr:rowOff>22981</xdr:rowOff>
    </xdr:from>
    <xdr:to>
      <xdr:col>3</xdr:col>
      <xdr:colOff>259139</xdr:colOff>
      <xdr:row>10</xdr:row>
      <xdr:rowOff>14514</xdr:rowOff>
    </xdr:to>
    <xdr:sp macro="" textlink="'PIVOT TABLE '!I6">
      <xdr:nvSpPr>
        <xdr:cNvPr id="30" name="Rectangle 29">
          <a:extLst>
            <a:ext uri="{FF2B5EF4-FFF2-40B4-BE49-F238E27FC236}">
              <a16:creationId xmlns:a16="http://schemas.microsoft.com/office/drawing/2014/main" id="{00000000-0008-0000-0A00-00001E000000}"/>
            </a:ext>
          </a:extLst>
        </xdr:cNvPr>
        <xdr:cNvSpPr/>
      </xdr:nvSpPr>
      <xdr:spPr>
        <a:xfrm>
          <a:off x="1093710" y="1503438"/>
          <a:ext cx="1473200" cy="36164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C8F9DCEB-1DBB-402E-B05F-C7CFA62C470F}" type="TxLink">
            <a:rPr lang="en-US" sz="1600" b="1" i="0" u="none" strike="noStrike">
              <a:solidFill>
                <a:schemeClr val="tx2">
                  <a:lumMod val="75000"/>
                </a:schemeClr>
              </a:solidFill>
              <a:latin typeface="Calibri"/>
              <a:ea typeface="Calibri"/>
              <a:cs typeface="Calibri"/>
            </a:rPr>
            <a:pPr algn="l"/>
            <a:t>₹15,212.7K</a:t>
          </a:fld>
          <a:endParaRPr lang="en-IN" sz="1600" b="1">
            <a:solidFill>
              <a:schemeClr val="tx2">
                <a:lumMod val="75000"/>
              </a:schemeClr>
            </a:solidFill>
          </a:endParaRPr>
        </a:p>
      </xdr:txBody>
    </xdr:sp>
    <xdr:clientData/>
  </xdr:twoCellAnchor>
  <xdr:twoCellAnchor>
    <xdr:from>
      <xdr:col>6</xdr:col>
      <xdr:colOff>280381</xdr:colOff>
      <xdr:row>8</xdr:row>
      <xdr:rowOff>12094</xdr:rowOff>
    </xdr:from>
    <xdr:to>
      <xdr:col>8</xdr:col>
      <xdr:colOff>534381</xdr:colOff>
      <xdr:row>10</xdr:row>
      <xdr:rowOff>3627</xdr:rowOff>
    </xdr:to>
    <xdr:sp macro="" textlink="'PIVOT TABLE '!J6">
      <xdr:nvSpPr>
        <xdr:cNvPr id="31" name="Rectangle 30">
          <a:extLst>
            <a:ext uri="{FF2B5EF4-FFF2-40B4-BE49-F238E27FC236}">
              <a16:creationId xmlns:a16="http://schemas.microsoft.com/office/drawing/2014/main" id="{00000000-0008-0000-0A00-00001F000000}"/>
            </a:ext>
          </a:extLst>
        </xdr:cNvPr>
        <xdr:cNvSpPr/>
      </xdr:nvSpPr>
      <xdr:spPr>
        <a:xfrm>
          <a:off x="4416952" y="1492551"/>
          <a:ext cx="1473200" cy="36164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48401555-4CA3-4333-B38A-F11B84376719}" type="TxLink">
            <a:rPr lang="en-US" sz="1600" b="1" i="0" u="none" strike="noStrike">
              <a:solidFill>
                <a:schemeClr val="tx2">
                  <a:lumMod val="75000"/>
                </a:schemeClr>
              </a:solidFill>
              <a:latin typeface="Calibri"/>
              <a:ea typeface="Calibri"/>
              <a:cs typeface="Calibri"/>
            </a:rPr>
            <a:pPr marL="0" indent="0" algn="l"/>
            <a:t>1K</a:t>
          </a:fld>
          <a:endParaRPr lang="en-IN" sz="1600" b="1" i="0" u="none" strike="noStrike">
            <a:solidFill>
              <a:schemeClr val="tx2">
                <a:lumMod val="75000"/>
              </a:schemeClr>
            </a:solidFill>
            <a:latin typeface="Calibri"/>
            <a:ea typeface="Calibri"/>
            <a:cs typeface="Calibri"/>
          </a:endParaRPr>
        </a:p>
      </xdr:txBody>
    </xdr:sp>
    <xdr:clientData/>
  </xdr:twoCellAnchor>
  <xdr:twoCellAnchor>
    <xdr:from>
      <xdr:col>10</xdr:col>
      <xdr:colOff>575732</xdr:colOff>
      <xdr:row>8</xdr:row>
      <xdr:rowOff>39384</xdr:rowOff>
    </xdr:from>
    <xdr:to>
      <xdr:col>13</xdr:col>
      <xdr:colOff>221720</xdr:colOff>
      <xdr:row>10</xdr:row>
      <xdr:rowOff>30917</xdr:rowOff>
    </xdr:to>
    <xdr:sp macro="" textlink="'PIVOT TABLE '!H6">
      <xdr:nvSpPr>
        <xdr:cNvPr id="32" name="Rectangle 31">
          <a:extLst>
            <a:ext uri="{FF2B5EF4-FFF2-40B4-BE49-F238E27FC236}">
              <a16:creationId xmlns:a16="http://schemas.microsoft.com/office/drawing/2014/main" id="{00000000-0008-0000-0A00-000020000000}"/>
            </a:ext>
          </a:extLst>
        </xdr:cNvPr>
        <xdr:cNvSpPr/>
      </xdr:nvSpPr>
      <xdr:spPr>
        <a:xfrm>
          <a:off x="7150703" y="1519841"/>
          <a:ext cx="1474788" cy="36164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F17434CA-CDB5-4191-B7F2-B051B100BF7E}" type="TxLink">
            <a:rPr lang="en-US" sz="1600" b="1" i="0" u="none" strike="noStrike">
              <a:solidFill>
                <a:schemeClr val="tx2">
                  <a:lumMod val="75000"/>
                </a:schemeClr>
              </a:solidFill>
              <a:latin typeface="Calibri"/>
              <a:ea typeface="Calibri"/>
              <a:cs typeface="Calibri"/>
            </a:rPr>
            <a:pPr marL="0" indent="0" algn="l"/>
            <a:t>₹1,353.5K</a:t>
          </a:fld>
          <a:endParaRPr lang="en-IN" sz="1600" b="1" i="0" u="none" strike="noStrike">
            <a:solidFill>
              <a:schemeClr val="tx2">
                <a:lumMod val="75000"/>
              </a:schemeClr>
            </a:solidFill>
            <a:latin typeface="Calibri"/>
            <a:ea typeface="Calibri"/>
            <a:cs typeface="Calibri"/>
          </a:endParaRPr>
        </a:p>
      </xdr:txBody>
    </xdr:sp>
    <xdr:clientData/>
  </xdr:twoCellAnchor>
  <xdr:twoCellAnchor>
    <xdr:from>
      <xdr:col>16</xdr:col>
      <xdr:colOff>67203</xdr:colOff>
      <xdr:row>8</xdr:row>
      <xdr:rowOff>20108</xdr:rowOff>
    </xdr:from>
    <xdr:to>
      <xdr:col>18</xdr:col>
      <xdr:colOff>321203</xdr:colOff>
      <xdr:row>10</xdr:row>
      <xdr:rowOff>11641</xdr:rowOff>
    </xdr:to>
    <xdr:sp macro="" textlink="'PIVOT TABLE '!K6">
      <xdr:nvSpPr>
        <xdr:cNvPr id="33" name="Rectangle 32">
          <a:extLst>
            <a:ext uri="{FF2B5EF4-FFF2-40B4-BE49-F238E27FC236}">
              <a16:creationId xmlns:a16="http://schemas.microsoft.com/office/drawing/2014/main" id="{00000000-0008-0000-0A00-000021000000}"/>
            </a:ext>
          </a:extLst>
        </xdr:cNvPr>
        <xdr:cNvSpPr/>
      </xdr:nvSpPr>
      <xdr:spPr>
        <a:xfrm>
          <a:off x="10322453" y="932921"/>
          <a:ext cx="1476375" cy="35665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0DD8C334-3895-4F7C-B9D2-0040B5338782}" type="TxLink">
            <a:rPr lang="en-US" sz="1600" b="1" i="0" u="none" strike="noStrike">
              <a:solidFill>
                <a:schemeClr val="tx2">
                  <a:lumMod val="75000"/>
                </a:schemeClr>
              </a:solidFill>
              <a:latin typeface="Calibri"/>
              <a:ea typeface="Calibri"/>
              <a:cs typeface="Calibri"/>
            </a:rPr>
            <a:pPr marL="0" indent="0" algn="l"/>
            <a:t>₹15.2K</a:t>
          </a:fld>
          <a:endParaRPr lang="en-IN" sz="1600" b="1" i="0" u="none" strike="noStrike">
            <a:solidFill>
              <a:schemeClr val="tx2">
                <a:lumMod val="75000"/>
              </a:schemeClr>
            </a:solidFill>
            <a:latin typeface="Calibri"/>
            <a:ea typeface="Calibri"/>
            <a:cs typeface="Calibri"/>
          </a:endParaRPr>
        </a:p>
      </xdr:txBody>
    </xdr:sp>
    <xdr:clientData/>
  </xdr:twoCellAnchor>
  <xdr:twoCellAnchor>
    <xdr:from>
      <xdr:col>19</xdr:col>
      <xdr:colOff>328084</xdr:colOff>
      <xdr:row>13</xdr:row>
      <xdr:rowOff>76200</xdr:rowOff>
    </xdr:from>
    <xdr:to>
      <xdr:col>27</xdr:col>
      <xdr:colOff>433917</xdr:colOff>
      <xdr:row>44</xdr:row>
      <xdr:rowOff>97972</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BB309BD9-BA7D-4568-8FC2-CA8DFE41E3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389455" y="2481943"/>
              <a:ext cx="4982633" cy="57585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19</xdr:col>
      <xdr:colOff>313508</xdr:colOff>
      <xdr:row>7</xdr:row>
      <xdr:rowOff>65312</xdr:rowOff>
    </xdr:from>
    <xdr:to>
      <xdr:col>27</xdr:col>
      <xdr:colOff>404708</xdr:colOff>
      <xdr:row>12</xdr:row>
      <xdr:rowOff>62046</xdr:rowOff>
    </xdr:to>
    <mc:AlternateContent xmlns:mc="http://schemas.openxmlformats.org/markup-compatibility/2006" xmlns:tsle="http://schemas.microsoft.com/office/drawing/2012/timeslicer">
      <mc:Choice Requires="tsle">
        <xdr:graphicFrame macro="">
          <xdr:nvGraphicFramePr>
            <xdr:cNvPr id="15" name="Order Date 1">
              <a:extLst>
                <a:ext uri="{FF2B5EF4-FFF2-40B4-BE49-F238E27FC236}">
                  <a16:creationId xmlns:a16="http://schemas.microsoft.com/office/drawing/2014/main" id="{2B5008A6-2F0B-774B-DBAB-1B0CE31587FF}"/>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2374879" y="1360712"/>
              <a:ext cx="496800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591457</xdr:colOff>
      <xdr:row>3</xdr:row>
      <xdr:rowOff>126998</xdr:rowOff>
    </xdr:from>
    <xdr:to>
      <xdr:col>1</xdr:col>
      <xdr:colOff>281820</xdr:colOff>
      <xdr:row>5</xdr:row>
      <xdr:rowOff>126997</xdr:rowOff>
    </xdr:to>
    <xdr:sp macro="" textlink="">
      <xdr:nvSpPr>
        <xdr:cNvPr id="18" name="TextBox 17">
          <a:hlinkClick xmlns:r="http://schemas.openxmlformats.org/officeDocument/2006/relationships" r:id="rId6"/>
          <a:extLst>
            <a:ext uri="{FF2B5EF4-FFF2-40B4-BE49-F238E27FC236}">
              <a16:creationId xmlns:a16="http://schemas.microsoft.com/office/drawing/2014/main" id="{08F93184-1FE5-4A0C-850F-8AE4A048AF6F}"/>
            </a:ext>
          </a:extLst>
        </xdr:cNvPr>
        <xdr:cNvSpPr txBox="1"/>
      </xdr:nvSpPr>
      <xdr:spPr>
        <a:xfrm>
          <a:off x="591457" y="682169"/>
          <a:ext cx="778934" cy="370114"/>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75000"/>
                </a:schemeClr>
              </a:solidFill>
            </a:rPr>
            <a:t>Contact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 Gupta" refreshedDate="46288.630407638891" createdVersion="6" refreshedVersion="6" minRefreshableVersion="3" recordCount="1000" xr:uid="{00000000-000A-0000-FFFF-FFFF00000000}">
  <cacheSource type="worksheet">
    <worksheetSource ref="A1:Q1001" sheet="ORDER DATA"/>
  </cacheSource>
  <cacheFields count="19">
    <cacheField name="Order ID" numFmtId="0">
      <sharedItems/>
    </cacheField>
    <cacheField name="Order Date" numFmtId="165">
      <sharedItems containsSemiMixedTypes="0" containsNonDate="0" containsDate="1" containsString="0" minDate="2024-01-01T00:00:00" maxDate="2025-12-30T00:00:00" count="506">
        <d v="2024-01-01T00:00:00"/>
        <d v="2024-01-02T00:00:00"/>
        <d v="2024-01-03T00:00:00"/>
        <d v="2024-01-05T00:00:00"/>
        <d v="2024-01-09T00:00:00"/>
        <d v="2024-01-10T00:00:00"/>
        <d v="2024-01-12T00:00:00"/>
        <d v="2024-01-13T00:00:00"/>
        <d v="2024-01-15T00:00:00"/>
        <d v="2024-01-16T00:00:00"/>
        <d v="2024-01-17T00:00:00"/>
        <d v="2024-01-19T00:00:00"/>
        <d v="2024-01-20T00:00:00"/>
        <d v="2024-01-21T00:00:00"/>
        <d v="2024-01-22T00:00:00"/>
        <d v="2024-01-23T00:00:00"/>
        <d v="2024-01-24T00:00:00"/>
        <d v="2024-01-25T00:00:00"/>
        <d v="2024-01-28T00:00:00"/>
        <d v="2024-01-29T00:00:00"/>
        <d v="2024-02-01T00:00:00"/>
        <d v="2024-02-02T00:00:00"/>
        <d v="2024-02-05T00:00:00"/>
        <d v="2024-02-06T00:00:00"/>
        <d v="2024-02-07T00:00:00"/>
        <d v="2024-02-08T00:00:00"/>
        <d v="2024-02-09T00:00:00"/>
        <d v="2024-02-10T00:00:00"/>
        <d v="2024-02-11T00:00:00"/>
        <d v="2024-02-12T00:00:00"/>
        <d v="2024-02-13T00:00:00"/>
        <d v="2024-02-14T00:00:00"/>
        <d v="2024-02-15T00:00:00"/>
        <d v="2024-02-16T00:00:00"/>
        <d v="2024-02-17T00:00:00"/>
        <d v="2024-02-19T00:00:00"/>
        <d v="2024-02-20T00:00:00"/>
        <d v="2024-02-22T00:00:00"/>
        <d v="2024-02-23T00:00:00"/>
        <d v="2024-02-27T00:00:00"/>
        <d v="2024-02-28T00:00:00"/>
        <d v="2024-02-29T00:00:00"/>
        <d v="2024-03-01T00:00:00"/>
        <d v="2024-03-02T00:00:00"/>
        <d v="2024-03-03T00:00:00"/>
        <d v="2024-03-04T00:00:00"/>
        <d v="2024-03-05T00:00:00"/>
        <d v="2024-03-07T00:00:00"/>
        <d v="2024-03-08T00:00:00"/>
        <d v="2024-03-11T00:00:00"/>
        <d v="2024-03-12T00:00:00"/>
        <d v="2024-03-13T00:00:00"/>
        <d v="2024-03-14T00:00:00"/>
        <d v="2024-03-15T00:00:00"/>
        <d v="2024-03-16T00:00:00"/>
        <d v="2024-03-18T00:00:00"/>
        <d v="2024-03-21T00:00:00"/>
        <d v="2024-03-23T00:00:00"/>
        <d v="2024-03-24T00:00:00"/>
        <d v="2024-03-25T00:00:00"/>
        <d v="2024-03-27T00:00:00"/>
        <d v="2024-03-30T00:00:00"/>
        <d v="2024-03-31T00:00:00"/>
        <d v="2024-04-01T00:00:00"/>
        <d v="2024-04-04T00:00:00"/>
        <d v="2024-04-05T00:00:00"/>
        <d v="2024-04-06T00:00:00"/>
        <d v="2024-04-08T00:00:00"/>
        <d v="2024-04-09T00:00:00"/>
        <d v="2024-04-11T00:00:00"/>
        <d v="2024-04-15T00:00:00"/>
        <d v="2024-04-16T00:00:00"/>
        <d v="2024-04-18T00:00:00"/>
        <d v="2024-04-20T00:00:00"/>
        <d v="2024-04-21T00:00:00"/>
        <d v="2024-04-22T00:00:00"/>
        <d v="2024-04-23T00:00:00"/>
        <d v="2024-04-25T00:00:00"/>
        <d v="2024-04-26T00:00:00"/>
        <d v="2024-04-27T00:00:00"/>
        <d v="2024-04-28T00:00:00"/>
        <d v="2024-04-29T00:00:00"/>
        <d v="2024-05-01T00:00:00"/>
        <d v="2024-05-02T00:00:00"/>
        <d v="2024-05-05T00:00:00"/>
        <d v="2024-05-06T00:00:00"/>
        <d v="2024-05-07T00:00:00"/>
        <d v="2024-05-08T00:00:00"/>
        <d v="2024-05-09T00:00:00"/>
        <d v="2024-05-10T00:00:00"/>
        <d v="2024-05-11T00:00:00"/>
        <d v="2024-05-13T00:00:00"/>
        <d v="2024-05-14T00:00:00"/>
        <d v="2024-05-16T00:00:00"/>
        <d v="2024-05-17T00:00:00"/>
        <d v="2024-05-18T00:00:00"/>
        <d v="2024-05-20T00:00:00"/>
        <d v="2024-05-21T00:00:00"/>
        <d v="2024-05-22T00:00:00"/>
        <d v="2024-05-23T00:00:00"/>
        <d v="2024-05-24T00:00:00"/>
        <d v="2024-05-25T00:00:00"/>
        <d v="2024-05-26T00:00:00"/>
        <d v="2024-05-28T00:00:00"/>
        <d v="2024-05-31T00:00:00"/>
        <d v="2024-06-02T00:00:00"/>
        <d v="2024-06-04T00:00:00"/>
        <d v="2024-06-08T00:00:00"/>
        <d v="2024-06-10T00:00:00"/>
        <d v="2024-06-14T00:00:00"/>
        <d v="2024-06-19T00:00:00"/>
        <d v="2024-06-21T00:00:00"/>
        <d v="2024-06-23T00:00:00"/>
        <d v="2024-06-25T00:00:00"/>
        <d v="2024-06-26T00:00:00"/>
        <d v="2024-06-27T00:00:00"/>
        <d v="2024-06-30T00:00:00"/>
        <d v="2024-07-01T00:00:00"/>
        <d v="2024-07-02T00:00:00"/>
        <d v="2024-07-03T00:00:00"/>
        <d v="2024-07-05T00:00:00"/>
        <d v="2024-07-07T00:00:00"/>
        <d v="2024-07-11T00:00:00"/>
        <d v="2024-07-12T00:00:00"/>
        <d v="2024-07-15T00:00:00"/>
        <d v="2024-07-16T00:00:00"/>
        <d v="2024-07-17T00:00:00"/>
        <d v="2024-07-18T00:00:00"/>
        <d v="2024-07-19T00:00:00"/>
        <d v="2024-07-20T00:00:00"/>
        <d v="2024-07-21T00:00:00"/>
        <d v="2024-07-22T00:00:00"/>
        <d v="2024-07-23T00:00:00"/>
        <d v="2024-07-24T00:00:00"/>
        <d v="2024-07-25T00:00:00"/>
        <d v="2024-07-26T00:00:00"/>
        <d v="2024-07-27T00:00:00"/>
        <d v="2024-07-29T00:00:00"/>
        <d v="2024-07-30T00:00:00"/>
        <d v="2024-07-31T00:00:00"/>
        <d v="2024-08-03T00:00:00"/>
        <d v="2024-08-05T00:00:00"/>
        <d v="2024-08-07T00:00:00"/>
        <d v="2024-08-09T00:00:00"/>
        <d v="2024-08-10T00:00:00"/>
        <d v="2024-08-12T00:00:00"/>
        <d v="2024-08-13T00:00:00"/>
        <d v="2024-08-14T00:00:00"/>
        <d v="2024-08-15T00:00:00"/>
        <d v="2024-08-16T00:00:00"/>
        <d v="2024-08-17T00:00:00"/>
        <d v="2024-08-19T00:00:00"/>
        <d v="2024-08-20T00:00:00"/>
        <d v="2024-08-22T00:00:00"/>
        <d v="2024-08-24T00:00:00"/>
        <d v="2024-08-26T00:00:00"/>
        <d v="2024-08-28T00:00:00"/>
        <d v="2024-08-29T00:00:00"/>
        <d v="2024-09-02T00:00:00"/>
        <d v="2024-09-03T00:00:00"/>
        <d v="2024-09-06T00:00:00"/>
        <d v="2024-09-07T00:00:00"/>
        <d v="2024-09-11T00:00:00"/>
        <d v="2024-09-12T00:00:00"/>
        <d v="2024-09-14T00:00:00"/>
        <d v="2024-09-15T00:00:00"/>
        <d v="2024-09-16T00:00:00"/>
        <d v="2024-09-17T00:00:00"/>
        <d v="2024-09-18T00:00:00"/>
        <d v="2024-09-19T00:00:00"/>
        <d v="2024-09-21T00:00:00"/>
        <d v="2024-09-22T00:00:00"/>
        <d v="2024-09-24T00:00:00"/>
        <d v="2024-09-26T00:00:00"/>
        <d v="2024-09-27T00:00:00"/>
        <d v="2024-09-29T00:00:00"/>
        <d v="2024-09-30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6T00:00:00"/>
        <d v="2024-10-27T00:00:00"/>
        <d v="2024-10-28T00:00:00"/>
        <d v="2024-10-29T00:00:00"/>
        <d v="2024-10-30T00:00:00"/>
        <d v="2024-10-31T00:00:00"/>
        <d v="2024-11-01T00:00:00"/>
        <d v="2024-11-02T00:00:00"/>
        <d v="2024-11-03T00:00:00"/>
        <d v="2024-11-05T00:00:00"/>
        <d v="2024-11-06T00:00:00"/>
        <d v="2024-11-07T00:00:00"/>
        <d v="2024-11-08T00:00:00"/>
        <d v="2024-11-09T00:00:00"/>
        <d v="2024-11-10T00:00:00"/>
        <d v="2024-11-11T00:00:00"/>
        <d v="2024-11-12T00:00:00"/>
        <d v="2024-11-13T00:00:00"/>
        <d v="2024-11-15T00:00:00"/>
        <d v="2024-11-16T00:00:00"/>
        <d v="2024-11-17T00:00:00"/>
        <d v="2024-11-18T00:00:00"/>
        <d v="2024-11-19T00:00:00"/>
        <d v="2024-11-20T00:00:00"/>
        <d v="2024-11-21T00:00:00"/>
        <d v="2024-11-22T00:00:00"/>
        <d v="2024-11-23T00:00:00"/>
        <d v="2024-11-24T00:00:00"/>
        <d v="2024-11-25T00:00:00"/>
        <d v="2024-11-26T00:00:00"/>
        <d v="2024-11-27T00:00:00"/>
        <d v="2024-11-29T00:00:00"/>
        <d v="2024-11-30T00:00:00"/>
        <d v="2024-12-01T00:00:00"/>
        <d v="2024-12-04T00:00:00"/>
        <d v="2024-12-05T00:00:00"/>
        <d v="2024-12-06T00:00:00"/>
        <d v="2024-12-07T00:00:00"/>
        <d v="2024-12-09T00:00:00"/>
        <d v="2024-12-10T00:00:00"/>
        <d v="2024-12-11T00:00:00"/>
        <d v="2024-12-13T00:00:00"/>
        <d v="2024-12-15T00:00:00"/>
        <d v="2024-12-18T00:00:00"/>
        <d v="2024-12-20T00:00:00"/>
        <d v="2024-12-22T00:00:00"/>
        <d v="2024-12-23T00:00:00"/>
        <d v="2024-12-25T00:00:00"/>
        <d v="2024-12-26T00:00:00"/>
        <d v="2024-12-29T00:00:00"/>
        <d v="2024-12-30T00:00:00"/>
        <d v="2024-12-31T00:00:00"/>
        <d v="2025-01-01T00:00:00"/>
        <d v="2025-01-03T00:00:00"/>
        <d v="2025-01-04T00:00:00"/>
        <d v="2025-01-05T00:00:00"/>
        <d v="2025-01-06T00:00:00"/>
        <d v="2025-01-08T00:00:00"/>
        <d v="2025-01-09T00:00:00"/>
        <d v="2025-01-10T00:00:00"/>
        <d v="2025-01-11T00:00:00"/>
        <d v="2025-01-12T00:00:00"/>
        <d v="2025-01-13T00:00:00"/>
        <d v="2025-01-14T00:00:00"/>
        <d v="2025-01-15T00:00:00"/>
        <d v="2025-01-17T00:00:00"/>
        <d v="2025-01-18T00:00:00"/>
        <d v="2025-01-19T00:00:00"/>
        <d v="2025-01-20T00:00:00"/>
        <d v="2025-01-21T00:00:00"/>
        <d v="2025-01-22T00:00:00"/>
        <d v="2025-01-23T00:00:00"/>
        <d v="2025-01-24T00:00:00"/>
        <d v="2025-01-26T00:00:00"/>
        <d v="2025-01-27T00:00:00"/>
        <d v="2025-01-28T00:00:00"/>
        <d v="2025-01-29T00:00:00"/>
        <d v="2025-02-02T00:00:00"/>
        <d v="2025-02-03T00:00:00"/>
        <d v="2025-02-04T00:00:00"/>
        <d v="2025-02-05T00:00:00"/>
        <d v="2025-02-07T00:00:00"/>
        <d v="2025-02-08T00:00:00"/>
        <d v="2025-02-09T00:00:00"/>
        <d v="2025-02-10T00:00:00"/>
        <d v="2025-02-11T00:00:00"/>
        <d v="2025-02-14T00:00:00"/>
        <d v="2025-02-15T00:00:00"/>
        <d v="2025-02-17T00:00:00"/>
        <d v="2025-02-18T00:00:00"/>
        <d v="2025-02-19T00:00:00"/>
        <d v="2025-02-20T00:00:00"/>
        <d v="2025-02-23T00:00:00"/>
        <d v="2025-02-25T00:00:00"/>
        <d v="2025-02-26T00:00:00"/>
        <d v="2025-02-27T00:00:00"/>
        <d v="2025-03-01T00:00:00"/>
        <d v="2025-03-02T00:00:00"/>
        <d v="2025-03-03T00:00:00"/>
        <d v="2025-03-04T00:00:00"/>
        <d v="2025-03-09T00:00:00"/>
        <d v="2025-03-10T00:00:00"/>
        <d v="2025-03-11T00:00:00"/>
        <d v="2025-03-12T00:00:00"/>
        <d v="2025-03-13T00:00:00"/>
        <d v="2025-03-14T00:00:00"/>
        <d v="2025-03-15T00:00:00"/>
        <d v="2025-03-18T00:00:00"/>
        <d v="2025-03-19T00:00:00"/>
        <d v="2025-03-20T00:00:00"/>
        <d v="2025-03-22T00:00:00"/>
        <d v="2025-03-23T00:00:00"/>
        <d v="2025-03-24T00:00:00"/>
        <d v="2025-03-25T00:00:00"/>
        <d v="2025-03-26T00:00:00"/>
        <d v="2025-03-27T00:00:00"/>
        <d v="2025-03-30T00:00:00"/>
        <d v="2025-03-31T00:00:00"/>
        <d v="2025-04-03T00:00:00"/>
        <d v="2025-04-04T00:00:00"/>
        <d v="2025-04-06T00:00:00"/>
        <d v="2025-04-07T00:00:00"/>
        <d v="2025-04-10T00:00:00"/>
        <d v="2025-04-11T00:00:00"/>
        <d v="2025-04-13T00:00:00"/>
        <d v="2025-04-14T00:00:00"/>
        <d v="2025-04-15T00:00:00"/>
        <d v="2025-04-17T00:00:00"/>
        <d v="2025-04-18T00:00:00"/>
        <d v="2025-04-20T00:00:00"/>
        <d v="2025-04-21T00:00:00"/>
        <d v="2025-04-22T00:00:00"/>
        <d v="2025-04-24T00:00:00"/>
        <d v="2025-04-25T00:00:00"/>
        <d v="2025-04-26T00:00:00"/>
        <d v="2025-04-27T00:00:00"/>
        <d v="2025-04-28T00:00:00"/>
        <d v="2025-04-29T00:00:00"/>
        <d v="2025-05-01T00:00:00"/>
        <d v="2025-05-02T00:00:00"/>
        <d v="2025-05-03T00:00:00"/>
        <d v="2025-05-04T00:00:00"/>
        <d v="2025-05-05T00:00:00"/>
        <d v="2025-05-08T00:00:00"/>
        <d v="2025-05-09T00:00:00"/>
        <d v="2025-05-12T00:00:00"/>
        <d v="2025-05-13T00:00:00"/>
        <d v="2025-05-15T00:00:00"/>
        <d v="2025-05-16T00:00:00"/>
        <d v="2025-05-17T00:00:00"/>
        <d v="2025-05-19T00:00:00"/>
        <d v="2025-05-20T00:00:00"/>
        <d v="2025-05-23T00:00:00"/>
        <d v="2025-05-24T00:00:00"/>
        <d v="2025-05-25T00:00:00"/>
        <d v="2025-05-27T00:00:00"/>
        <d v="2025-05-28T00:00:00"/>
        <d v="2025-05-29T00:00:00"/>
        <d v="2025-05-30T00:00:00"/>
        <d v="2025-05-31T00:00:00"/>
        <d v="2025-06-05T00:00:00"/>
        <d v="2025-06-07T00:00:00"/>
        <d v="2025-06-08T00:00:00"/>
        <d v="2025-06-11T00:00:00"/>
        <d v="2025-06-13T00:00:00"/>
        <d v="2025-06-14T00:00:00"/>
        <d v="2025-06-16T00:00:00"/>
        <d v="2025-06-18T00:00:00"/>
        <d v="2025-06-19T00:00:00"/>
        <d v="2025-06-20T00:00:00"/>
        <d v="2025-06-21T00:00:00"/>
        <d v="2025-06-26T00:00:00"/>
        <d v="2025-06-30T00:00:00"/>
        <d v="2025-07-01T00:00:00"/>
        <d v="2025-07-02T00:00:00"/>
        <d v="2025-07-03T00:00:00"/>
        <d v="2025-07-04T00:00:00"/>
        <d v="2025-07-06T00:00:00"/>
        <d v="2025-07-07T00:00:00"/>
        <d v="2025-07-08T00:00:00"/>
        <d v="2025-07-10T00:00:00"/>
        <d v="2025-07-11T00:00:00"/>
        <d v="2025-07-12T00:00:00"/>
        <d v="2025-07-13T00:00:00"/>
        <d v="2025-07-14T00:00:00"/>
        <d v="2025-07-16T00:00:00"/>
        <d v="2025-07-17T00:00:00"/>
        <d v="2025-07-19T00:00:00"/>
        <d v="2025-07-24T00:00:00"/>
        <d v="2025-07-26T00:00:00"/>
        <d v="2025-07-27T00:00:00"/>
        <d v="2025-07-28T00:00:00"/>
        <d v="2025-07-29T00:00:00"/>
        <d v="2025-07-30T00:00:00"/>
        <d v="2025-08-02T00:00:00"/>
        <d v="2025-08-04T00:00:00"/>
        <d v="2025-08-05T00:00:00"/>
        <d v="2025-08-06T00:00:00"/>
        <d v="2025-08-07T00:00:00"/>
        <d v="2025-08-09T00:00:00"/>
        <d v="2025-08-10T00:00:00"/>
        <d v="2025-08-11T00:00:00"/>
        <d v="2025-08-12T00:00:00"/>
        <d v="2025-08-13T00:00:00"/>
        <d v="2025-08-17T00:00:00"/>
        <d v="2025-08-18T00:00:00"/>
        <d v="2025-08-20T00:00:00"/>
        <d v="2025-08-24T00:00:00"/>
        <d v="2025-08-26T00:00:00"/>
        <d v="2025-08-28T00:00:00"/>
        <d v="2025-08-29T00:00:00"/>
        <d v="2025-08-31T00:00:00"/>
        <d v="2025-09-01T00:00:00"/>
        <d v="2025-09-03T00:00:00"/>
        <d v="2025-09-04T00:00:00"/>
        <d v="2025-09-07T00:00:00"/>
        <d v="2025-09-09T00:00:00"/>
        <d v="2025-09-10T00:00:00"/>
        <d v="2025-09-11T00:00:00"/>
        <d v="2025-09-13T00:00:00"/>
        <d v="2025-09-14T00:00:00"/>
        <d v="2025-09-15T00:00:00"/>
        <d v="2025-09-16T00:00:00"/>
        <d v="2025-09-17T00:00:00"/>
        <d v="2025-09-19T00:00:00"/>
        <d v="2025-09-20T00:00:00"/>
        <d v="2025-09-21T00:00:00"/>
        <d v="2025-09-22T00:00:00"/>
        <d v="2025-09-23T00:00:00"/>
        <d v="2025-09-25T00:00:00"/>
        <d v="2025-09-26T00:00:00"/>
        <d v="2025-09-28T00:00:00"/>
        <d v="2025-09-30T00:00:00"/>
        <d v="2025-10-01T00:00:00"/>
        <d v="2025-10-03T00:00:00"/>
        <d v="2025-10-04T00:00:00"/>
        <d v="2025-10-05T00:00:00"/>
        <d v="2025-10-07T00:00:00"/>
        <d v="2025-10-08T00:00:00"/>
        <d v="2025-10-09T00:00:00"/>
        <d v="2025-10-10T00:00:00"/>
        <d v="2025-10-11T00:00:00"/>
        <d v="2025-10-12T00:00:00"/>
        <d v="2025-10-13T00:00:00"/>
        <d v="2025-10-14T00:00:00"/>
        <d v="2025-10-15T00:00:00"/>
        <d v="2025-10-16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2T00:00:00"/>
        <d v="2025-12-03T00:00:00"/>
        <d v="2025-12-04T00:00:00"/>
        <d v="2025-12-10T00:00:00"/>
        <d v="2025-12-11T00:00:00"/>
        <d v="2025-12-14T00:00:00"/>
        <d v="2025-12-16T00:00:00"/>
        <d v="2025-12-17T00:00:00"/>
        <d v="2025-12-18T00:00:00"/>
        <d v="2025-12-20T00:00:00"/>
        <d v="2025-12-21T00:00:00"/>
        <d v="2025-12-22T00:00:00"/>
        <d v="2025-12-23T00:00:00"/>
        <d v="2025-12-24T00:00:00"/>
        <d v="2025-12-25T00:00:00"/>
        <d v="2025-12-26T00:00:00"/>
        <d v="2025-12-28T00:00:00"/>
        <d v="2025-12-29T00:00:00"/>
      </sharedItems>
      <fieldGroup par="18" base="1">
        <rangePr groupBy="months" startDate="2024-01-01T00:00:00" endDate="2025-12-30T00:00:00"/>
        <groupItems count="14">
          <s v="&lt;01-01-2024"/>
          <s v="Jan"/>
          <s v="Feb"/>
          <s v="Mar"/>
          <s v="Apr"/>
          <s v="May"/>
          <s v="Jun"/>
          <s v="Jul"/>
          <s v="Aug"/>
          <s v="Sep"/>
          <s v="Oct"/>
          <s v="Nov"/>
          <s v="Dec"/>
          <s v="&gt;30-12-2025"/>
        </groupItems>
      </fieldGroup>
    </cacheField>
    <cacheField name="Customer Name" numFmtId="0">
      <sharedItems/>
    </cacheField>
    <cacheField name="Customer Segment" numFmtId="0">
      <sharedItems count="3">
        <s v="Corporate"/>
        <s v="Small Business"/>
        <s v="Consumer"/>
      </sharedItems>
    </cacheField>
    <cacheField name="Region" numFmtId="0">
      <sharedItems count="4">
        <s v="East"/>
        <s v="West"/>
        <s v="South"/>
        <s v="North"/>
      </sharedItems>
    </cacheField>
    <cacheField name="State" numFmtId="0">
      <sharedItems count="14">
        <s v="Bihar"/>
        <s v="Rajasthan"/>
        <s v="Kerala"/>
        <s v="Maharashtra"/>
        <s v="West Bengal"/>
        <s v="Delhi"/>
        <s v="Punjab"/>
        <s v="Haryana"/>
        <s v="Telangana"/>
        <s v="Karnataka"/>
        <s v="Uttar Pradesh"/>
        <s v="Tamil Nadu"/>
        <s v="Odisha"/>
        <s v="Gujarat"/>
      </sharedItems>
    </cacheField>
    <cacheField name="Category" numFmtId="0">
      <sharedItems count="6">
        <s v="Electronics"/>
        <s v="Home &amp; Kitchen"/>
        <s v="Books"/>
        <s v="Sports &amp; Fitness"/>
        <s v="Beauty &amp; Personal Care"/>
        <s v="Clothing"/>
      </sharedItems>
    </cacheField>
    <cacheField name="Sub-Category" numFmtId="0">
      <sharedItems/>
    </cacheField>
    <cacheField name="Product Name" numFmtId="0">
      <sharedItems/>
    </cacheField>
    <cacheField name="Quantity" numFmtId="0">
      <sharedItems containsSemiMixedTypes="0" containsString="0" containsNumber="1" containsInteger="1" minValue="1" maxValue="5"/>
    </cacheField>
    <cacheField name="Unit Price" numFmtId="4">
      <sharedItems containsSemiMixedTypes="0" containsString="0" containsNumber="1" minValue="155.44" maxValue="64522.43"/>
    </cacheField>
    <cacheField name="Sales" numFmtId="4">
      <sharedItems containsSemiMixedTypes="0" containsString="0" containsNumber="1" minValue="123.95" maxValue="285839.40000000002"/>
    </cacheField>
    <cacheField name="Discount %" numFmtId="164">
      <sharedItems containsSemiMixedTypes="0" containsString="0" containsNumber="1" containsInteger="1" minValue="0" maxValue="30"/>
    </cacheField>
    <cacheField name="Profit" numFmtId="4">
      <sharedItems containsSemiMixedTypes="0" containsString="0" containsNumber="1" minValue="-20163.439999999999" maxValue="24280.05"/>
    </cacheField>
    <cacheField name="Shipping Cost" numFmtId="4">
      <sharedItems containsSemiMixedTypes="0" containsString="0" containsNumber="1" minValue="30.14" maxValue="397.94"/>
    </cacheField>
    <cacheField name="Payment Method" numFmtId="0">
      <sharedItems count="5">
        <s v="Debit Card"/>
        <s v="Credit Card"/>
        <s v="Cash on Delivery"/>
        <s v="UPI"/>
        <s v="Net Banking"/>
      </sharedItems>
    </cacheField>
    <cacheField name="Order Priority" numFmtId="0">
      <sharedItems count="4">
        <s v="Low"/>
        <s v="Critical"/>
        <s v="High"/>
        <s v="Medium"/>
      </sharedItems>
    </cacheField>
    <cacheField name="Quarters" numFmtId="0" databaseField="0">
      <fieldGroup base="1">
        <rangePr groupBy="quarters" startDate="2024-01-01T00:00:00" endDate="2025-12-30T00:00:00"/>
        <groupItems count="6">
          <s v="&lt;01-01-2024"/>
          <s v="Qtr1"/>
          <s v="Qtr2"/>
          <s v="Qtr3"/>
          <s v="Qtr4"/>
          <s v="&gt;30-12-2025"/>
        </groupItems>
      </fieldGroup>
    </cacheField>
    <cacheField name="Years" numFmtId="0" databaseField="0">
      <fieldGroup base="1">
        <rangePr groupBy="years" startDate="2024-01-01T00:00:00" endDate="2025-12-30T00:00:00"/>
        <groupItems count="4">
          <s v="&lt;01-01-2024"/>
          <s v="2024"/>
          <s v="2025"/>
          <s v="&gt;30-12-2025"/>
        </groupItems>
      </fieldGroup>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 Gupta" refreshedDate="46288.630412037041" createdVersion="6" refreshedVersion="6" minRefreshableVersion="3" recordCount="1000" xr:uid="{00000000-000A-0000-FFFF-FFFF02000000}">
  <cacheSource type="worksheet">
    <worksheetSource ref="A1:R1001" sheet="ORDER DATA"/>
  </cacheSource>
  <cacheFields count="22">
    <cacheField name="Order ID" numFmtId="0">
      <sharedItems count="1000">
        <s v="ORD-10153"/>
        <s v="ORD-10104"/>
        <s v="ORD-10121"/>
        <s v="ORD-10178"/>
        <s v="ORD-10648"/>
        <s v="ORD-10310"/>
        <s v="ORD-10043"/>
        <s v="ORD-10807"/>
        <s v="ORD-10610"/>
        <s v="ORD-10698"/>
        <s v="ORD-10850"/>
        <s v="ORD-10607"/>
        <s v="ORD-10066"/>
        <s v="ORD-10134"/>
        <s v="ORD-10044"/>
        <s v="ORD-10412"/>
        <s v="ORD-10110"/>
        <s v="ORD-10879"/>
        <s v="ORD-10660"/>
        <s v="ORD-10291"/>
        <s v="ORD-10897"/>
        <s v="ORD-10414"/>
        <s v="ORD-10382"/>
        <s v="ORD-10413"/>
        <s v="ORD-10771"/>
        <s v="ORD-10016"/>
        <s v="ORD-10169"/>
        <s v="ORD-10962"/>
        <s v="ORD-10892"/>
        <s v="ORD-10220"/>
        <s v="ORD-10207"/>
        <s v="ORD-10408"/>
        <s v="ORD-10417"/>
        <s v="ORD-10419"/>
        <s v="ORD-10061"/>
        <s v="ORD-10883"/>
        <s v="ORD-10331"/>
        <s v="ORD-10700"/>
        <s v="ORD-10551"/>
        <s v="ORD-10845"/>
        <s v="ORD-10262"/>
        <s v="ORD-10447"/>
        <s v="ORD-10564"/>
        <s v="ORD-10519"/>
        <s v="ORD-10295"/>
        <s v="ORD-10603"/>
        <s v="ORD-10445"/>
        <s v="ORD-10212"/>
        <s v="ORD-10959"/>
        <s v="ORD-10450"/>
        <s v="ORD-10948"/>
        <s v="ORD-10350"/>
        <s v="ORD-10054"/>
        <s v="ORD-10418"/>
        <s v="ORD-10102"/>
        <s v="ORD-10250"/>
        <s v="ORD-10149"/>
        <s v="ORD-10019"/>
        <s v="ORD-10094"/>
        <s v="ORD-10206"/>
        <s v="ORD-10218"/>
        <s v="ORD-10131"/>
        <s v="ORD-10684"/>
        <s v="ORD-10080"/>
        <s v="ORD-10453"/>
        <s v="ORD-10885"/>
        <s v="ORD-10257"/>
        <s v="ORD-10686"/>
        <s v="ORD-10995"/>
        <s v="ORD-10985"/>
        <s v="ORD-10063"/>
        <s v="ORD-10015"/>
        <s v="ORD-10130"/>
        <s v="ORD-10957"/>
        <s v="ORD-10065"/>
        <s v="ORD-10243"/>
        <s v="ORD-10822"/>
        <s v="ORD-10106"/>
        <s v="ORD-10452"/>
        <s v="ORD-10626"/>
        <s v="ORD-10988"/>
        <s v="ORD-10202"/>
        <s v="ORD-10662"/>
        <s v="ORD-10311"/>
        <s v="ORD-10273"/>
        <s v="ORD-10238"/>
        <s v="ORD-10089"/>
        <s v="ORD-10744"/>
        <s v="ORD-10819"/>
        <s v="ORD-10767"/>
        <s v="ORD-10676"/>
        <s v="ORD-10366"/>
        <s v="ORD-10487"/>
        <s v="ORD-10939"/>
        <s v="ORD-10914"/>
        <s v="ORD-10814"/>
        <s v="ORD-10724"/>
        <s v="ORD-10620"/>
        <s v="ORD-10431"/>
        <s v="ORD-10181"/>
        <s v="ORD-10651"/>
        <s v="ORD-10496"/>
        <s v="ORD-10136"/>
        <s v="ORD-10426"/>
        <s v="ORD-10011"/>
        <s v="ORD-10481"/>
        <s v="ORD-10270"/>
        <s v="ORD-10981"/>
        <s v="ORD-10639"/>
        <s v="ORD-10935"/>
        <s v="ORD-10082"/>
        <s v="ORD-10880"/>
        <s v="ORD-10602"/>
        <s v="ORD-10835"/>
        <s v="ORD-10540"/>
        <s v="ORD-10738"/>
        <s v="ORD-10122"/>
        <s v="ORD-10070"/>
        <s v="ORD-10706"/>
        <s v="ORD-10267"/>
        <s v="ORD-10583"/>
        <s v="ORD-10003"/>
        <s v="ORD-10463"/>
        <s v="ORD-10327"/>
        <s v="ORD-10588"/>
        <s v="ORD-10865"/>
        <s v="ORD-10893"/>
        <s v="ORD-10506"/>
        <s v="ORD-10805"/>
        <s v="ORD-10646"/>
        <s v="ORD-10916"/>
        <s v="ORD-10288"/>
        <s v="ORD-10641"/>
        <s v="ORD-10787"/>
        <s v="ORD-10763"/>
        <s v="ORD-10972"/>
        <s v="ORD-10284"/>
        <s v="ORD-10277"/>
        <s v="ORD-10928"/>
        <s v="ORD-10511"/>
        <s v="ORD-10396"/>
        <s v="ORD-10196"/>
        <s v="ORD-10961"/>
        <s v="ORD-10733"/>
        <s v="ORD-10958"/>
        <s v="ORD-10313"/>
        <s v="ORD-10552"/>
        <s v="ORD-10683"/>
        <s v="ORD-10856"/>
        <s v="ORD-10831"/>
        <s v="ORD-10459"/>
        <s v="ORD-10386"/>
        <s v="ORD-10170"/>
        <s v="ORD-10268"/>
        <s v="ORD-10464"/>
        <s v="ORD-10468"/>
        <s v="ORD-10160"/>
        <s v="ORD-10830"/>
        <s v="ORD-10172"/>
        <s v="ORD-10697"/>
        <s v="ORD-10717"/>
        <s v="ORD-10968"/>
        <s v="ORD-10922"/>
        <s v="ORD-10129"/>
        <s v="ORD-10537"/>
        <s v="ORD-10339"/>
        <s v="ORD-10441"/>
        <s v="ORD-10998"/>
        <s v="ORD-10092"/>
        <s v="ORD-10955"/>
        <s v="ORD-10120"/>
        <s v="ORD-10318"/>
        <s v="ORD-10142"/>
        <s v="ORD-10884"/>
        <s v="ORD-10973"/>
        <s v="ORD-10960"/>
        <s v="ORD-10397"/>
        <s v="ORD-10296"/>
        <s v="ORD-10341"/>
        <s v="ORD-10072"/>
        <s v="ORD-10480"/>
        <s v="ORD-10806"/>
        <s v="ORD-10518"/>
        <s v="ORD-10334"/>
        <s v="ORD-10353"/>
        <s v="ORD-10193"/>
        <s v="ORD-10279"/>
        <s v="ORD-10858"/>
        <s v="ORD-10389"/>
        <s v="ORD-10869"/>
        <s v="ORD-10987"/>
        <s v="ORD-10443"/>
        <s v="ORD-10776"/>
        <s v="ORD-10183"/>
        <s v="ORD-10197"/>
        <s v="ORD-10230"/>
        <s v="ORD-10789"/>
        <s v="ORD-10820"/>
        <s v="ORD-10899"/>
        <s v="ORD-10696"/>
        <s v="ORD-10857"/>
        <s v="ORD-10794"/>
        <s v="ORD-10797"/>
        <s v="ORD-10891"/>
        <s v="ORD-10764"/>
        <s v="ORD-10317"/>
        <s v="ORD-10190"/>
        <s v="ORD-10557"/>
        <s v="ORD-10838"/>
        <s v="ORD-10037"/>
        <s v="ORD-10631"/>
        <s v="ORD-10921"/>
        <s v="ORD-10390"/>
        <s v="ORD-10388"/>
        <s v="ORD-10556"/>
        <s v="ORD-10792"/>
        <s v="ORD-10810"/>
        <s v="ORD-10342"/>
        <s v="ORD-10864"/>
        <s v="ORD-10107"/>
        <s v="ORD-10918"/>
        <s v="ORD-10719"/>
        <s v="ORD-10599"/>
        <s v="ORD-10910"/>
        <s v="ORD-10477"/>
        <s v="ORD-10671"/>
        <s v="ORD-10289"/>
        <s v="ORD-10045"/>
        <s v="ORD-10355"/>
        <s v="ORD-10793"/>
        <s v="ORD-10416"/>
        <s v="ORD-10685"/>
        <s v="ORD-10515"/>
        <s v="ORD-10383"/>
        <s v="ORD-10244"/>
        <s v="ORD-10545"/>
        <s v="ORD-10022"/>
        <s v="ORD-10242"/>
        <s v="ORD-10575"/>
        <s v="ORD-10394"/>
        <s v="ORD-10103"/>
        <s v="ORD-10191"/>
        <s v="ORD-10777"/>
        <s v="ORD-10075"/>
        <s v="ORD-10894"/>
        <s v="ORD-10201"/>
        <s v="ORD-10818"/>
        <s v="ORD-10475"/>
        <s v="ORD-10882"/>
        <s v="ORD-10544"/>
        <s v="ORD-10168"/>
        <s v="ORD-10303"/>
        <s v="ORD-10159"/>
        <s v="ORD-10752"/>
        <s v="ORD-10097"/>
        <s v="ORD-10860"/>
        <s v="ORD-10815"/>
        <s v="ORD-10974"/>
        <s v="ORD-10868"/>
        <s v="ORD-10108"/>
        <s v="ORD-10576"/>
        <s v="ORD-10758"/>
        <s v="ORD-10205"/>
        <s v="ORD-10837"/>
        <s v="ORD-10870"/>
        <s v="ORD-10775"/>
        <s v="ORD-10991"/>
        <s v="ORD-10283"/>
        <s v="ORD-10387"/>
        <s v="ORD-10934"/>
        <s v="ORD-10799"/>
        <s v="ORD-10999"/>
        <s v="ORD-10623"/>
        <s v="ORD-10297"/>
        <s v="ORD-10826"/>
        <s v="ORD-10232"/>
        <s v="ORD-10722"/>
        <s v="ORD-10801"/>
        <s v="ORD-10115"/>
        <s v="ORD-10077"/>
        <s v="ORD-10873"/>
        <s v="ORD-10951"/>
        <s v="ORD-10567"/>
        <s v="ORD-10155"/>
        <s v="ORD-10650"/>
        <s v="ORD-10875"/>
        <s v="ORD-10251"/>
        <s v="ORD-10528"/>
        <s v="ORD-10336"/>
        <s v="ORD-10813"/>
        <s v="ORD-10627"/>
        <s v="ORD-10786"/>
        <s v="ORD-10945"/>
        <s v="ORD-10033"/>
        <s v="ORD-10779"/>
        <s v="ORD-10013"/>
        <s v="ORD-10634"/>
        <s v="ORD-10804"/>
        <s v="ORD-10616"/>
        <s v="ORD-10140"/>
        <s v="ORD-10584"/>
        <s v="ORD-10996"/>
        <s v="ORD-10780"/>
        <s v="ORD-10306"/>
        <s v="ORD-10778"/>
        <s v="ORD-10803"/>
        <s v="ORD-10469"/>
        <s v="ORD-10049"/>
        <s v="ORD-10052"/>
        <s v="ORD-10085"/>
        <s v="ORD-10532"/>
        <s v="ORD-10843"/>
        <s v="ORD-10407"/>
        <s v="ORD-10628"/>
        <s v="ORD-10471"/>
        <s v="ORD-10088"/>
        <s v="ORD-10635"/>
        <s v="ORD-10536"/>
        <s v="ORD-10204"/>
        <s v="ORD-10720"/>
        <s v="ORD-10630"/>
        <s v="ORD-10827"/>
        <s v="ORD-10117"/>
        <s v="ORD-10674"/>
        <s v="ORD-10941"/>
        <s v="ORD-10661"/>
        <s v="ORD-10828"/>
        <s v="ORD-10458"/>
        <s v="ORD-10539"/>
        <s v="ORD-10709"/>
        <s v="ORD-10184"/>
        <s v="ORD-10485"/>
        <s v="ORD-10825"/>
        <s v="ORD-10911"/>
        <s v="ORD-10374"/>
        <s v="ORD-10550"/>
        <s v="ORD-10398"/>
        <s v="ORD-10863"/>
        <s v="ORD-10712"/>
        <s v="ORD-10472"/>
        <s v="ORD-10165"/>
        <s v="ORD-10444"/>
        <s v="ORD-10664"/>
        <s v="ORD-10369"/>
        <s v="ORD-10568"/>
        <s v="ORD-10636"/>
        <s v="ORD-10912"/>
        <s v="ORD-10500"/>
        <s v="ORD-10940"/>
        <s v="ORD-10171"/>
        <s v="ORD-10821"/>
        <s v="ORD-10833"/>
        <s v="ORD-10516"/>
        <s v="ORD-10449"/>
        <s v="ORD-10036"/>
        <s v="ORD-10978"/>
        <s v="ORD-10907"/>
        <s v="ORD-10298"/>
        <s v="ORD-10432"/>
        <s v="ORD-10692"/>
        <s v="ORD-10672"/>
        <s v="ORD-10161"/>
        <s v="ORD-10781"/>
        <s v="ORD-10896"/>
        <s v="ORD-10014"/>
        <s v="ORD-10889"/>
        <s v="ORD-10493"/>
        <s v="ORD-10507"/>
        <s v="ORD-10100"/>
        <s v="ORD-10173"/>
        <s v="ORD-10403"/>
        <s v="ORD-10430"/>
        <s v="ORD-10984"/>
        <s v="ORD-10898"/>
        <s v="ORD-10304"/>
        <s v="ORD-10701"/>
        <s v="ORD-10543"/>
        <s v="ORD-10320"/>
        <s v="ORD-10756"/>
        <s v="ORD-10929"/>
        <s v="ORD-10064"/>
        <s v="ORD-10533"/>
        <s v="ORD-10721"/>
        <s v="ORD-10640"/>
        <s v="ORD-10937"/>
        <s v="ORD-10263"/>
        <s v="ORD-10470"/>
        <s v="ORD-10455"/>
        <s v="ORD-10596"/>
        <s v="ORD-10315"/>
        <s v="ORD-10384"/>
        <s v="ORD-10643"/>
        <s v="ORD-10979"/>
        <s v="ORD-10241"/>
        <s v="ORD-10514"/>
        <s v="ORD-10363"/>
        <s v="ORD-10615"/>
        <s v="ORD-10704"/>
        <s v="ORD-10215"/>
        <s v="ORD-10337"/>
        <s v="ORD-10307"/>
        <s v="ORD-10433"/>
        <s v="ORD-10658"/>
        <s v="ORD-10983"/>
        <s v="ORD-10649"/>
        <s v="ORD-10736"/>
        <s v="ORD-10905"/>
        <s v="ORD-10677"/>
        <s v="ORD-10654"/>
        <s v="ORD-10249"/>
        <s v="ORD-10855"/>
        <s v="ORD-10909"/>
        <s v="ORD-10926"/>
        <s v="ORD-10735"/>
        <s v="ORD-10188"/>
        <s v="ORD-10156"/>
        <s v="ORD-10030"/>
        <s v="ORD-10669"/>
        <s v="ORD-10221"/>
        <s v="ORD-10502"/>
        <s v="ORD-10158"/>
        <s v="ORD-10347"/>
        <s v="ORD-10278"/>
        <s v="ORD-10563"/>
        <s v="ORD-10668"/>
        <s v="ORD-10621"/>
        <s v="ORD-10731"/>
        <s v="ORD-10056"/>
        <s v="ORD-10332"/>
        <s v="ORD-10492"/>
        <s v="ORD-10175"/>
        <s v="ORD-10322"/>
        <s v="ORD-10491"/>
        <s v="ORD-10038"/>
        <s v="ORD-10917"/>
        <s v="ORD-10675"/>
        <s v="ORD-10330"/>
        <s v="ORD-10482"/>
        <s v="ORD-10328"/>
        <s v="ORD-10194"/>
        <s v="ORD-10248"/>
        <s v="ORD-10925"/>
        <s v="ORD-10245"/>
        <s v="ORD-10548"/>
        <s v="ORD-10395"/>
        <s v="ORD-10997"/>
        <s v="ORD-10936"/>
        <s v="ORD-11000"/>
        <s v="ORD-10688"/>
        <s v="ORD-10324"/>
        <s v="ORD-10247"/>
        <s v="ORD-10510"/>
        <s v="ORD-10301"/>
        <s v="ORD-10486"/>
        <s v="ORD-10932"/>
        <s v="ORD-10963"/>
        <s v="ORD-10333"/>
        <s v="ORD-10695"/>
        <s v="ORD-10729"/>
        <s v="ORD-10226"/>
        <s v="ORD-10260"/>
        <s v="ORD-10128"/>
        <s v="ORD-10127"/>
        <s v="ORD-10725"/>
        <s v="ORD-10655"/>
        <s v="ORD-10748"/>
        <s v="ORD-10903"/>
        <s v="ORD-10535"/>
        <s v="ORD-10208"/>
        <s v="ORD-10186"/>
        <s v="ORD-10915"/>
        <s v="ORD-10503"/>
        <s v="ORD-10017"/>
        <s v="ORD-10375"/>
        <s v="ORD-10039"/>
        <s v="ORD-10042"/>
        <s v="ORD-10028"/>
        <s v="ORD-10359"/>
        <s v="ORD-10067"/>
        <s v="ORD-10148"/>
        <s v="ORD-10137"/>
        <s v="ORD-10513"/>
        <s v="ORD-10294"/>
        <s v="ORD-10942"/>
        <s v="ORD-10990"/>
        <s v="ORD-10558"/>
        <s v="ORD-10614"/>
        <s v="ORD-10074"/>
        <s v="ORD-10111"/>
        <s v="ORD-10604"/>
        <s v="ORD-10497"/>
        <s v="ORD-10952"/>
        <s v="ORD-10216"/>
        <s v="ORD-10258"/>
        <s v="ORD-10754"/>
        <s v="ORD-10687"/>
        <s v="ORD-10751"/>
        <s v="ORD-10409"/>
        <s v="ORD-10812"/>
        <s v="ORD-10971"/>
        <s v="ORD-10673"/>
        <s v="ORD-10931"/>
        <s v="ORD-10144"/>
        <s v="ORD-10965"/>
        <s v="ORD-10531"/>
        <s v="ORD-10924"/>
        <s v="ORD-10287"/>
        <s v="ORD-10442"/>
        <s v="ORD-10228"/>
        <s v="ORD-10116"/>
        <s v="ORD-10785"/>
        <s v="ORD-10483"/>
        <s v="ORD-10526"/>
        <s v="ORD-10338"/>
        <s v="ORD-10157"/>
        <s v="ORD-10784"/>
        <s v="ORD-10029"/>
        <s v="ORD-10146"/>
        <s v="ORD-10591"/>
        <s v="ORD-10454"/>
        <s v="ORD-10018"/>
        <s v="ORD-10520"/>
        <s v="ORD-10560"/>
        <s v="ORD-10370"/>
        <s v="ORD-10302"/>
        <s v="ORD-10354"/>
        <s v="ORD-10946"/>
        <s v="ORD-10954"/>
        <s v="ORD-10802"/>
        <s v="ORD-10852"/>
        <s v="ORD-10699"/>
        <s v="ORD-10035"/>
        <s v="ORD-10118"/>
        <s v="ORD-10059"/>
        <s v="ORD-10200"/>
        <s v="ORD-10004"/>
        <s v="ORD-10800"/>
        <s v="ORD-10271"/>
        <s v="ORD-10009"/>
        <s v="ORD-10124"/>
        <s v="ORD-10705"/>
        <s v="ORD-10234"/>
        <s v="ORD-10609"/>
        <s v="ORD-10795"/>
        <s v="ORD-10373"/>
        <s v="ORD-10817"/>
        <s v="ORD-10947"/>
        <s v="ORD-10571"/>
        <s v="ORD-10280"/>
        <s v="ORD-10749"/>
        <s v="ORD-10151"/>
        <s v="ORD-10867"/>
        <s v="ORD-10023"/>
        <s v="ORD-10600"/>
        <s v="ORD-10143"/>
        <s v="ORD-10467"/>
        <s v="ORD-10367"/>
        <s v="ORD-10790"/>
        <s v="ORD-10632"/>
        <s v="ORD-10755"/>
        <s v="ORD-10476"/>
        <s v="ORD-10739"/>
        <s v="ORD-10125"/>
        <s v="ORD-10399"/>
        <s v="ORD-10666"/>
        <s v="ORD-10769"/>
        <s v="ORD-10135"/>
        <s v="ORD-10494"/>
        <s v="ORD-10177"/>
        <s v="ORD-10566"/>
        <s v="ORD-10166"/>
        <s v="ORD-10716"/>
        <s v="ORD-10259"/>
        <s v="ORD-10708"/>
        <s v="ORD-10400"/>
        <s v="ORD-10890"/>
        <s v="ORD-10849"/>
        <s v="ORD-10101"/>
        <s v="ORD-10233"/>
        <s v="ORD-10534"/>
        <s v="ORD-10713"/>
        <s v="ORD-10326"/>
        <s v="ORD-10335"/>
        <s v="ORD-10509"/>
        <s v="ORD-10385"/>
        <s v="ORD-10046"/>
        <s v="ORD-10378"/>
        <s v="ORD-10949"/>
        <s v="ORD-10900"/>
        <s v="ORD-10440"/>
        <s v="ORD-10314"/>
        <s v="ORD-10523"/>
        <s v="ORD-10966"/>
        <s v="ORD-10611"/>
        <s v="ORD-10573"/>
        <s v="ORD-10930"/>
        <s v="ORD-10235"/>
        <s v="ORD-10992"/>
        <s v="ORD-10601"/>
        <s v="ORD-10391"/>
        <s v="ORD-10001"/>
        <s v="ORD-10415"/>
        <s v="ORD-10747"/>
        <s v="ORD-10484"/>
        <s v="ORD-10841"/>
        <s v="ORD-10980"/>
        <s v="ORD-10343"/>
        <s v="ORD-10774"/>
        <s v="ORD-10239"/>
        <s v="ORD-10521"/>
        <s v="ORD-10644"/>
        <s v="ORD-10702"/>
        <s v="ORD-10090"/>
        <s v="ORD-10824"/>
        <s v="ORD-10851"/>
        <s v="ORD-10164"/>
        <s v="ORD-10679"/>
        <s v="ORD-10718"/>
        <s v="ORD-10411"/>
        <s v="ORD-10617"/>
        <s v="ORD-10561"/>
        <s v="ORD-10622"/>
        <s v="ORD-10653"/>
        <s v="ORD-10577"/>
        <s v="ORD-10091"/>
        <s v="ORD-10581"/>
        <s v="ORD-10565"/>
        <s v="ORD-10348"/>
        <s v="ORD-10269"/>
        <s v="ORD-10360"/>
        <s v="ORD-10264"/>
        <s v="ORD-10005"/>
        <s v="ORD-10757"/>
        <s v="ORD-10176"/>
        <s v="ORD-10908"/>
        <s v="ORD-10406"/>
        <s v="ORD-10405"/>
        <s v="ORD-10002"/>
        <s v="ORD-10185"/>
        <s v="ORD-10093"/>
        <s v="ORD-10051"/>
        <s v="ORD-10062"/>
        <s v="ORD-10811"/>
        <s v="ORD-10041"/>
        <s v="ORD-10069"/>
        <s v="ORD-10652"/>
        <s v="ORD-10119"/>
        <s v="ORD-10425"/>
        <s v="ORD-10356"/>
        <s v="ORD-10189"/>
        <s v="ORD-10489"/>
        <s v="ORD-10012"/>
        <s v="ORD-10300"/>
        <s v="ORD-10219"/>
        <s v="ORD-10737"/>
        <s v="ORD-10816"/>
        <s v="ORD-10969"/>
        <s v="ORD-10424"/>
        <s v="ORD-10266"/>
        <s v="ORD-10874"/>
        <s v="ORD-10379"/>
        <s v="ORD-10473"/>
        <s v="ORD-10261"/>
        <s v="ORD-10222"/>
        <s v="ORD-10529"/>
        <s v="ORD-10008"/>
        <s v="ORD-10970"/>
        <s v="ORD-10585"/>
        <s v="ORD-10071"/>
        <s v="ORD-10663"/>
        <s v="ORD-10598"/>
        <s v="ORD-10229"/>
        <s v="ORD-10788"/>
        <s v="ORD-10364"/>
        <s v="ORD-10964"/>
        <s v="ORD-10376"/>
        <s v="ORD-10871"/>
        <s v="ORD-10490"/>
        <s v="ORD-10618"/>
        <s v="ORD-10808"/>
        <s v="ORD-10393"/>
        <s v="ORD-10217"/>
        <s v="ORD-10579"/>
        <s v="ORD-10836"/>
        <s v="ORD-10689"/>
        <s v="ORD-10163"/>
        <s v="ORD-10105"/>
        <s v="ORD-10060"/>
        <s v="ORD-10010"/>
        <s v="ORD-10346"/>
        <s v="ORD-10047"/>
        <s v="ORD-10913"/>
        <s v="ORD-10109"/>
        <s v="ORD-10743"/>
        <s v="ORD-10358"/>
        <s v="ORD-10076"/>
        <s v="ORD-10098"/>
        <s v="ORD-10901"/>
        <s v="ORD-10167"/>
        <s v="ORD-10272"/>
        <s v="ORD-10586"/>
        <s v="ORD-10741"/>
        <s v="ORD-10595"/>
        <s v="ORD-10402"/>
        <s v="ORD-10349"/>
        <s v="ORD-10986"/>
        <s v="ORD-10255"/>
        <s v="ORD-10590"/>
        <s v="ORD-10368"/>
        <s v="ORD-10759"/>
        <s v="ORD-10223"/>
        <s v="ORD-10224"/>
        <s v="ORD-10842"/>
        <s v="ORD-10021"/>
        <s v="ORD-10199"/>
        <s v="ORD-10555"/>
        <s v="ORD-10989"/>
        <s v="ORD-10753"/>
        <s v="ORD-10796"/>
        <s v="ORD-10642"/>
        <s v="ORD-10504"/>
        <s v="ORD-10943"/>
        <s v="ORD-10633"/>
        <s v="ORD-10457"/>
        <s v="ORD-10967"/>
        <s v="ORD-10730"/>
        <s v="ORD-10254"/>
        <s v="ORD-10114"/>
        <s v="ORD-10456"/>
        <s v="ORD-10895"/>
        <s v="ORD-10613"/>
        <s v="ORD-10569"/>
        <s v="ORD-10187"/>
        <s v="ORD-10734"/>
        <s v="ORD-10647"/>
        <s v="ORD-10024"/>
        <s v="ORD-10057"/>
        <s v="ORD-10240"/>
        <s v="ORD-10766"/>
        <s v="ORD-10498"/>
        <s v="ORD-10608"/>
        <s v="ORD-10740"/>
        <s v="ORD-10026"/>
        <s v="ORD-10381"/>
        <s v="ORD-10321"/>
        <s v="ORD-10549"/>
        <s v="ORD-10853"/>
        <s v="ORD-10162"/>
        <s v="ORD-10524"/>
        <s v="ORD-10446"/>
        <s v="ORD-10629"/>
        <s v="ORD-10953"/>
        <s v="ORD-10436"/>
        <s v="ORD-10887"/>
        <s v="ORD-10542"/>
        <s v="ORD-10859"/>
        <s v="ORD-10410"/>
        <s v="ORD-10237"/>
        <s v="ORD-10772"/>
        <s v="ORD-10096"/>
        <s v="ORD-10281"/>
        <s v="ORD-10319"/>
        <s v="ORD-10256"/>
        <s v="ORD-10982"/>
        <s v="ORD-10847"/>
        <s v="ORD-10665"/>
        <s v="ORD-10659"/>
        <s v="ORD-10619"/>
        <s v="ORD-10380"/>
        <s v="ORD-10083"/>
        <s v="ORD-10427"/>
        <s v="ORD-10195"/>
        <s v="ORD-10809"/>
        <s v="ORD-10150"/>
        <s v="ORD-10081"/>
        <s v="ORD-10055"/>
        <s v="ORD-10377"/>
        <s v="ORD-10861"/>
        <s v="ORD-10678"/>
        <s v="ORD-10478"/>
        <s v="ORD-10854"/>
        <s v="ORD-10460"/>
        <s v="ORD-10145"/>
        <s v="ORD-10711"/>
        <s v="ORD-10681"/>
        <s v="ORD-10434"/>
        <s v="ORD-10572"/>
        <s v="ORD-10428"/>
        <s v="ORD-10027"/>
        <s v="ORD-10309"/>
        <s v="ORD-10862"/>
        <s v="ORD-10746"/>
        <s v="ORD-10214"/>
        <s v="ORD-10710"/>
        <s v="ORD-10834"/>
        <s v="ORD-10084"/>
        <s v="ORD-10525"/>
        <s v="ORD-10637"/>
        <s v="ORD-10723"/>
        <s v="ORD-10329"/>
        <s v="ORD-10512"/>
        <s v="ORD-10305"/>
        <s v="ORD-10141"/>
        <s v="ORD-10488"/>
        <s v="ORD-10435"/>
        <s v="ORD-10562"/>
        <s v="ORD-10308"/>
        <s v="ORD-10095"/>
        <s v="ORD-10246"/>
        <s v="ORD-10286"/>
        <s v="ORD-10299"/>
        <s v="ORD-10783"/>
        <s v="ORD-10906"/>
        <s v="ORD-10040"/>
        <s v="ORD-10474"/>
        <s v="ORD-10050"/>
        <s v="ORD-10182"/>
        <s v="ORD-10352"/>
        <s v="ORD-10877"/>
        <s v="ORD-10192"/>
        <s v="ORD-10770"/>
        <s v="ORD-10798"/>
        <s v="ORD-10323"/>
        <s v="ORD-10938"/>
        <s v="ORD-10732"/>
        <s v="ORD-10209"/>
        <s v="ORD-10265"/>
        <s v="ORD-10530"/>
        <s v="ORD-10994"/>
        <s v="ORD-10466"/>
        <s v="ORD-10554"/>
        <s v="ORD-10351"/>
        <s v="ORD-10499"/>
        <s v="ORD-10112"/>
        <s v="ORD-10099"/>
        <s v="ORD-10461"/>
        <s v="ORD-10582"/>
        <s v="ORD-10782"/>
        <s v="ORD-10638"/>
        <s v="ORD-10587"/>
        <s v="ORD-10680"/>
        <s v="ORD-10742"/>
        <s v="ORD-10645"/>
        <s v="ORD-10761"/>
        <s v="ORD-10392"/>
        <s v="ORD-10927"/>
        <s v="ORD-10578"/>
        <s v="ORD-10920"/>
        <s v="ORD-10846"/>
        <s v="ORD-10371"/>
        <s v="ORD-10372"/>
        <s v="ORD-10361"/>
        <s v="ORD-10025"/>
        <s v="ORD-10848"/>
        <s v="ORD-10451"/>
        <s v="ORD-10345"/>
        <s v="ORD-10904"/>
        <s v="ORD-10508"/>
        <s v="ORD-10517"/>
        <s v="ORD-10580"/>
        <s v="ORD-10479"/>
        <s v="ORD-10656"/>
        <s v="ORD-10053"/>
        <s v="ORD-10505"/>
        <s v="ORD-10726"/>
        <s v="ORD-10773"/>
        <s v="ORD-10657"/>
        <s v="ORD-10282"/>
        <s v="ORD-10344"/>
        <s v="ORD-10179"/>
        <s v="ORD-10762"/>
        <s v="ORD-10404"/>
        <s v="ORD-10707"/>
        <s v="ORD-10956"/>
        <s v="ORD-10058"/>
        <s v="ORD-10881"/>
        <s v="ORD-10087"/>
        <s v="ORD-10538"/>
        <s v="ORD-10422"/>
        <s v="ORD-10594"/>
        <s v="ORD-10703"/>
        <s v="ORD-10236"/>
        <s v="ORD-10760"/>
        <s v="ORD-10465"/>
        <s v="ORD-10180"/>
        <s v="ORD-10139"/>
        <s v="ORD-10923"/>
        <s v="ORD-10527"/>
        <s v="ORD-10133"/>
        <s v="ORD-10612"/>
        <s v="ORD-10522"/>
        <s v="ORD-10495"/>
        <s v="ORD-10316"/>
        <s v="ORD-10068"/>
        <s v="ORD-10462"/>
        <s v="ORD-10357"/>
        <s v="ORD-10421"/>
        <s v="ORD-10944"/>
        <s v="ORD-10902"/>
        <s v="ORD-10439"/>
        <s v="ORD-10198"/>
        <s v="ORD-10154"/>
        <s v="ORD-10123"/>
        <s v="ORD-10714"/>
        <s v="ORD-10624"/>
        <s v="ORD-10589"/>
        <s v="ORD-10213"/>
        <s v="ORD-10888"/>
        <s v="ORD-10276"/>
        <s v="ORD-10745"/>
        <s v="ORD-10365"/>
        <s v="ORD-10715"/>
        <s v="ORD-10791"/>
        <s v="ORD-10448"/>
        <s v="ORD-10919"/>
        <s v="ORD-10694"/>
        <s v="ORD-10048"/>
        <s v="ORD-10252"/>
        <s v="ORD-10553"/>
        <s v="ORD-10340"/>
        <s v="ORD-10174"/>
        <s v="ORD-10031"/>
        <s v="ORD-10559"/>
        <s v="ORD-10210"/>
        <s v="ORD-10872"/>
        <s v="ORD-10541"/>
        <s v="ORD-10401"/>
        <s v="ORD-10606"/>
        <s v="ORD-10690"/>
        <s v="ORD-10274"/>
        <s v="ORD-10285"/>
        <s v="ORD-10592"/>
        <s v="ORD-10007"/>
        <s v="ORD-10547"/>
        <s v="ORD-10605"/>
        <s v="ORD-10227"/>
        <s v="ORD-10086"/>
        <s v="ORD-10670"/>
        <s v="ORD-10501"/>
        <s v="ORD-10078"/>
        <s v="ORD-10682"/>
        <s v="ORD-10438"/>
        <s v="ORD-10750"/>
        <s v="ORD-10546"/>
        <s v="ORD-10691"/>
        <s v="ORD-10079"/>
        <s v="ORD-10574"/>
        <s v="ORD-10977"/>
        <s v="ORD-10950"/>
        <s v="ORD-10886"/>
        <s v="ORD-10032"/>
        <s v="ORD-10727"/>
        <s v="ORD-10312"/>
        <s v="ORD-10275"/>
        <s v="ORD-10829"/>
        <s v="ORD-10593"/>
        <s v="ORD-10253"/>
        <s v="ORD-10844"/>
        <s v="ORD-10693"/>
        <s v="ORD-10292"/>
        <s v="ORD-10132"/>
        <s v="ORD-10437"/>
        <s v="ORD-10073"/>
        <s v="ORD-10420"/>
        <s v="ORD-10976"/>
        <s v="ORD-10034"/>
        <s v="ORD-10876"/>
        <s v="ORD-10006"/>
        <s v="ORD-10823"/>
        <s v="ORD-10290"/>
        <s v="ORD-10839"/>
        <s v="ORD-10211"/>
        <s v="ORD-10362"/>
        <s v="ORD-10878"/>
        <s v="ORD-10423"/>
        <s v="ORD-10113"/>
        <s v="ORD-10126"/>
        <s v="ORD-10147"/>
        <s v="ORD-10429"/>
        <s v="ORD-10225"/>
        <s v="ORD-10667"/>
        <s v="ORD-10728"/>
        <s v="ORD-10840"/>
        <s v="ORD-10625"/>
        <s v="ORD-10933"/>
        <s v="ORD-10203"/>
        <s v="ORD-10768"/>
        <s v="ORD-10231"/>
        <s v="ORD-10765"/>
        <s v="ORD-10993"/>
        <s v="ORD-10293"/>
        <s v="ORD-10152"/>
        <s v="ORD-10325"/>
        <s v="ORD-10975"/>
        <s v="ORD-10866"/>
        <s v="ORD-10138"/>
        <s v="ORD-10570"/>
        <s v="ORD-10832"/>
        <s v="ORD-10020"/>
        <s v="ORD-10597"/>
      </sharedItems>
    </cacheField>
    <cacheField name="Order Date" numFmtId="165">
      <sharedItems containsSemiMixedTypes="0" containsNonDate="0" containsDate="1" containsString="0" minDate="2024-01-01T00:00:00" maxDate="2025-12-30T00:00:00" count="506">
        <d v="2024-01-01T00:00:00"/>
        <d v="2024-01-02T00:00:00"/>
        <d v="2024-01-03T00:00:00"/>
        <d v="2024-01-05T00:00:00"/>
        <d v="2024-01-09T00:00:00"/>
        <d v="2024-01-10T00:00:00"/>
        <d v="2024-01-12T00:00:00"/>
        <d v="2024-01-13T00:00:00"/>
        <d v="2024-01-15T00:00:00"/>
        <d v="2024-01-16T00:00:00"/>
        <d v="2024-01-17T00:00:00"/>
        <d v="2024-01-19T00:00:00"/>
        <d v="2024-01-20T00:00:00"/>
        <d v="2024-01-21T00:00:00"/>
        <d v="2024-01-22T00:00:00"/>
        <d v="2024-01-23T00:00:00"/>
        <d v="2024-01-24T00:00:00"/>
        <d v="2024-01-25T00:00:00"/>
        <d v="2024-01-28T00:00:00"/>
        <d v="2024-01-29T00:00:00"/>
        <d v="2024-02-01T00:00:00"/>
        <d v="2024-02-02T00:00:00"/>
        <d v="2024-02-05T00:00:00"/>
        <d v="2024-02-06T00:00:00"/>
        <d v="2024-02-07T00:00:00"/>
        <d v="2024-02-08T00:00:00"/>
        <d v="2024-02-09T00:00:00"/>
        <d v="2024-02-10T00:00:00"/>
        <d v="2024-02-11T00:00:00"/>
        <d v="2024-02-12T00:00:00"/>
        <d v="2024-02-13T00:00:00"/>
        <d v="2024-02-14T00:00:00"/>
        <d v="2024-02-15T00:00:00"/>
        <d v="2024-02-16T00:00:00"/>
        <d v="2024-02-17T00:00:00"/>
        <d v="2024-02-19T00:00:00"/>
        <d v="2024-02-20T00:00:00"/>
        <d v="2024-02-22T00:00:00"/>
        <d v="2024-02-23T00:00:00"/>
        <d v="2024-02-27T00:00:00"/>
        <d v="2024-02-28T00:00:00"/>
        <d v="2024-02-29T00:00:00"/>
        <d v="2024-03-01T00:00:00"/>
        <d v="2024-03-02T00:00:00"/>
        <d v="2024-03-03T00:00:00"/>
        <d v="2024-03-04T00:00:00"/>
        <d v="2024-03-05T00:00:00"/>
        <d v="2024-03-07T00:00:00"/>
        <d v="2024-03-08T00:00:00"/>
        <d v="2024-03-11T00:00:00"/>
        <d v="2024-03-12T00:00:00"/>
        <d v="2024-03-13T00:00:00"/>
        <d v="2024-03-14T00:00:00"/>
        <d v="2024-03-15T00:00:00"/>
        <d v="2024-03-16T00:00:00"/>
        <d v="2024-03-18T00:00:00"/>
        <d v="2024-03-21T00:00:00"/>
        <d v="2024-03-23T00:00:00"/>
        <d v="2024-03-24T00:00:00"/>
        <d v="2024-03-25T00:00:00"/>
        <d v="2024-03-27T00:00:00"/>
        <d v="2024-03-30T00:00:00"/>
        <d v="2024-03-31T00:00:00"/>
        <d v="2024-04-01T00:00:00"/>
        <d v="2024-04-04T00:00:00"/>
        <d v="2024-04-05T00:00:00"/>
        <d v="2024-04-06T00:00:00"/>
        <d v="2024-04-08T00:00:00"/>
        <d v="2024-04-09T00:00:00"/>
        <d v="2024-04-11T00:00:00"/>
        <d v="2024-04-15T00:00:00"/>
        <d v="2024-04-16T00:00:00"/>
        <d v="2024-04-18T00:00:00"/>
        <d v="2024-04-20T00:00:00"/>
        <d v="2024-04-21T00:00:00"/>
        <d v="2024-04-22T00:00:00"/>
        <d v="2024-04-23T00:00:00"/>
        <d v="2024-04-25T00:00:00"/>
        <d v="2024-04-26T00:00:00"/>
        <d v="2024-04-27T00:00:00"/>
        <d v="2024-04-28T00:00:00"/>
        <d v="2024-04-29T00:00:00"/>
        <d v="2024-05-01T00:00:00"/>
        <d v="2024-05-02T00:00:00"/>
        <d v="2024-05-05T00:00:00"/>
        <d v="2024-05-06T00:00:00"/>
        <d v="2024-05-07T00:00:00"/>
        <d v="2024-05-08T00:00:00"/>
        <d v="2024-05-09T00:00:00"/>
        <d v="2024-05-10T00:00:00"/>
        <d v="2024-05-11T00:00:00"/>
        <d v="2024-05-13T00:00:00"/>
        <d v="2024-05-14T00:00:00"/>
        <d v="2024-05-16T00:00:00"/>
        <d v="2024-05-17T00:00:00"/>
        <d v="2024-05-18T00:00:00"/>
        <d v="2024-05-20T00:00:00"/>
        <d v="2024-05-21T00:00:00"/>
        <d v="2024-05-22T00:00:00"/>
        <d v="2024-05-23T00:00:00"/>
        <d v="2024-05-24T00:00:00"/>
        <d v="2024-05-25T00:00:00"/>
        <d v="2024-05-26T00:00:00"/>
        <d v="2024-05-28T00:00:00"/>
        <d v="2024-05-31T00:00:00"/>
        <d v="2024-06-02T00:00:00"/>
        <d v="2024-06-04T00:00:00"/>
        <d v="2024-06-08T00:00:00"/>
        <d v="2024-06-10T00:00:00"/>
        <d v="2024-06-14T00:00:00"/>
        <d v="2024-06-19T00:00:00"/>
        <d v="2024-06-21T00:00:00"/>
        <d v="2024-06-23T00:00:00"/>
        <d v="2024-06-25T00:00:00"/>
        <d v="2024-06-26T00:00:00"/>
        <d v="2024-06-27T00:00:00"/>
        <d v="2024-06-30T00:00:00"/>
        <d v="2024-07-01T00:00:00"/>
        <d v="2024-07-02T00:00:00"/>
        <d v="2024-07-03T00:00:00"/>
        <d v="2024-07-05T00:00:00"/>
        <d v="2024-07-07T00:00:00"/>
        <d v="2024-07-11T00:00:00"/>
        <d v="2024-07-12T00:00:00"/>
        <d v="2024-07-15T00:00:00"/>
        <d v="2024-07-16T00:00:00"/>
        <d v="2024-07-17T00:00:00"/>
        <d v="2024-07-18T00:00:00"/>
        <d v="2024-07-19T00:00:00"/>
        <d v="2024-07-20T00:00:00"/>
        <d v="2024-07-21T00:00:00"/>
        <d v="2024-07-22T00:00:00"/>
        <d v="2024-07-23T00:00:00"/>
        <d v="2024-07-24T00:00:00"/>
        <d v="2024-07-25T00:00:00"/>
        <d v="2024-07-26T00:00:00"/>
        <d v="2024-07-27T00:00:00"/>
        <d v="2024-07-29T00:00:00"/>
        <d v="2024-07-30T00:00:00"/>
        <d v="2024-07-31T00:00:00"/>
        <d v="2024-08-03T00:00:00"/>
        <d v="2024-08-05T00:00:00"/>
        <d v="2024-08-07T00:00:00"/>
        <d v="2024-08-09T00:00:00"/>
        <d v="2024-08-10T00:00:00"/>
        <d v="2024-08-12T00:00:00"/>
        <d v="2024-08-13T00:00:00"/>
        <d v="2024-08-14T00:00:00"/>
        <d v="2024-08-15T00:00:00"/>
        <d v="2024-08-16T00:00:00"/>
        <d v="2024-08-17T00:00:00"/>
        <d v="2024-08-19T00:00:00"/>
        <d v="2024-08-20T00:00:00"/>
        <d v="2024-08-22T00:00:00"/>
        <d v="2024-08-24T00:00:00"/>
        <d v="2024-08-26T00:00:00"/>
        <d v="2024-08-28T00:00:00"/>
        <d v="2024-08-29T00:00:00"/>
        <d v="2024-09-02T00:00:00"/>
        <d v="2024-09-03T00:00:00"/>
        <d v="2024-09-06T00:00:00"/>
        <d v="2024-09-07T00:00:00"/>
        <d v="2024-09-11T00:00:00"/>
        <d v="2024-09-12T00:00:00"/>
        <d v="2024-09-14T00:00:00"/>
        <d v="2024-09-15T00:00:00"/>
        <d v="2024-09-16T00:00:00"/>
        <d v="2024-09-17T00:00:00"/>
        <d v="2024-09-18T00:00:00"/>
        <d v="2024-09-19T00:00:00"/>
        <d v="2024-09-21T00:00:00"/>
        <d v="2024-09-22T00:00:00"/>
        <d v="2024-09-24T00:00:00"/>
        <d v="2024-09-26T00:00:00"/>
        <d v="2024-09-27T00:00:00"/>
        <d v="2024-09-29T00:00:00"/>
        <d v="2024-09-30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6T00:00:00"/>
        <d v="2024-10-27T00:00:00"/>
        <d v="2024-10-28T00:00:00"/>
        <d v="2024-10-29T00:00:00"/>
        <d v="2024-10-30T00:00:00"/>
        <d v="2024-10-31T00:00:00"/>
        <d v="2024-11-01T00:00:00"/>
        <d v="2024-11-02T00:00:00"/>
        <d v="2024-11-03T00:00:00"/>
        <d v="2024-11-05T00:00:00"/>
        <d v="2024-11-06T00:00:00"/>
        <d v="2024-11-07T00:00:00"/>
        <d v="2024-11-08T00:00:00"/>
        <d v="2024-11-09T00:00:00"/>
        <d v="2024-11-10T00:00:00"/>
        <d v="2024-11-11T00:00:00"/>
        <d v="2024-11-12T00:00:00"/>
        <d v="2024-11-13T00:00:00"/>
        <d v="2024-11-15T00:00:00"/>
        <d v="2024-11-16T00:00:00"/>
        <d v="2024-11-17T00:00:00"/>
        <d v="2024-11-18T00:00:00"/>
        <d v="2024-11-19T00:00:00"/>
        <d v="2024-11-20T00:00:00"/>
        <d v="2024-11-21T00:00:00"/>
        <d v="2024-11-22T00:00:00"/>
        <d v="2024-11-23T00:00:00"/>
        <d v="2024-11-24T00:00:00"/>
        <d v="2024-11-25T00:00:00"/>
        <d v="2024-11-26T00:00:00"/>
        <d v="2024-11-27T00:00:00"/>
        <d v="2024-11-29T00:00:00"/>
        <d v="2024-11-30T00:00:00"/>
        <d v="2024-12-01T00:00:00"/>
        <d v="2024-12-04T00:00:00"/>
        <d v="2024-12-05T00:00:00"/>
        <d v="2024-12-06T00:00:00"/>
        <d v="2024-12-07T00:00:00"/>
        <d v="2024-12-09T00:00:00"/>
        <d v="2024-12-10T00:00:00"/>
        <d v="2024-12-11T00:00:00"/>
        <d v="2024-12-13T00:00:00"/>
        <d v="2024-12-15T00:00:00"/>
        <d v="2024-12-18T00:00:00"/>
        <d v="2024-12-20T00:00:00"/>
        <d v="2024-12-22T00:00:00"/>
        <d v="2024-12-23T00:00:00"/>
        <d v="2024-12-25T00:00:00"/>
        <d v="2024-12-26T00:00:00"/>
        <d v="2024-12-29T00:00:00"/>
        <d v="2024-12-30T00:00:00"/>
        <d v="2024-12-31T00:00:00"/>
        <d v="2025-01-01T00:00:00"/>
        <d v="2025-01-03T00:00:00"/>
        <d v="2025-01-04T00:00:00"/>
        <d v="2025-01-05T00:00:00"/>
        <d v="2025-01-06T00:00:00"/>
        <d v="2025-01-08T00:00:00"/>
        <d v="2025-01-09T00:00:00"/>
        <d v="2025-01-10T00:00:00"/>
        <d v="2025-01-11T00:00:00"/>
        <d v="2025-01-12T00:00:00"/>
        <d v="2025-01-13T00:00:00"/>
        <d v="2025-01-14T00:00:00"/>
        <d v="2025-01-15T00:00:00"/>
        <d v="2025-01-17T00:00:00"/>
        <d v="2025-01-18T00:00:00"/>
        <d v="2025-01-19T00:00:00"/>
        <d v="2025-01-20T00:00:00"/>
        <d v="2025-01-21T00:00:00"/>
        <d v="2025-01-22T00:00:00"/>
        <d v="2025-01-23T00:00:00"/>
        <d v="2025-01-24T00:00:00"/>
        <d v="2025-01-26T00:00:00"/>
        <d v="2025-01-27T00:00:00"/>
        <d v="2025-01-28T00:00:00"/>
        <d v="2025-01-29T00:00:00"/>
        <d v="2025-02-02T00:00:00"/>
        <d v="2025-02-03T00:00:00"/>
        <d v="2025-02-04T00:00:00"/>
        <d v="2025-02-05T00:00:00"/>
        <d v="2025-02-07T00:00:00"/>
        <d v="2025-02-08T00:00:00"/>
        <d v="2025-02-09T00:00:00"/>
        <d v="2025-02-10T00:00:00"/>
        <d v="2025-02-11T00:00:00"/>
        <d v="2025-02-14T00:00:00"/>
        <d v="2025-02-15T00:00:00"/>
        <d v="2025-02-17T00:00:00"/>
        <d v="2025-02-18T00:00:00"/>
        <d v="2025-02-19T00:00:00"/>
        <d v="2025-02-20T00:00:00"/>
        <d v="2025-02-23T00:00:00"/>
        <d v="2025-02-25T00:00:00"/>
        <d v="2025-02-26T00:00:00"/>
        <d v="2025-02-27T00:00:00"/>
        <d v="2025-03-01T00:00:00"/>
        <d v="2025-03-02T00:00:00"/>
        <d v="2025-03-03T00:00:00"/>
        <d v="2025-03-04T00:00:00"/>
        <d v="2025-03-09T00:00:00"/>
        <d v="2025-03-10T00:00:00"/>
        <d v="2025-03-11T00:00:00"/>
        <d v="2025-03-12T00:00:00"/>
        <d v="2025-03-13T00:00:00"/>
        <d v="2025-03-14T00:00:00"/>
        <d v="2025-03-15T00:00:00"/>
        <d v="2025-03-18T00:00:00"/>
        <d v="2025-03-19T00:00:00"/>
        <d v="2025-03-20T00:00:00"/>
        <d v="2025-03-22T00:00:00"/>
        <d v="2025-03-23T00:00:00"/>
        <d v="2025-03-24T00:00:00"/>
        <d v="2025-03-25T00:00:00"/>
        <d v="2025-03-26T00:00:00"/>
        <d v="2025-03-27T00:00:00"/>
        <d v="2025-03-30T00:00:00"/>
        <d v="2025-03-31T00:00:00"/>
        <d v="2025-04-03T00:00:00"/>
        <d v="2025-04-04T00:00:00"/>
        <d v="2025-04-06T00:00:00"/>
        <d v="2025-04-07T00:00:00"/>
        <d v="2025-04-10T00:00:00"/>
        <d v="2025-04-11T00:00:00"/>
        <d v="2025-04-13T00:00:00"/>
        <d v="2025-04-14T00:00:00"/>
        <d v="2025-04-15T00:00:00"/>
        <d v="2025-04-17T00:00:00"/>
        <d v="2025-04-18T00:00:00"/>
        <d v="2025-04-20T00:00:00"/>
        <d v="2025-04-21T00:00:00"/>
        <d v="2025-04-22T00:00:00"/>
        <d v="2025-04-24T00:00:00"/>
        <d v="2025-04-25T00:00:00"/>
        <d v="2025-04-26T00:00:00"/>
        <d v="2025-04-27T00:00:00"/>
        <d v="2025-04-28T00:00:00"/>
        <d v="2025-04-29T00:00:00"/>
        <d v="2025-05-01T00:00:00"/>
        <d v="2025-05-02T00:00:00"/>
        <d v="2025-05-03T00:00:00"/>
        <d v="2025-05-04T00:00:00"/>
        <d v="2025-05-05T00:00:00"/>
        <d v="2025-05-08T00:00:00"/>
        <d v="2025-05-09T00:00:00"/>
        <d v="2025-05-12T00:00:00"/>
        <d v="2025-05-13T00:00:00"/>
        <d v="2025-05-15T00:00:00"/>
        <d v="2025-05-16T00:00:00"/>
        <d v="2025-05-17T00:00:00"/>
        <d v="2025-05-19T00:00:00"/>
        <d v="2025-05-20T00:00:00"/>
        <d v="2025-05-23T00:00:00"/>
        <d v="2025-05-24T00:00:00"/>
        <d v="2025-05-25T00:00:00"/>
        <d v="2025-05-27T00:00:00"/>
        <d v="2025-05-28T00:00:00"/>
        <d v="2025-05-29T00:00:00"/>
        <d v="2025-05-30T00:00:00"/>
        <d v="2025-05-31T00:00:00"/>
        <d v="2025-06-05T00:00:00"/>
        <d v="2025-06-07T00:00:00"/>
        <d v="2025-06-08T00:00:00"/>
        <d v="2025-06-11T00:00:00"/>
        <d v="2025-06-13T00:00:00"/>
        <d v="2025-06-14T00:00:00"/>
        <d v="2025-06-16T00:00:00"/>
        <d v="2025-06-18T00:00:00"/>
        <d v="2025-06-19T00:00:00"/>
        <d v="2025-06-20T00:00:00"/>
        <d v="2025-06-21T00:00:00"/>
        <d v="2025-06-26T00:00:00"/>
        <d v="2025-06-30T00:00:00"/>
        <d v="2025-07-01T00:00:00"/>
        <d v="2025-07-02T00:00:00"/>
        <d v="2025-07-03T00:00:00"/>
        <d v="2025-07-04T00:00:00"/>
        <d v="2025-07-06T00:00:00"/>
        <d v="2025-07-07T00:00:00"/>
        <d v="2025-07-08T00:00:00"/>
        <d v="2025-07-10T00:00:00"/>
        <d v="2025-07-11T00:00:00"/>
        <d v="2025-07-12T00:00:00"/>
        <d v="2025-07-13T00:00:00"/>
        <d v="2025-07-14T00:00:00"/>
        <d v="2025-07-16T00:00:00"/>
        <d v="2025-07-17T00:00:00"/>
        <d v="2025-07-19T00:00:00"/>
        <d v="2025-07-24T00:00:00"/>
        <d v="2025-07-26T00:00:00"/>
        <d v="2025-07-27T00:00:00"/>
        <d v="2025-07-28T00:00:00"/>
        <d v="2025-07-29T00:00:00"/>
        <d v="2025-07-30T00:00:00"/>
        <d v="2025-08-02T00:00:00"/>
        <d v="2025-08-04T00:00:00"/>
        <d v="2025-08-05T00:00:00"/>
        <d v="2025-08-06T00:00:00"/>
        <d v="2025-08-07T00:00:00"/>
        <d v="2025-08-09T00:00:00"/>
        <d v="2025-08-10T00:00:00"/>
        <d v="2025-08-11T00:00:00"/>
        <d v="2025-08-12T00:00:00"/>
        <d v="2025-08-13T00:00:00"/>
        <d v="2025-08-17T00:00:00"/>
        <d v="2025-08-18T00:00:00"/>
        <d v="2025-08-20T00:00:00"/>
        <d v="2025-08-24T00:00:00"/>
        <d v="2025-08-26T00:00:00"/>
        <d v="2025-08-28T00:00:00"/>
        <d v="2025-08-29T00:00:00"/>
        <d v="2025-08-31T00:00:00"/>
        <d v="2025-09-01T00:00:00"/>
        <d v="2025-09-03T00:00:00"/>
        <d v="2025-09-04T00:00:00"/>
        <d v="2025-09-07T00:00:00"/>
        <d v="2025-09-09T00:00:00"/>
        <d v="2025-09-10T00:00:00"/>
        <d v="2025-09-11T00:00:00"/>
        <d v="2025-09-13T00:00:00"/>
        <d v="2025-09-14T00:00:00"/>
        <d v="2025-09-15T00:00:00"/>
        <d v="2025-09-16T00:00:00"/>
        <d v="2025-09-17T00:00:00"/>
        <d v="2025-09-19T00:00:00"/>
        <d v="2025-09-20T00:00:00"/>
        <d v="2025-09-21T00:00:00"/>
        <d v="2025-09-22T00:00:00"/>
        <d v="2025-09-23T00:00:00"/>
        <d v="2025-09-25T00:00:00"/>
        <d v="2025-09-26T00:00:00"/>
        <d v="2025-09-28T00:00:00"/>
        <d v="2025-09-30T00:00:00"/>
        <d v="2025-10-01T00:00:00"/>
        <d v="2025-10-03T00:00:00"/>
        <d v="2025-10-04T00:00:00"/>
        <d v="2025-10-05T00:00:00"/>
        <d v="2025-10-07T00:00:00"/>
        <d v="2025-10-08T00:00:00"/>
        <d v="2025-10-09T00:00:00"/>
        <d v="2025-10-10T00:00:00"/>
        <d v="2025-10-11T00:00:00"/>
        <d v="2025-10-12T00:00:00"/>
        <d v="2025-10-13T00:00:00"/>
        <d v="2025-10-14T00:00:00"/>
        <d v="2025-10-15T00:00:00"/>
        <d v="2025-10-16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2T00:00:00"/>
        <d v="2025-12-03T00:00:00"/>
        <d v="2025-12-04T00:00:00"/>
        <d v="2025-12-10T00:00:00"/>
        <d v="2025-12-11T00:00:00"/>
        <d v="2025-12-14T00:00:00"/>
        <d v="2025-12-16T00:00:00"/>
        <d v="2025-12-17T00:00:00"/>
        <d v="2025-12-18T00:00:00"/>
        <d v="2025-12-20T00:00:00"/>
        <d v="2025-12-21T00:00:00"/>
        <d v="2025-12-22T00:00:00"/>
        <d v="2025-12-23T00:00:00"/>
        <d v="2025-12-24T00:00:00"/>
        <d v="2025-12-25T00:00:00"/>
        <d v="2025-12-26T00:00:00"/>
        <d v="2025-12-28T00:00:00"/>
        <d v="2025-12-29T00:00:00"/>
      </sharedItems>
      <fieldGroup par="19" base="1">
        <rangePr groupBy="months" startDate="2024-01-01T00:00:00" endDate="2025-12-30T00:00:00"/>
        <groupItems count="14">
          <s v="&lt;01-01-2024"/>
          <s v="Jan"/>
          <s v="Feb"/>
          <s v="Mar"/>
          <s v="Apr"/>
          <s v="May"/>
          <s v="Jun"/>
          <s v="Jul"/>
          <s v="Aug"/>
          <s v="Sep"/>
          <s v="Oct"/>
          <s v="Nov"/>
          <s v="Dec"/>
          <s v="&gt;30-12-2025"/>
        </groupItems>
      </fieldGroup>
    </cacheField>
    <cacheField name="Customer Name" numFmtId="0">
      <sharedItems/>
    </cacheField>
    <cacheField name="Customer Segment" numFmtId="0">
      <sharedItems/>
    </cacheField>
    <cacheField name="Region" numFmtId="0">
      <sharedItems count="4">
        <s v="East"/>
        <s v="West"/>
        <s v="South"/>
        <s v="North"/>
      </sharedItems>
    </cacheField>
    <cacheField name="State" numFmtId="0">
      <sharedItems count="14">
        <s v="Bihar"/>
        <s v="Rajasthan"/>
        <s v="Kerala"/>
        <s v="Maharashtra"/>
        <s v="West Bengal"/>
        <s v="Delhi"/>
        <s v="Punjab"/>
        <s v="Haryana"/>
        <s v="Telangana"/>
        <s v="Karnataka"/>
        <s v="Uttar Pradesh"/>
        <s v="Tamil Nadu"/>
        <s v="Odisha"/>
        <s v="Gujarat"/>
      </sharedItems>
    </cacheField>
    <cacheField name="Category" numFmtId="0">
      <sharedItems count="6">
        <s v="Electronics"/>
        <s v="Home &amp; Kitchen"/>
        <s v="Books"/>
        <s v="Sports &amp; Fitness"/>
        <s v="Beauty &amp; Personal Care"/>
        <s v="Clothing"/>
      </sharedItems>
    </cacheField>
    <cacheField name="Sub-Category" numFmtId="0">
      <sharedItems/>
    </cacheField>
    <cacheField name="Product Name" numFmtId="0">
      <sharedItems count="99">
        <s v="ActionCam 4K"/>
        <s v="Steel Kadai"/>
        <s v="Calculus Made Easy"/>
        <s v="Hiking Backpack"/>
        <s v="iSmart X2"/>
        <s v="Sports T-Shirt"/>
        <s v="Non-Stick Pan Set"/>
        <s v="Air Fryer"/>
        <s v="PixelPro DSLR"/>
        <s v="Mystery of Ashgrove"/>
        <s v="Study Table"/>
        <s v="Running Shoes"/>
        <s v="Trekking Pole"/>
        <s v="Yoga Mat Pro"/>
        <s v="Phone Case Pro"/>
        <s v="EchoBuds"/>
        <s v="Electric Kettle"/>
        <s v="Argan Oil Shampoo"/>
        <s v="Track Pants"/>
        <s v="Woody Cologne"/>
        <s v="Compact Powder"/>
        <s v="Casual Blazer"/>
        <s v="Floral Dress"/>
        <s v="Table Lamp"/>
        <s v="Ethnic Kurti"/>
        <s v="OnePlus Edge"/>
        <s v="Aloe Moisturizer"/>
        <s v="FastCharge Cable"/>
        <s v="Mind Over Matter"/>
        <s v="Sandals"/>
        <s v="SuperHero Chronicles"/>
        <s v="SnapLite Mini"/>
        <s v="Classic Shirt"/>
        <s v="Casual Sneakers"/>
        <s v="Camping Tent"/>
        <s v="Floral Mist"/>
        <s v="The Growth Mindset"/>
        <s v="Formal Loafers"/>
        <s v="Statistics Handbook"/>
        <s v="Wooden Chair"/>
        <s v="Microwave Oven"/>
        <s v="Musk Perfume"/>
        <s v="Denim Jacket"/>
        <s v="Graphic Tales"/>
        <s v="Sofa Set"/>
        <s v="Mixer Grinder"/>
        <s v="Bookshelf Unit"/>
        <s v="ClickShot X1"/>
        <s v="Winter Jacket Jr"/>
        <s v="Whispering Pines"/>
        <s v="PowerBank 20K"/>
        <s v="Treadmill Compact"/>
        <s v="Cartoon T-Shirt"/>
        <s v="Hair Mask Deep Repair"/>
        <s v="Face Wash Gel"/>
        <s v="Slim Fit Jeans"/>
        <s v="Sunscreen SPF50"/>
        <s v="Adjustable Dumbbells"/>
        <s v="Comic Universe"/>
        <s v="Matte Lipstick"/>
        <s v="SoundWave Pro"/>
        <s v="Ceramic Vase"/>
        <s v="Pixel Nano"/>
        <s v="Eyeliner Pro"/>
        <s v="Modern Economics"/>
        <s v="School Uniform Set"/>
        <s v="Compression Shorts"/>
        <s v="Vitamin C Serum"/>
        <s v="BassBoost 300"/>
        <s v="Cotton Kurta"/>
        <s v="Wall Art Frame"/>
        <s v="Foundation Stick"/>
        <s v="Nova 5G"/>
        <s v="Denim Overalls"/>
        <s v="Galaxy Note Lite"/>
        <s v="Sports Jacket"/>
        <s v="Beyond the Horizon"/>
        <s v="Hair Growth Serum"/>
        <s v="Pressure Cooker"/>
        <s v="Citrus Eau de Toilette"/>
        <s v="Cookware Combo"/>
        <s v="SilentPods"/>
        <s v="Water Bottle Steel"/>
        <s v="LED Fairy Lights"/>
        <s v="StudioMax"/>
        <s v="Conditioner Pro"/>
        <s v="Silk Saree"/>
        <s v="The Silent Valley"/>
        <s v="WorkStation Pro"/>
        <s v="Screen Guard"/>
        <s v="GameForce X"/>
        <s v="Physics Fundamentals"/>
        <s v="Resistance Bands Set"/>
        <s v="History Untold"/>
        <s v="ProBook 14"/>
        <s v="Manga Vol. 1"/>
        <s v="UltraSlim 15"/>
        <s v="Data Science Basics"/>
        <s v="AirLight 13"/>
      </sharedItems>
    </cacheField>
    <cacheField name="Quantity" numFmtId="0">
      <sharedItems containsSemiMixedTypes="0" containsString="0" containsNumber="1" containsInteger="1" minValue="1" maxValue="5"/>
    </cacheField>
    <cacheField name="Unit Price" numFmtId="4">
      <sharedItems containsSemiMixedTypes="0" containsString="0" containsNumber="1" minValue="155.44" maxValue="64522.43"/>
    </cacheField>
    <cacheField name="Sales" numFmtId="4">
      <sharedItems containsSemiMixedTypes="0" containsString="0" containsNumber="1" minValue="123.95" maxValue="285839.40000000002"/>
    </cacheField>
    <cacheField name="Discount %" numFmtId="164">
      <sharedItems containsSemiMixedTypes="0" containsString="0" containsNumber="1" containsInteger="1" minValue="0" maxValue="30" count="7">
        <n v="0"/>
        <n v="15"/>
        <n v="10"/>
        <n v="5"/>
        <n v="25"/>
        <n v="20"/>
        <n v="30"/>
      </sharedItems>
    </cacheField>
    <cacheField name="Profit" numFmtId="4">
      <sharedItems containsSemiMixedTypes="0" containsString="0" containsNumber="1" minValue="-20163.439999999999" maxValue="24280.05"/>
    </cacheField>
    <cacheField name="Shipping Cost" numFmtId="4">
      <sharedItems containsSemiMixedTypes="0" containsString="0" containsNumber="1" minValue="30.14" maxValue="397.94"/>
    </cacheField>
    <cacheField name="Payment Method" numFmtId="0">
      <sharedItems count="5">
        <s v="Debit Card"/>
        <s v="Credit Card"/>
        <s v="Cash on Delivery"/>
        <s v="UPI"/>
        <s v="Net Banking"/>
      </sharedItems>
    </cacheField>
    <cacheField name="Order Priority" numFmtId="0">
      <sharedItems count="4">
        <s v="Low"/>
        <s v="Critical"/>
        <s v="High"/>
        <s v="Medium"/>
      </sharedItems>
    </cacheField>
    <cacheField name="PM DATA " numFmtId="168">
      <sharedItems containsSemiMixedTypes="0" containsString="0" containsNumber="1" minValue="-0.1546296874576519" maxValue="0.37324473533917746"/>
    </cacheField>
    <cacheField name="Quarters" numFmtId="0" databaseField="0">
      <fieldGroup base="1">
        <rangePr groupBy="quarters" startDate="2024-01-01T00:00:00" endDate="2025-12-30T00:00:00"/>
        <groupItems count="6">
          <s v="&lt;01-01-2024"/>
          <s v="Qtr1"/>
          <s v="Qtr2"/>
          <s v="Qtr3"/>
          <s v="Qtr4"/>
          <s v="&gt;30-12-2025"/>
        </groupItems>
      </fieldGroup>
    </cacheField>
    <cacheField name="Years" numFmtId="0" databaseField="0">
      <fieldGroup base="1">
        <rangePr groupBy="years" startDate="2024-01-01T00:00:00" endDate="2025-12-30T00:00:00"/>
        <groupItems count="4">
          <s v="&lt;01-01-2024"/>
          <s v="2024"/>
          <s v="2025"/>
          <s v="&gt;30-12-2025"/>
        </groupItems>
      </fieldGroup>
    </cacheField>
    <cacheField name="PM CALC" numFmtId="0" formula="Profit/Sales" databaseField="0"/>
    <cacheField name="NET SALES" numFmtId="0" formula="Sales-'Shipping Cost'"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ORD-10153"/>
    <x v="0"/>
    <s v="Simran Sharma"/>
    <x v="0"/>
    <x v="0"/>
    <x v="0"/>
    <x v="0"/>
    <s v="Cameras"/>
    <s v="ActionCam 4K"/>
    <n v="2"/>
    <n v="40157.56"/>
    <n v="80315.12"/>
    <n v="0"/>
    <n v="10595.94"/>
    <n v="94.4"/>
    <x v="0"/>
    <x v="0"/>
  </r>
  <r>
    <s v="ORD-10104"/>
    <x v="0"/>
    <s v="Ishaan Nair"/>
    <x v="1"/>
    <x v="1"/>
    <x v="1"/>
    <x v="1"/>
    <s v="Cookware"/>
    <s v="Steel Kadai"/>
    <n v="1"/>
    <n v="8300.06"/>
    <n v="7055.05"/>
    <n v="15"/>
    <n v="905.99"/>
    <n v="106"/>
    <x v="1"/>
    <x v="1"/>
  </r>
  <r>
    <s v="ORD-10121"/>
    <x v="0"/>
    <s v="Ayaan Reddy"/>
    <x v="2"/>
    <x v="2"/>
    <x v="2"/>
    <x v="2"/>
    <s v="Academic"/>
    <s v="Calculus Made Easy"/>
    <n v="1"/>
    <n v="1151.75"/>
    <n v="1036.58"/>
    <n v="10"/>
    <n v="22.36"/>
    <n v="244.94"/>
    <x v="2"/>
    <x v="0"/>
  </r>
  <r>
    <s v="ORD-10178"/>
    <x v="0"/>
    <s v="Kabir Kapoor"/>
    <x v="2"/>
    <x v="1"/>
    <x v="3"/>
    <x v="3"/>
    <s v="Outdoor Gear"/>
    <s v="Hiking Backpack"/>
    <n v="1"/>
    <n v="13093.98"/>
    <n v="12439.28"/>
    <n v="5"/>
    <n v="1806.56"/>
    <n v="196.03"/>
    <x v="1"/>
    <x v="0"/>
  </r>
  <r>
    <s v="ORD-10648"/>
    <x v="0"/>
    <s v="Raj Mishra"/>
    <x v="1"/>
    <x v="0"/>
    <x v="4"/>
    <x v="0"/>
    <s v="Mobiles"/>
    <s v="iSmart X2"/>
    <n v="3"/>
    <n v="8985.5499999999993"/>
    <n v="26956.65"/>
    <n v="0"/>
    <n v="4037.48"/>
    <n v="100.04"/>
    <x v="0"/>
    <x v="2"/>
  </r>
  <r>
    <s v="ORD-10310"/>
    <x v="0"/>
    <s v="Dhruv Joshi"/>
    <x v="0"/>
    <x v="3"/>
    <x v="5"/>
    <x v="3"/>
    <s v="Apparel"/>
    <s v="Sports T-Shirt"/>
    <n v="1"/>
    <n v="2138.91"/>
    <n v="1818.07"/>
    <n v="15"/>
    <n v="158.99"/>
    <n v="174.7"/>
    <x v="3"/>
    <x v="3"/>
  </r>
  <r>
    <s v="ORD-10043"/>
    <x v="1"/>
    <s v="Meera Mehta"/>
    <x v="0"/>
    <x v="3"/>
    <x v="6"/>
    <x v="1"/>
    <s v="Cookware"/>
    <s v="Non-Stick Pan Set"/>
    <n v="4"/>
    <n v="11956.54"/>
    <n v="45434.85"/>
    <n v="5"/>
    <n v="6957.95"/>
    <n v="357.44"/>
    <x v="2"/>
    <x v="0"/>
  </r>
  <r>
    <s v="ORD-10807"/>
    <x v="1"/>
    <s v="Simran Gupta"/>
    <x v="2"/>
    <x v="3"/>
    <x v="7"/>
    <x v="1"/>
    <s v="Appliances"/>
    <s v="Air Fryer"/>
    <n v="3"/>
    <n v="9220.92"/>
    <n v="26279.62"/>
    <n v="5"/>
    <n v="6421.87"/>
    <n v="359.26"/>
    <x v="1"/>
    <x v="3"/>
  </r>
  <r>
    <s v="ORD-10610"/>
    <x v="2"/>
    <s v="Anika Chopra"/>
    <x v="1"/>
    <x v="2"/>
    <x v="8"/>
    <x v="0"/>
    <s v="Cameras"/>
    <s v="PixelPro DSLR"/>
    <n v="3"/>
    <n v="11774.84"/>
    <n v="31792.07"/>
    <n v="10"/>
    <n v="3453.97"/>
    <n v="202.57"/>
    <x v="3"/>
    <x v="2"/>
  </r>
  <r>
    <s v="ORD-10698"/>
    <x v="2"/>
    <s v="Raj Sharma"/>
    <x v="0"/>
    <x v="1"/>
    <x v="1"/>
    <x v="2"/>
    <s v="Fiction"/>
    <s v="Mystery of Ashgrove"/>
    <n v="1"/>
    <n v="580.15"/>
    <n v="580.15"/>
    <n v="0"/>
    <n v="86.54"/>
    <n v="239.66"/>
    <x v="4"/>
    <x v="2"/>
  </r>
  <r>
    <s v="ORD-10850"/>
    <x v="3"/>
    <s v="Ishaan Joshi"/>
    <x v="0"/>
    <x v="0"/>
    <x v="0"/>
    <x v="1"/>
    <s v="Furniture"/>
    <s v="Study Table"/>
    <n v="3"/>
    <n v="4016.9"/>
    <n v="9038.0300000000007"/>
    <n v="25"/>
    <n v="474.14"/>
    <n v="139.93"/>
    <x v="0"/>
    <x v="3"/>
  </r>
  <r>
    <s v="ORD-10607"/>
    <x v="3"/>
    <s v="Sai Patel"/>
    <x v="2"/>
    <x v="2"/>
    <x v="9"/>
    <x v="3"/>
    <s v="Footwear"/>
    <s v="Running Shoes"/>
    <n v="5"/>
    <n v="7635.63"/>
    <n v="36269.24"/>
    <n v="5"/>
    <n v="3102.73"/>
    <n v="333.55"/>
    <x v="1"/>
    <x v="3"/>
  </r>
  <r>
    <s v="ORD-10066"/>
    <x v="3"/>
    <s v="Pooja Iyer"/>
    <x v="2"/>
    <x v="1"/>
    <x v="3"/>
    <x v="3"/>
    <s v="Outdoor Gear"/>
    <s v="Trekking Pole"/>
    <n v="3"/>
    <n v="7048.93"/>
    <n v="20089.45"/>
    <n v="5"/>
    <n v="2901.98"/>
    <n v="329.45"/>
    <x v="3"/>
    <x v="3"/>
  </r>
  <r>
    <s v="ORD-10134"/>
    <x v="3"/>
    <s v="Vihaan Kapoor"/>
    <x v="2"/>
    <x v="0"/>
    <x v="0"/>
    <x v="3"/>
    <s v="Gym Equipment"/>
    <s v="Yoga Mat Pro"/>
    <n v="5"/>
    <n v="5405.46"/>
    <n v="24324.57"/>
    <n v="10"/>
    <n v="2826.91"/>
    <n v="201.24"/>
    <x v="0"/>
    <x v="0"/>
  </r>
  <r>
    <s v="ORD-10044"/>
    <x v="4"/>
    <s v="Priya Mishra"/>
    <x v="0"/>
    <x v="2"/>
    <x v="9"/>
    <x v="3"/>
    <s v="Apparel"/>
    <s v="Sports T-Shirt"/>
    <n v="1"/>
    <n v="4435.47"/>
    <n v="4213.7"/>
    <n v="5"/>
    <n v="822.01"/>
    <n v="254.11"/>
    <x v="0"/>
    <x v="3"/>
  </r>
  <r>
    <s v="ORD-10412"/>
    <x v="5"/>
    <s v="Ananya Desai"/>
    <x v="2"/>
    <x v="3"/>
    <x v="10"/>
    <x v="0"/>
    <s v="Accessories"/>
    <s v="Phone Case Pro"/>
    <n v="1"/>
    <n v="48561.81"/>
    <n v="46133.72"/>
    <n v="5"/>
    <n v="2773.95"/>
    <n v="290.83999999999997"/>
    <x v="0"/>
    <x v="3"/>
  </r>
  <r>
    <s v="ORD-10110"/>
    <x v="6"/>
    <s v="Dhruv Iyer"/>
    <x v="0"/>
    <x v="2"/>
    <x v="11"/>
    <x v="0"/>
    <s v="Headphones"/>
    <s v="EchoBuds"/>
    <n v="2"/>
    <n v="62365.21"/>
    <n v="112257.38"/>
    <n v="10"/>
    <n v="5519.37"/>
    <n v="63.52"/>
    <x v="2"/>
    <x v="0"/>
  </r>
  <r>
    <s v="ORD-10879"/>
    <x v="6"/>
    <s v="Aadhya Iyer"/>
    <x v="2"/>
    <x v="1"/>
    <x v="3"/>
    <x v="1"/>
    <s v="Appliances"/>
    <s v="Electric Kettle"/>
    <n v="1"/>
    <n v="5161.75"/>
    <n v="4129.3999999999996"/>
    <n v="20"/>
    <n v="151.02000000000001"/>
    <n v="131.62"/>
    <x v="1"/>
    <x v="1"/>
  </r>
  <r>
    <s v="ORD-10660"/>
    <x v="6"/>
    <s v="Navya Bose"/>
    <x v="1"/>
    <x v="3"/>
    <x v="6"/>
    <x v="4"/>
    <s v="Haircare"/>
    <s v="Argan Oil Shampoo"/>
    <n v="1"/>
    <n v="861.56"/>
    <n v="861.56"/>
    <n v="0"/>
    <n v="219.86"/>
    <n v="128.16999999999999"/>
    <x v="1"/>
    <x v="0"/>
  </r>
  <r>
    <s v="ORD-10291"/>
    <x v="6"/>
    <s v="Neha Patel"/>
    <x v="2"/>
    <x v="1"/>
    <x v="3"/>
    <x v="3"/>
    <s v="Apparel"/>
    <s v="Track Pants"/>
    <n v="1"/>
    <n v="3970.06"/>
    <n v="3374.55"/>
    <n v="15"/>
    <n v="197.15"/>
    <n v="282.7"/>
    <x v="1"/>
    <x v="0"/>
  </r>
  <r>
    <s v="ORD-10897"/>
    <x v="6"/>
    <s v="Aadhya Patel"/>
    <x v="0"/>
    <x v="3"/>
    <x v="10"/>
    <x v="4"/>
    <s v="Fragrances"/>
    <s v="Woody Cologne"/>
    <n v="2"/>
    <n v="549.08000000000004"/>
    <n v="1098.1600000000001"/>
    <n v="0"/>
    <n v="345.02"/>
    <n v="148.62"/>
    <x v="3"/>
    <x v="1"/>
  </r>
  <r>
    <s v="ORD-10414"/>
    <x v="6"/>
    <s v="Dhruv Malhotra"/>
    <x v="1"/>
    <x v="0"/>
    <x v="12"/>
    <x v="4"/>
    <s v="Makeup"/>
    <s v="Compact Powder"/>
    <n v="2"/>
    <n v="1915.19"/>
    <n v="3447.34"/>
    <n v="10"/>
    <n v="772.74"/>
    <n v="109.79"/>
    <x v="3"/>
    <x v="2"/>
  </r>
  <r>
    <s v="ORD-10382"/>
    <x v="7"/>
    <s v="Aditya Das"/>
    <x v="2"/>
    <x v="2"/>
    <x v="11"/>
    <x v="5"/>
    <s v="Men's Wear"/>
    <s v="Casual Blazer"/>
    <n v="3"/>
    <n v="350.91"/>
    <n v="947.46"/>
    <n v="10"/>
    <n v="170.15"/>
    <n v="137.18"/>
    <x v="3"/>
    <x v="0"/>
  </r>
  <r>
    <s v="ORD-10413"/>
    <x v="7"/>
    <s v="Neha Iyer"/>
    <x v="0"/>
    <x v="3"/>
    <x v="5"/>
    <x v="5"/>
    <s v="Women's Wear"/>
    <s v="Floral Dress"/>
    <n v="2"/>
    <n v="2562.52"/>
    <n v="4868.79"/>
    <n v="5"/>
    <n v="1216.44"/>
    <n v="313.79000000000002"/>
    <x v="3"/>
    <x v="3"/>
  </r>
  <r>
    <s v="ORD-10771"/>
    <x v="7"/>
    <s v="Vihaan Khan"/>
    <x v="0"/>
    <x v="3"/>
    <x v="7"/>
    <x v="1"/>
    <s v="Decor"/>
    <s v="Table Lamp"/>
    <n v="2"/>
    <n v="2182.8200000000002"/>
    <n v="4365.6400000000003"/>
    <n v="0"/>
    <n v="424.62"/>
    <n v="339.82"/>
    <x v="2"/>
    <x v="2"/>
  </r>
  <r>
    <s v="ORD-10016"/>
    <x v="8"/>
    <s v="Arjun Rao"/>
    <x v="2"/>
    <x v="3"/>
    <x v="6"/>
    <x v="5"/>
    <s v="Women's Wear"/>
    <s v="Ethnic Kurti"/>
    <n v="2"/>
    <n v="994.12"/>
    <n v="1590.59"/>
    <n v="20"/>
    <n v="192.39"/>
    <n v="50"/>
    <x v="1"/>
    <x v="2"/>
  </r>
  <r>
    <s v="ORD-10169"/>
    <x v="8"/>
    <s v="Arjun Singh"/>
    <x v="2"/>
    <x v="1"/>
    <x v="3"/>
    <x v="0"/>
    <s v="Mobiles"/>
    <s v="OnePlus Edge"/>
    <n v="2"/>
    <n v="52067.44"/>
    <n v="83307.899999999994"/>
    <n v="20"/>
    <n v="-3446.48"/>
    <n v="276.12"/>
    <x v="1"/>
    <x v="3"/>
  </r>
  <r>
    <s v="ORD-10962"/>
    <x v="9"/>
    <s v="Aditya Gupta"/>
    <x v="0"/>
    <x v="2"/>
    <x v="8"/>
    <x v="4"/>
    <s v="Skincare"/>
    <s v="Aloe Moisturizer"/>
    <n v="4"/>
    <n v="1501.84"/>
    <n v="5106.26"/>
    <n v="15"/>
    <n v="972.61"/>
    <n v="355.97"/>
    <x v="2"/>
    <x v="0"/>
  </r>
  <r>
    <s v="ORD-10892"/>
    <x v="9"/>
    <s v="Rohan Das"/>
    <x v="0"/>
    <x v="0"/>
    <x v="12"/>
    <x v="0"/>
    <s v="Accessories"/>
    <s v="FastCharge Cable"/>
    <n v="1"/>
    <n v="14057.51"/>
    <n v="14057.51"/>
    <n v="0"/>
    <n v="854.35"/>
    <n v="329.02"/>
    <x v="2"/>
    <x v="3"/>
  </r>
  <r>
    <s v="ORD-10220"/>
    <x v="10"/>
    <s v="Myra Verma"/>
    <x v="1"/>
    <x v="0"/>
    <x v="4"/>
    <x v="5"/>
    <s v="Women's Wear"/>
    <s v="Ethnic Kurti"/>
    <n v="1"/>
    <n v="4291"/>
    <n v="4076.45"/>
    <n v="5"/>
    <n v="640.23"/>
    <n v="172.72"/>
    <x v="1"/>
    <x v="0"/>
  </r>
  <r>
    <s v="ORD-10207"/>
    <x v="10"/>
    <s v="Priya Iyer"/>
    <x v="2"/>
    <x v="3"/>
    <x v="10"/>
    <x v="1"/>
    <s v="Appliances"/>
    <s v="Air Fryer"/>
    <n v="2"/>
    <n v="5100.88"/>
    <n v="10201.76"/>
    <n v="0"/>
    <n v="2760.06"/>
    <n v="79.11"/>
    <x v="3"/>
    <x v="2"/>
  </r>
  <r>
    <s v="ORD-10408"/>
    <x v="11"/>
    <s v="Simran Bose"/>
    <x v="2"/>
    <x v="2"/>
    <x v="9"/>
    <x v="2"/>
    <s v="Non-Fiction"/>
    <s v="Mind Over Matter"/>
    <n v="1"/>
    <n v="309.14999999999998"/>
    <n v="278.24"/>
    <n v="10"/>
    <n v="61.24"/>
    <n v="60"/>
    <x v="4"/>
    <x v="3"/>
  </r>
  <r>
    <s v="ORD-10417"/>
    <x v="12"/>
    <s v="Arjun Gupta"/>
    <x v="2"/>
    <x v="3"/>
    <x v="5"/>
    <x v="5"/>
    <s v="Footwear"/>
    <s v="Sandals"/>
    <n v="3"/>
    <n v="3577.68"/>
    <n v="8586.43"/>
    <n v="20"/>
    <n v="661.95"/>
    <n v="272.17"/>
    <x v="2"/>
    <x v="3"/>
  </r>
  <r>
    <s v="ORD-10419"/>
    <x v="12"/>
    <s v="Dhruv Malhotra"/>
    <x v="2"/>
    <x v="0"/>
    <x v="4"/>
    <x v="0"/>
    <s v="Accessories"/>
    <s v="Phone Case Pro"/>
    <n v="2"/>
    <n v="26868.47"/>
    <n v="45676.4"/>
    <n v="15"/>
    <n v="523.1"/>
    <n v="276.49"/>
    <x v="1"/>
    <x v="2"/>
  </r>
  <r>
    <s v="ORD-10061"/>
    <x v="12"/>
    <s v="Aarav Agarwal"/>
    <x v="0"/>
    <x v="2"/>
    <x v="2"/>
    <x v="2"/>
    <s v="Comics"/>
    <s v="SuperHero Chronicles"/>
    <n v="2"/>
    <n v="832.46"/>
    <n v="1581.67"/>
    <n v="5"/>
    <n v="265.25"/>
    <n v="329.8"/>
    <x v="1"/>
    <x v="3"/>
  </r>
  <r>
    <s v="ORD-10883"/>
    <x v="13"/>
    <s v="Diya Verma"/>
    <x v="1"/>
    <x v="0"/>
    <x v="4"/>
    <x v="0"/>
    <s v="Cameras"/>
    <s v="SnapLite Mini"/>
    <n v="2"/>
    <n v="52586.58"/>
    <n v="99914.5"/>
    <n v="5"/>
    <n v="3964.09"/>
    <n v="92.76"/>
    <x v="0"/>
    <x v="0"/>
  </r>
  <r>
    <s v="ORD-10331"/>
    <x v="13"/>
    <s v="Pooja Das"/>
    <x v="2"/>
    <x v="1"/>
    <x v="1"/>
    <x v="0"/>
    <s v="Accessories"/>
    <s v="FastCharge Cable"/>
    <n v="1"/>
    <n v="13690.64"/>
    <n v="10952.51"/>
    <n v="20"/>
    <n v="-357.43"/>
    <n v="326.64999999999998"/>
    <x v="2"/>
    <x v="3"/>
  </r>
  <r>
    <s v="ORD-10700"/>
    <x v="13"/>
    <s v="Simran Nair"/>
    <x v="2"/>
    <x v="3"/>
    <x v="6"/>
    <x v="5"/>
    <s v="Footwear"/>
    <s v="Sandals"/>
    <n v="2"/>
    <n v="3436.46"/>
    <n v="6872.92"/>
    <n v="0"/>
    <n v="1167.06"/>
    <n v="275.58"/>
    <x v="3"/>
    <x v="0"/>
  </r>
  <r>
    <s v="ORD-10551"/>
    <x v="14"/>
    <s v="Meera Malhotra"/>
    <x v="2"/>
    <x v="0"/>
    <x v="12"/>
    <x v="2"/>
    <s v="Academic"/>
    <s v="Calculus Made Easy"/>
    <n v="1"/>
    <n v="872.11"/>
    <n v="784.9"/>
    <n v="10"/>
    <n v="108"/>
    <n v="73.02"/>
    <x v="2"/>
    <x v="2"/>
  </r>
  <r>
    <s v="ORD-10845"/>
    <x v="14"/>
    <s v="Navya Nair"/>
    <x v="2"/>
    <x v="0"/>
    <x v="12"/>
    <x v="5"/>
    <s v="Men's Wear"/>
    <s v="Classic Shirt"/>
    <n v="4"/>
    <n v="2304.87"/>
    <n v="8297.5300000000007"/>
    <n v="10"/>
    <n v="793.59"/>
    <n v="332.83"/>
    <x v="1"/>
    <x v="3"/>
  </r>
  <r>
    <s v="ORD-10262"/>
    <x v="14"/>
    <s v="Aadhya Verma"/>
    <x v="1"/>
    <x v="2"/>
    <x v="9"/>
    <x v="3"/>
    <s v="Footwear"/>
    <s v="Casual Sneakers"/>
    <n v="1"/>
    <n v="9446.41"/>
    <n v="6612.49"/>
    <n v="30"/>
    <n v="-207.14"/>
    <n v="44.64"/>
    <x v="0"/>
    <x v="1"/>
  </r>
  <r>
    <s v="ORD-10447"/>
    <x v="14"/>
    <s v="Sai Nair"/>
    <x v="0"/>
    <x v="1"/>
    <x v="3"/>
    <x v="0"/>
    <s v="Mobiles"/>
    <s v="OnePlus Edge"/>
    <n v="2"/>
    <n v="55428.43"/>
    <n v="110856.86"/>
    <n v="0"/>
    <n v="8600.3799999999992"/>
    <n v="176.76"/>
    <x v="2"/>
    <x v="2"/>
  </r>
  <r>
    <s v="ORD-10564"/>
    <x v="15"/>
    <s v="Krishna Patel"/>
    <x v="2"/>
    <x v="3"/>
    <x v="5"/>
    <x v="3"/>
    <s v="Outdoor Gear"/>
    <s v="Camping Tent"/>
    <n v="2"/>
    <n v="13050.58"/>
    <n v="20880.93"/>
    <n v="20"/>
    <n v="226.7"/>
    <n v="190.26"/>
    <x v="0"/>
    <x v="2"/>
  </r>
  <r>
    <s v="ORD-10519"/>
    <x v="15"/>
    <s v="Saanvi Malhotra"/>
    <x v="2"/>
    <x v="0"/>
    <x v="0"/>
    <x v="4"/>
    <s v="Fragrances"/>
    <s v="Floral Mist"/>
    <n v="4"/>
    <n v="933.39"/>
    <n v="3733.56"/>
    <n v="0"/>
    <n v="702.72"/>
    <n v="267.33999999999997"/>
    <x v="1"/>
    <x v="0"/>
  </r>
  <r>
    <s v="ORD-10295"/>
    <x v="16"/>
    <s v="Vivaan Chopra"/>
    <x v="2"/>
    <x v="3"/>
    <x v="7"/>
    <x v="2"/>
    <s v="Non-Fiction"/>
    <s v="The Growth Mindset"/>
    <n v="3"/>
    <n v="596.77"/>
    <n v="1790.31"/>
    <n v="0"/>
    <n v="158.82"/>
    <n v="376.05"/>
    <x v="1"/>
    <x v="2"/>
  </r>
  <r>
    <s v="ORD-10603"/>
    <x v="17"/>
    <s v="Ananya Gupta"/>
    <x v="2"/>
    <x v="2"/>
    <x v="8"/>
    <x v="5"/>
    <s v="Footwear"/>
    <s v="Sandals"/>
    <n v="1"/>
    <n v="3581.55"/>
    <n v="3044.32"/>
    <n v="15"/>
    <n v="226.58"/>
    <n v="289.56"/>
    <x v="3"/>
    <x v="0"/>
  </r>
  <r>
    <s v="ORD-10445"/>
    <x v="18"/>
    <s v="Reyansh Reddy"/>
    <x v="1"/>
    <x v="0"/>
    <x v="12"/>
    <x v="2"/>
    <s v="Fiction"/>
    <s v="Mystery of Ashgrove"/>
    <n v="5"/>
    <n v="908.96"/>
    <n v="4090.32"/>
    <n v="10"/>
    <n v="404.21"/>
    <n v="263.93"/>
    <x v="2"/>
    <x v="1"/>
  </r>
  <r>
    <s v="ORD-10212"/>
    <x v="19"/>
    <s v="Vivaan Singh"/>
    <x v="2"/>
    <x v="3"/>
    <x v="7"/>
    <x v="3"/>
    <s v="Footwear"/>
    <s v="Formal Loafers"/>
    <n v="1"/>
    <n v="6053.18"/>
    <n v="5447.86"/>
    <n v="10"/>
    <n v="816.79"/>
    <n v="122.38"/>
    <x v="3"/>
    <x v="0"/>
  </r>
  <r>
    <s v="ORD-10959"/>
    <x v="19"/>
    <s v="Pooja Das"/>
    <x v="1"/>
    <x v="0"/>
    <x v="0"/>
    <x v="2"/>
    <s v="Academic"/>
    <s v="Statistics Handbook"/>
    <n v="1"/>
    <n v="556.04"/>
    <n v="500.44"/>
    <n v="10"/>
    <n v="41.85"/>
    <n v="193.75"/>
    <x v="3"/>
    <x v="2"/>
  </r>
  <r>
    <s v="ORD-10450"/>
    <x v="20"/>
    <s v="Pooja Bose"/>
    <x v="2"/>
    <x v="3"/>
    <x v="5"/>
    <x v="1"/>
    <s v="Furniture"/>
    <s v="Wooden Chair"/>
    <n v="1"/>
    <n v="3400"/>
    <n v="3230"/>
    <n v="5"/>
    <n v="474.99"/>
    <n v="82.71"/>
    <x v="2"/>
    <x v="3"/>
  </r>
  <r>
    <s v="ORD-10948"/>
    <x v="21"/>
    <s v="Karan Das"/>
    <x v="2"/>
    <x v="3"/>
    <x v="10"/>
    <x v="1"/>
    <s v="Appliances"/>
    <s v="Microwave Oven"/>
    <n v="1"/>
    <n v="2130.0300000000002"/>
    <n v="1597.52"/>
    <n v="25"/>
    <n v="8.56"/>
    <n v="281.5"/>
    <x v="1"/>
    <x v="0"/>
  </r>
  <r>
    <s v="ORD-10350"/>
    <x v="22"/>
    <s v="Reyansh Khan"/>
    <x v="1"/>
    <x v="1"/>
    <x v="3"/>
    <x v="4"/>
    <s v="Fragrances"/>
    <s v="Musk Perfume"/>
    <n v="3"/>
    <n v="397.01"/>
    <n v="1191.03"/>
    <n v="0"/>
    <n v="317.2"/>
    <n v="346.14"/>
    <x v="4"/>
    <x v="0"/>
  </r>
  <r>
    <s v="ORD-10054"/>
    <x v="23"/>
    <s v="Kabir Gupta"/>
    <x v="2"/>
    <x v="3"/>
    <x v="5"/>
    <x v="5"/>
    <s v="Women's Wear"/>
    <s v="Denim Jacket"/>
    <n v="1"/>
    <n v="4198.9399999999996"/>
    <n v="4198.9399999999996"/>
    <n v="0"/>
    <n v="963.78"/>
    <n v="167.02"/>
    <x v="1"/>
    <x v="3"/>
  </r>
  <r>
    <s v="ORD-10418"/>
    <x v="24"/>
    <s v="Ayaan Nair"/>
    <x v="2"/>
    <x v="1"/>
    <x v="1"/>
    <x v="2"/>
    <s v="Comics"/>
    <s v="Graphic Tales"/>
    <n v="1"/>
    <n v="325.23"/>
    <n v="292.70999999999998"/>
    <n v="10"/>
    <n v="21.11"/>
    <n v="88.02"/>
    <x v="3"/>
    <x v="2"/>
  </r>
  <r>
    <s v="ORD-10102"/>
    <x v="25"/>
    <s v="Aditya Mishra"/>
    <x v="0"/>
    <x v="1"/>
    <x v="13"/>
    <x v="1"/>
    <s v="Furniture"/>
    <s v="Sofa Set"/>
    <n v="4"/>
    <n v="5439.64"/>
    <n v="20670.63"/>
    <n v="5"/>
    <n v="2191.64"/>
    <n v="156.18"/>
    <x v="3"/>
    <x v="3"/>
  </r>
  <r>
    <s v="ORD-10250"/>
    <x v="26"/>
    <s v="Pooja Singh"/>
    <x v="2"/>
    <x v="0"/>
    <x v="12"/>
    <x v="1"/>
    <s v="Appliances"/>
    <s v="Mixer Grinder"/>
    <n v="5"/>
    <n v="6962.49"/>
    <n v="33071.83"/>
    <n v="5"/>
    <n v="5020.13"/>
    <n v="175.45"/>
    <x v="4"/>
    <x v="0"/>
  </r>
  <r>
    <s v="ORD-10149"/>
    <x v="26"/>
    <s v="Kabir Joshi"/>
    <x v="1"/>
    <x v="3"/>
    <x v="10"/>
    <x v="1"/>
    <s v="Furniture"/>
    <s v="Bookshelf Unit"/>
    <n v="4"/>
    <n v="8484.75"/>
    <n v="28848.15"/>
    <n v="15"/>
    <n v="3746.63"/>
    <n v="76.7"/>
    <x v="3"/>
    <x v="3"/>
  </r>
  <r>
    <s v="ORD-10019"/>
    <x v="27"/>
    <s v="Anika Gupta"/>
    <x v="1"/>
    <x v="1"/>
    <x v="1"/>
    <x v="4"/>
    <s v="Haircare"/>
    <s v="Argan Oil Shampoo"/>
    <n v="1"/>
    <n v="2304.41"/>
    <n v="2304.41"/>
    <n v="0"/>
    <n v="625.85"/>
    <n v="60.53"/>
    <x v="2"/>
    <x v="3"/>
  </r>
  <r>
    <s v="ORD-10094"/>
    <x v="28"/>
    <s v="Pooja Chopra"/>
    <x v="0"/>
    <x v="3"/>
    <x v="10"/>
    <x v="0"/>
    <s v="Cameras"/>
    <s v="ClickShot X1"/>
    <n v="2"/>
    <n v="63357.04"/>
    <n v="107706.97"/>
    <n v="15"/>
    <n v="4460.93"/>
    <n v="363.7"/>
    <x v="0"/>
    <x v="0"/>
  </r>
  <r>
    <s v="ORD-10206"/>
    <x v="28"/>
    <s v="Rohan Iyer"/>
    <x v="1"/>
    <x v="3"/>
    <x v="6"/>
    <x v="2"/>
    <s v="Academic"/>
    <s v="Statistics Handbook"/>
    <n v="2"/>
    <n v="755.34"/>
    <n v="1435.15"/>
    <n v="5"/>
    <n v="254.84"/>
    <n v="132.69999999999999"/>
    <x v="1"/>
    <x v="2"/>
  </r>
  <r>
    <s v="ORD-10218"/>
    <x v="28"/>
    <s v="Ananya Gupta"/>
    <x v="0"/>
    <x v="1"/>
    <x v="3"/>
    <x v="2"/>
    <s v="Academic"/>
    <s v="Calculus Made Easy"/>
    <n v="1"/>
    <n v="632.66999999999996"/>
    <n v="632.66999999999996"/>
    <n v="0"/>
    <n v="38.58"/>
    <n v="54.3"/>
    <x v="3"/>
    <x v="0"/>
  </r>
  <r>
    <s v="ORD-10131"/>
    <x v="29"/>
    <s v="Reyansh Nair"/>
    <x v="2"/>
    <x v="1"/>
    <x v="3"/>
    <x v="5"/>
    <s v="Kids Wear"/>
    <s v="Winter Jacket Jr"/>
    <n v="2"/>
    <n v="1308.6099999999999"/>
    <n v="2355.5"/>
    <n v="10"/>
    <n v="420.06"/>
    <n v="103.2"/>
    <x v="0"/>
    <x v="0"/>
  </r>
  <r>
    <s v="ORD-10684"/>
    <x v="29"/>
    <s v="Rohan Verma"/>
    <x v="2"/>
    <x v="0"/>
    <x v="12"/>
    <x v="2"/>
    <s v="Fiction"/>
    <s v="Whispering Pines"/>
    <n v="1"/>
    <n v="819.57"/>
    <n v="778.59"/>
    <n v="5"/>
    <n v="105"/>
    <n v="107.45"/>
    <x v="0"/>
    <x v="3"/>
  </r>
  <r>
    <s v="ORD-10080"/>
    <x v="29"/>
    <s v="Riya Patel"/>
    <x v="1"/>
    <x v="2"/>
    <x v="11"/>
    <x v="0"/>
    <s v="Accessories"/>
    <s v="PowerBank 20K"/>
    <n v="1"/>
    <n v="13691.47"/>
    <n v="11637.75"/>
    <n v="15"/>
    <n v="376.42"/>
    <n v="52.2"/>
    <x v="4"/>
    <x v="3"/>
  </r>
  <r>
    <s v="ORD-10453"/>
    <x v="30"/>
    <s v="Dhruv Rao"/>
    <x v="1"/>
    <x v="1"/>
    <x v="3"/>
    <x v="0"/>
    <s v="Accessories"/>
    <s v="FastCharge Cable"/>
    <n v="1"/>
    <n v="35569.17"/>
    <n v="33790.71"/>
    <n v="5"/>
    <n v="720.68"/>
    <n v="240.17"/>
    <x v="3"/>
    <x v="0"/>
  </r>
  <r>
    <s v="ORD-10885"/>
    <x v="31"/>
    <s v="Aadhya Khan"/>
    <x v="2"/>
    <x v="3"/>
    <x v="6"/>
    <x v="3"/>
    <s v="Outdoor Gear"/>
    <s v="Trekking Pole"/>
    <n v="2"/>
    <n v="5294.85"/>
    <n v="9530.73"/>
    <n v="10"/>
    <n v="1037.2"/>
    <n v="357.33"/>
    <x v="2"/>
    <x v="2"/>
  </r>
  <r>
    <s v="ORD-10257"/>
    <x v="32"/>
    <s v="Aditya Chopra"/>
    <x v="1"/>
    <x v="0"/>
    <x v="12"/>
    <x v="3"/>
    <s v="Gym Equipment"/>
    <s v="Treadmill Compact"/>
    <n v="2"/>
    <n v="5132.25"/>
    <n v="8211.6"/>
    <n v="20"/>
    <n v="249.97"/>
    <n v="165.54"/>
    <x v="1"/>
    <x v="2"/>
  </r>
  <r>
    <s v="ORD-10686"/>
    <x v="33"/>
    <s v="Neha Iyer"/>
    <x v="2"/>
    <x v="0"/>
    <x v="4"/>
    <x v="0"/>
    <s v="Mobiles"/>
    <s v="OnePlus Edge"/>
    <n v="3"/>
    <n v="3082.36"/>
    <n v="8784.73"/>
    <n v="5"/>
    <n v="840.03"/>
    <n v="173.91"/>
    <x v="4"/>
    <x v="3"/>
  </r>
  <r>
    <s v="ORD-10995"/>
    <x v="34"/>
    <s v="Kiara Rao"/>
    <x v="0"/>
    <x v="3"/>
    <x v="10"/>
    <x v="1"/>
    <s v="Furniture"/>
    <s v="Wooden Chair"/>
    <n v="2"/>
    <n v="2456.9899999999998"/>
    <n v="4913.9799999999996"/>
    <n v="0"/>
    <n v="1109.57"/>
    <n v="273.77"/>
    <x v="0"/>
    <x v="2"/>
  </r>
  <r>
    <s v="ORD-10985"/>
    <x v="35"/>
    <s v="Karan Khan"/>
    <x v="2"/>
    <x v="0"/>
    <x v="12"/>
    <x v="3"/>
    <s v="Apparel"/>
    <s v="Track Pants"/>
    <n v="1"/>
    <n v="984.57"/>
    <n v="787.66"/>
    <n v="20"/>
    <n v="21.96"/>
    <n v="268.32"/>
    <x v="0"/>
    <x v="2"/>
  </r>
  <r>
    <s v="ORD-10063"/>
    <x v="36"/>
    <s v="Meera Joshi"/>
    <x v="2"/>
    <x v="2"/>
    <x v="9"/>
    <x v="1"/>
    <s v="Appliances"/>
    <s v="Air Fryer"/>
    <n v="1"/>
    <n v="5800.94"/>
    <n v="4930.8"/>
    <n v="15"/>
    <n v="2.84"/>
    <n v="219.07"/>
    <x v="4"/>
    <x v="3"/>
  </r>
  <r>
    <s v="ORD-10015"/>
    <x v="37"/>
    <s v="Aadhya Rao"/>
    <x v="2"/>
    <x v="3"/>
    <x v="5"/>
    <x v="3"/>
    <s v="Footwear"/>
    <s v="Casual Sneakers"/>
    <n v="2"/>
    <n v="8945.9"/>
    <n v="15208.03"/>
    <n v="15"/>
    <n v="1746.2"/>
    <n v="133.32"/>
    <x v="2"/>
    <x v="0"/>
  </r>
  <r>
    <s v="ORD-10130"/>
    <x v="37"/>
    <s v="Ananya Singh"/>
    <x v="2"/>
    <x v="0"/>
    <x v="12"/>
    <x v="5"/>
    <s v="Kids Wear"/>
    <s v="Cartoon T-Shirt"/>
    <n v="1"/>
    <n v="1759.14"/>
    <n v="1759.14"/>
    <n v="0"/>
    <n v="382.12"/>
    <n v="96.92"/>
    <x v="1"/>
    <x v="0"/>
  </r>
  <r>
    <s v="ORD-10957"/>
    <x v="37"/>
    <s v="Reyansh Mishra"/>
    <x v="2"/>
    <x v="1"/>
    <x v="1"/>
    <x v="3"/>
    <s v="Footwear"/>
    <s v="Running Shoes"/>
    <n v="2"/>
    <n v="8017.83"/>
    <n v="15233.88"/>
    <n v="5"/>
    <n v="3119.44"/>
    <n v="70.63"/>
    <x v="0"/>
    <x v="3"/>
  </r>
  <r>
    <s v="ORD-10065"/>
    <x v="38"/>
    <s v="Saanvi Iyer"/>
    <x v="2"/>
    <x v="1"/>
    <x v="3"/>
    <x v="1"/>
    <s v="Appliances"/>
    <s v="Microwave Oven"/>
    <n v="1"/>
    <n v="6630.16"/>
    <n v="5967.14"/>
    <n v="10"/>
    <n v="1004.39"/>
    <n v="116.89"/>
    <x v="3"/>
    <x v="2"/>
  </r>
  <r>
    <s v="ORD-10243"/>
    <x v="38"/>
    <s v="Sai Bose"/>
    <x v="2"/>
    <x v="1"/>
    <x v="3"/>
    <x v="1"/>
    <s v="Appliances"/>
    <s v="Air Fryer"/>
    <n v="1"/>
    <n v="11641.59"/>
    <n v="11059.51"/>
    <n v="5"/>
    <n v="2444.4299999999998"/>
    <n v="252.73"/>
    <x v="4"/>
    <x v="3"/>
  </r>
  <r>
    <s v="ORD-10822"/>
    <x v="39"/>
    <s v="Rohan Patel"/>
    <x v="1"/>
    <x v="1"/>
    <x v="13"/>
    <x v="4"/>
    <s v="Haircare"/>
    <s v="Hair Mask Deep Repair"/>
    <n v="3"/>
    <n v="1247.92"/>
    <n v="3743.76"/>
    <n v="0"/>
    <n v="1227.07"/>
    <n v="277"/>
    <x v="1"/>
    <x v="0"/>
  </r>
  <r>
    <s v="ORD-10106"/>
    <x v="39"/>
    <s v="Kiara Agarwal"/>
    <x v="2"/>
    <x v="1"/>
    <x v="3"/>
    <x v="2"/>
    <s v="Academic"/>
    <s v="Statistics Handbook"/>
    <n v="3"/>
    <n v="162.76"/>
    <n v="463.87"/>
    <n v="5"/>
    <n v="46.36"/>
    <n v="370.36"/>
    <x v="3"/>
    <x v="0"/>
  </r>
  <r>
    <s v="ORD-10452"/>
    <x v="39"/>
    <s v="Vivaan Verma"/>
    <x v="1"/>
    <x v="2"/>
    <x v="11"/>
    <x v="4"/>
    <s v="Skincare"/>
    <s v="Face Wash Gel"/>
    <n v="3"/>
    <n v="1926.68"/>
    <n v="5202.04"/>
    <n v="10"/>
    <n v="1277.47"/>
    <n v="238.55"/>
    <x v="0"/>
    <x v="3"/>
  </r>
  <r>
    <s v="ORD-10626"/>
    <x v="39"/>
    <s v="Riya Desai"/>
    <x v="1"/>
    <x v="2"/>
    <x v="11"/>
    <x v="5"/>
    <s v="Men's Wear"/>
    <s v="Slim Fit Jeans"/>
    <n v="4"/>
    <n v="3984.89"/>
    <n v="15939.56"/>
    <n v="0"/>
    <n v="4789.97"/>
    <n v="386.8"/>
    <x v="1"/>
    <x v="2"/>
  </r>
  <r>
    <s v="ORD-10988"/>
    <x v="39"/>
    <s v="Myra Das"/>
    <x v="2"/>
    <x v="3"/>
    <x v="10"/>
    <x v="5"/>
    <s v="Women's Wear"/>
    <s v="Floral Dress"/>
    <n v="1"/>
    <n v="327.14999999999998"/>
    <n v="261.72000000000003"/>
    <n v="20"/>
    <n v="5.65"/>
    <n v="188.8"/>
    <x v="1"/>
    <x v="2"/>
  </r>
  <r>
    <s v="ORD-10202"/>
    <x v="40"/>
    <s v="Reyansh Iyer"/>
    <x v="1"/>
    <x v="2"/>
    <x v="8"/>
    <x v="2"/>
    <s v="Fiction"/>
    <s v="Whispering Pines"/>
    <n v="1"/>
    <n v="1089.28"/>
    <n v="871.42"/>
    <n v="20"/>
    <n v="37.36"/>
    <n v="285.95"/>
    <x v="2"/>
    <x v="0"/>
  </r>
  <r>
    <s v="ORD-10662"/>
    <x v="40"/>
    <s v="Anika Malhotra"/>
    <x v="0"/>
    <x v="1"/>
    <x v="3"/>
    <x v="4"/>
    <s v="Fragrances"/>
    <s v="Floral Mist"/>
    <n v="2"/>
    <n v="1018.47"/>
    <n v="1731.4"/>
    <n v="15"/>
    <n v="389.82"/>
    <n v="71.849999999999994"/>
    <x v="3"/>
    <x v="0"/>
  </r>
  <r>
    <s v="ORD-10311"/>
    <x v="40"/>
    <s v="Saanvi Singh"/>
    <x v="2"/>
    <x v="1"/>
    <x v="13"/>
    <x v="4"/>
    <s v="Skincare"/>
    <s v="Sunscreen SPF50"/>
    <n v="1"/>
    <n v="927.16"/>
    <n v="741.73"/>
    <n v="20"/>
    <n v="96.84"/>
    <n v="77.47"/>
    <x v="3"/>
    <x v="3"/>
  </r>
  <r>
    <s v="ORD-10273"/>
    <x v="41"/>
    <s v="Pooja Verma"/>
    <x v="2"/>
    <x v="0"/>
    <x v="12"/>
    <x v="3"/>
    <s v="Gym Equipment"/>
    <s v="Adjustable Dumbbells"/>
    <n v="1"/>
    <n v="3067.95"/>
    <n v="2761.15"/>
    <n v="10"/>
    <n v="433.88"/>
    <n v="276.69"/>
    <x v="0"/>
    <x v="2"/>
  </r>
  <r>
    <s v="ORD-10238"/>
    <x v="42"/>
    <s v="Diya Desai"/>
    <x v="2"/>
    <x v="1"/>
    <x v="3"/>
    <x v="2"/>
    <s v="Comics"/>
    <s v="Comic Universe"/>
    <n v="3"/>
    <n v="421.93"/>
    <n v="1075.92"/>
    <n v="15"/>
    <n v="49.75"/>
    <n v="248.34"/>
    <x v="3"/>
    <x v="2"/>
  </r>
  <r>
    <s v="ORD-10089"/>
    <x v="43"/>
    <s v="Meera Chopra"/>
    <x v="2"/>
    <x v="0"/>
    <x v="4"/>
    <x v="5"/>
    <s v="Kids Wear"/>
    <s v="Winter Jacket Jr"/>
    <n v="1"/>
    <n v="2385.56"/>
    <n v="2385.56"/>
    <n v="0"/>
    <n v="340.54"/>
    <n v="62"/>
    <x v="3"/>
    <x v="0"/>
  </r>
  <r>
    <s v="ORD-10744"/>
    <x v="43"/>
    <s v="Myra Gupta"/>
    <x v="2"/>
    <x v="3"/>
    <x v="10"/>
    <x v="0"/>
    <s v="Cameras"/>
    <s v="ClickShot X1"/>
    <n v="1"/>
    <n v="45372.5"/>
    <n v="36298"/>
    <n v="20"/>
    <n v="-4489.6000000000004"/>
    <n v="114.5"/>
    <x v="3"/>
    <x v="3"/>
  </r>
  <r>
    <s v="ORD-10819"/>
    <x v="44"/>
    <s v="Krishna Patel"/>
    <x v="1"/>
    <x v="3"/>
    <x v="10"/>
    <x v="3"/>
    <s v="Footwear"/>
    <s v="Casual Sneakers"/>
    <n v="1"/>
    <n v="957.96"/>
    <n v="957.96"/>
    <n v="0"/>
    <n v="249.47"/>
    <n v="239.08"/>
    <x v="1"/>
    <x v="2"/>
  </r>
  <r>
    <s v="ORD-10767"/>
    <x v="45"/>
    <s v="Vihaan Nair"/>
    <x v="2"/>
    <x v="0"/>
    <x v="0"/>
    <x v="4"/>
    <s v="Makeup"/>
    <s v="Matte Lipstick"/>
    <n v="2"/>
    <n v="2063.59"/>
    <n v="3714.46"/>
    <n v="10"/>
    <n v="569.04999999999995"/>
    <n v="58.55"/>
    <x v="0"/>
    <x v="2"/>
  </r>
  <r>
    <s v="ORD-10676"/>
    <x v="46"/>
    <s v="Reyansh Gupta"/>
    <x v="2"/>
    <x v="0"/>
    <x v="4"/>
    <x v="0"/>
    <s v="Cameras"/>
    <s v="SnapLite Mini"/>
    <n v="4"/>
    <n v="8668.81"/>
    <n v="32941.480000000003"/>
    <n v="5"/>
    <n v="-224.86"/>
    <n v="218.71"/>
    <x v="2"/>
    <x v="0"/>
  </r>
  <r>
    <s v="ORD-10366"/>
    <x v="47"/>
    <s v="Priya Das"/>
    <x v="2"/>
    <x v="1"/>
    <x v="1"/>
    <x v="5"/>
    <s v="Men's Wear"/>
    <s v="Casual Blazer"/>
    <n v="3"/>
    <n v="3618.13"/>
    <n v="9226.23"/>
    <n v="15"/>
    <n v="1065.5"/>
    <n v="157.5"/>
    <x v="3"/>
    <x v="2"/>
  </r>
  <r>
    <s v="ORD-10487"/>
    <x v="48"/>
    <s v="Ananya Patel"/>
    <x v="0"/>
    <x v="3"/>
    <x v="6"/>
    <x v="0"/>
    <s v="Headphones"/>
    <s v="SoundWave Pro"/>
    <n v="5"/>
    <n v="57167.88"/>
    <n v="285839.40000000002"/>
    <n v="0"/>
    <n v="23480.240000000002"/>
    <n v="198.93"/>
    <x v="4"/>
    <x v="2"/>
  </r>
  <r>
    <s v="ORD-10939"/>
    <x v="49"/>
    <s v="Myra Das"/>
    <x v="0"/>
    <x v="0"/>
    <x v="0"/>
    <x v="4"/>
    <s v="Makeup"/>
    <s v="Matte Lipstick"/>
    <n v="3"/>
    <n v="1569.03"/>
    <n v="4707.09"/>
    <n v="0"/>
    <n v="1368.02"/>
    <n v="170.55"/>
    <x v="1"/>
    <x v="0"/>
  </r>
  <r>
    <s v="ORD-10914"/>
    <x v="50"/>
    <s v="Pooja Desai"/>
    <x v="2"/>
    <x v="1"/>
    <x v="1"/>
    <x v="1"/>
    <s v="Decor"/>
    <s v="Ceramic Vase"/>
    <n v="1"/>
    <n v="1501.6"/>
    <n v="1351.44"/>
    <n v="10"/>
    <n v="54.81"/>
    <n v="130.77000000000001"/>
    <x v="0"/>
    <x v="3"/>
  </r>
  <r>
    <s v="ORD-10814"/>
    <x v="50"/>
    <s v="Kabir Joshi"/>
    <x v="1"/>
    <x v="3"/>
    <x v="6"/>
    <x v="0"/>
    <s v="Mobiles"/>
    <s v="Pixel Nano"/>
    <n v="2"/>
    <n v="60047.05"/>
    <n v="120094.1"/>
    <n v="0"/>
    <n v="10854.71"/>
    <n v="267.60000000000002"/>
    <x v="3"/>
    <x v="0"/>
  </r>
  <r>
    <s v="ORD-10724"/>
    <x v="51"/>
    <s v="Aditya Rao"/>
    <x v="2"/>
    <x v="0"/>
    <x v="0"/>
    <x v="4"/>
    <s v="Makeup"/>
    <s v="Eyeliner Pro"/>
    <n v="1"/>
    <n v="1432.01"/>
    <n v="1145.6099999999999"/>
    <n v="20"/>
    <n v="203.77"/>
    <n v="297.56"/>
    <x v="3"/>
    <x v="3"/>
  </r>
  <r>
    <s v="ORD-10620"/>
    <x v="52"/>
    <s v="Ayaan Gupta"/>
    <x v="0"/>
    <x v="0"/>
    <x v="4"/>
    <x v="2"/>
    <s v="Non-Fiction"/>
    <s v="Modern Economics"/>
    <n v="1"/>
    <n v="973.64"/>
    <n v="876.28"/>
    <n v="10"/>
    <n v="147.31"/>
    <n v="150.63999999999999"/>
    <x v="1"/>
    <x v="2"/>
  </r>
  <r>
    <s v="ORD-10431"/>
    <x v="52"/>
    <s v="Sai Gupta"/>
    <x v="2"/>
    <x v="1"/>
    <x v="13"/>
    <x v="2"/>
    <s v="Academic"/>
    <s v="Calculus Made Easy"/>
    <n v="1"/>
    <n v="1134.22"/>
    <n v="1077.51"/>
    <n v="5"/>
    <n v="178.29"/>
    <n v="45.95"/>
    <x v="2"/>
    <x v="0"/>
  </r>
  <r>
    <s v="ORD-10181"/>
    <x v="53"/>
    <s v="Krishna Kapoor"/>
    <x v="2"/>
    <x v="1"/>
    <x v="1"/>
    <x v="5"/>
    <s v="Kids Wear"/>
    <s v="School Uniform Set"/>
    <n v="4"/>
    <n v="4176.43"/>
    <n v="16705.72"/>
    <n v="0"/>
    <n v="2375.7600000000002"/>
    <n v="368.91"/>
    <x v="2"/>
    <x v="0"/>
  </r>
  <r>
    <s v="ORD-10651"/>
    <x v="54"/>
    <s v="Myra Mehta"/>
    <x v="0"/>
    <x v="3"/>
    <x v="7"/>
    <x v="3"/>
    <s v="Footwear"/>
    <s v="Formal Loafers"/>
    <n v="1"/>
    <n v="10180.959999999999"/>
    <n v="7126.67"/>
    <n v="30"/>
    <n v="724.83"/>
    <n v="129.83000000000001"/>
    <x v="0"/>
    <x v="2"/>
  </r>
  <r>
    <s v="ORD-10496"/>
    <x v="54"/>
    <s v="Riya Kapoor"/>
    <x v="2"/>
    <x v="1"/>
    <x v="1"/>
    <x v="0"/>
    <s v="Headphones"/>
    <s v="EchoBuds"/>
    <n v="1"/>
    <n v="32313.16"/>
    <n v="29081.84"/>
    <n v="10"/>
    <n v="1728.51"/>
    <n v="238.71"/>
    <x v="3"/>
    <x v="0"/>
  </r>
  <r>
    <s v="ORD-10136"/>
    <x v="55"/>
    <s v="Anika Joshi"/>
    <x v="2"/>
    <x v="1"/>
    <x v="1"/>
    <x v="3"/>
    <s v="Apparel"/>
    <s v="Compression Shorts"/>
    <n v="2"/>
    <n v="5185.96"/>
    <n v="9853.32"/>
    <n v="5"/>
    <n v="1927.77"/>
    <n v="147.91"/>
    <x v="4"/>
    <x v="3"/>
  </r>
  <r>
    <s v="ORD-10426"/>
    <x v="55"/>
    <s v="Aarav Mehta"/>
    <x v="1"/>
    <x v="1"/>
    <x v="13"/>
    <x v="1"/>
    <s v="Furniture"/>
    <s v="Bookshelf Unit"/>
    <n v="1"/>
    <n v="9067.75"/>
    <n v="7707.59"/>
    <n v="15"/>
    <n v="1408.21"/>
    <n v="266.8"/>
    <x v="2"/>
    <x v="3"/>
  </r>
  <r>
    <s v="ORD-10011"/>
    <x v="56"/>
    <s v="Karan Mishra"/>
    <x v="1"/>
    <x v="0"/>
    <x v="12"/>
    <x v="5"/>
    <s v="Men's Wear"/>
    <s v="Slim Fit Jeans"/>
    <n v="1"/>
    <n v="1386.88"/>
    <n v="1248.19"/>
    <n v="10"/>
    <n v="120.75"/>
    <n v="196.42"/>
    <x v="1"/>
    <x v="2"/>
  </r>
  <r>
    <s v="ORD-10481"/>
    <x v="57"/>
    <s v="Riya Patel"/>
    <x v="2"/>
    <x v="3"/>
    <x v="5"/>
    <x v="0"/>
    <s v="Accessories"/>
    <s v="PowerBank 20K"/>
    <n v="1"/>
    <n v="63263.13"/>
    <n v="63263.13"/>
    <n v="0"/>
    <n v="8037.17"/>
    <n v="298.63"/>
    <x v="4"/>
    <x v="1"/>
  </r>
  <r>
    <s v="ORD-10270"/>
    <x v="58"/>
    <s v="Myra Patel"/>
    <x v="0"/>
    <x v="3"/>
    <x v="5"/>
    <x v="1"/>
    <s v="Cookware"/>
    <s v="Non-Stick Pan Set"/>
    <n v="3"/>
    <n v="5012.1000000000004"/>
    <n v="12029.04"/>
    <n v="20"/>
    <n v="662.09"/>
    <n v="147.75"/>
    <x v="2"/>
    <x v="3"/>
  </r>
  <r>
    <s v="ORD-10981"/>
    <x v="59"/>
    <s v="Reyansh Gupta"/>
    <x v="2"/>
    <x v="1"/>
    <x v="13"/>
    <x v="3"/>
    <s v="Gym Equipment"/>
    <s v="Adjustable Dumbbells"/>
    <n v="2"/>
    <n v="14875.96"/>
    <n v="22313.94"/>
    <n v="25"/>
    <n v="466.6"/>
    <n v="259.14999999999998"/>
    <x v="3"/>
    <x v="3"/>
  </r>
  <r>
    <s v="ORD-10639"/>
    <x v="59"/>
    <s v="Vihaan Patel"/>
    <x v="2"/>
    <x v="3"/>
    <x v="7"/>
    <x v="0"/>
    <s v="Accessories"/>
    <s v="FastCharge Cable"/>
    <n v="1"/>
    <n v="20591.53"/>
    <n v="18532.38"/>
    <n v="10"/>
    <n v="1370.82"/>
    <n v="267.41000000000003"/>
    <x v="2"/>
    <x v="2"/>
  </r>
  <r>
    <s v="ORD-10935"/>
    <x v="60"/>
    <s v="Pooja Mehta"/>
    <x v="2"/>
    <x v="1"/>
    <x v="3"/>
    <x v="0"/>
    <s v="Accessories"/>
    <s v="PowerBank 20K"/>
    <n v="1"/>
    <n v="27674.48"/>
    <n v="27674.48"/>
    <n v="0"/>
    <n v="1868.69"/>
    <n v="93.24"/>
    <x v="1"/>
    <x v="1"/>
  </r>
  <r>
    <s v="ORD-10082"/>
    <x v="61"/>
    <s v="Myra Bose"/>
    <x v="0"/>
    <x v="2"/>
    <x v="8"/>
    <x v="4"/>
    <s v="Skincare"/>
    <s v="Vitamin C Serum"/>
    <n v="2"/>
    <n v="933.64"/>
    <n v="1867.28"/>
    <n v="0"/>
    <n v="482.69"/>
    <n v="315.36"/>
    <x v="3"/>
    <x v="1"/>
  </r>
  <r>
    <s v="ORD-10880"/>
    <x v="61"/>
    <s v="Rohan Kapoor"/>
    <x v="1"/>
    <x v="3"/>
    <x v="10"/>
    <x v="0"/>
    <s v="Headphones"/>
    <s v="BassBoost 300"/>
    <n v="1"/>
    <n v="7284.03"/>
    <n v="6919.83"/>
    <n v="5"/>
    <n v="288.22000000000003"/>
    <n v="174.02"/>
    <x v="3"/>
    <x v="3"/>
  </r>
  <r>
    <s v="ORD-10602"/>
    <x v="61"/>
    <s v="Simran Mishra"/>
    <x v="0"/>
    <x v="0"/>
    <x v="12"/>
    <x v="1"/>
    <s v="Appliances"/>
    <s v="Microwave Oven"/>
    <n v="1"/>
    <n v="2671.66"/>
    <n v="2270.91"/>
    <n v="15"/>
    <n v="241.33"/>
    <n v="75.06"/>
    <x v="2"/>
    <x v="1"/>
  </r>
  <r>
    <s v="ORD-10835"/>
    <x v="62"/>
    <s v="Ananya Singh"/>
    <x v="0"/>
    <x v="2"/>
    <x v="9"/>
    <x v="1"/>
    <s v="Appliances"/>
    <s v="Microwave Oven"/>
    <n v="1"/>
    <n v="11206.04"/>
    <n v="10085.44"/>
    <n v="10"/>
    <n v="1343.39"/>
    <n v="240.25"/>
    <x v="0"/>
    <x v="0"/>
  </r>
  <r>
    <s v="ORD-10540"/>
    <x v="62"/>
    <s v="Krishna Rao"/>
    <x v="1"/>
    <x v="3"/>
    <x v="10"/>
    <x v="4"/>
    <s v="Makeup"/>
    <s v="Matte Lipstick"/>
    <n v="1"/>
    <n v="2291.75"/>
    <n v="2062.58"/>
    <n v="10"/>
    <n v="481.76"/>
    <n v="261.08999999999997"/>
    <x v="3"/>
    <x v="3"/>
  </r>
  <r>
    <s v="ORD-10738"/>
    <x v="63"/>
    <s v="Karan Khan"/>
    <x v="2"/>
    <x v="0"/>
    <x v="4"/>
    <x v="4"/>
    <s v="Makeup"/>
    <s v="Eyeliner Pro"/>
    <n v="4"/>
    <n v="648.44000000000005"/>
    <n v="1945.32"/>
    <n v="25"/>
    <n v="169.14"/>
    <n v="359.93"/>
    <x v="3"/>
    <x v="0"/>
  </r>
  <r>
    <s v="ORD-10122"/>
    <x v="64"/>
    <s v="Arjun Gupta"/>
    <x v="2"/>
    <x v="0"/>
    <x v="0"/>
    <x v="2"/>
    <s v="Non-Fiction"/>
    <s v="Mind Over Matter"/>
    <n v="4"/>
    <n v="269.24"/>
    <n v="1023.11"/>
    <n v="5"/>
    <n v="150.16999999999999"/>
    <n v="289.89999999999998"/>
    <x v="1"/>
    <x v="3"/>
  </r>
  <r>
    <s v="ORD-10070"/>
    <x v="65"/>
    <s v="Dhruv Khan"/>
    <x v="2"/>
    <x v="1"/>
    <x v="13"/>
    <x v="4"/>
    <s v="Makeup"/>
    <s v="Compact Powder"/>
    <n v="1"/>
    <n v="1463.22"/>
    <n v="1024.25"/>
    <n v="30"/>
    <n v="146.76"/>
    <n v="258.67"/>
    <x v="2"/>
    <x v="0"/>
  </r>
  <r>
    <s v="ORD-10706"/>
    <x v="66"/>
    <s v="Myra Rao"/>
    <x v="2"/>
    <x v="2"/>
    <x v="11"/>
    <x v="2"/>
    <s v="Academic"/>
    <s v="Calculus Made Easy"/>
    <n v="5"/>
    <n v="484.54"/>
    <n v="2180.4299999999998"/>
    <n v="10"/>
    <n v="-45.71"/>
    <n v="379.14"/>
    <x v="3"/>
    <x v="0"/>
  </r>
  <r>
    <s v="ORD-10267"/>
    <x v="67"/>
    <s v="Aarav Singh"/>
    <x v="2"/>
    <x v="1"/>
    <x v="13"/>
    <x v="5"/>
    <s v="Women's Wear"/>
    <s v="Ethnic Kurti"/>
    <n v="5"/>
    <n v="2195.83"/>
    <n v="10979.15"/>
    <n v="0"/>
    <n v="2656.96"/>
    <n v="311.98"/>
    <x v="1"/>
    <x v="3"/>
  </r>
  <r>
    <s v="ORD-10583"/>
    <x v="68"/>
    <s v="Vivaan Verma"/>
    <x v="2"/>
    <x v="3"/>
    <x v="10"/>
    <x v="4"/>
    <s v="Skincare"/>
    <s v="Vitamin C Serum"/>
    <n v="4"/>
    <n v="1758.97"/>
    <n v="5980.5"/>
    <n v="15"/>
    <n v="671.68"/>
    <n v="118.71"/>
    <x v="4"/>
    <x v="0"/>
  </r>
  <r>
    <s v="ORD-10003"/>
    <x v="68"/>
    <s v="Priya Verma"/>
    <x v="0"/>
    <x v="1"/>
    <x v="3"/>
    <x v="1"/>
    <s v="Decor"/>
    <s v="Ceramic Vase"/>
    <n v="2"/>
    <n v="2057.2600000000002"/>
    <n v="2880.16"/>
    <n v="30"/>
    <n v="-69.5"/>
    <n v="276.04000000000002"/>
    <x v="0"/>
    <x v="3"/>
  </r>
  <r>
    <s v="ORD-10463"/>
    <x v="69"/>
    <s v="Sai Iyer"/>
    <x v="2"/>
    <x v="2"/>
    <x v="11"/>
    <x v="3"/>
    <s v="Apparel"/>
    <s v="Track Pants"/>
    <n v="1"/>
    <n v="14703.81"/>
    <n v="10292.67"/>
    <n v="30"/>
    <n v="-237.72"/>
    <n v="249.8"/>
    <x v="3"/>
    <x v="3"/>
  </r>
  <r>
    <s v="ORD-10327"/>
    <x v="69"/>
    <s v="Saanvi Mishra"/>
    <x v="2"/>
    <x v="3"/>
    <x v="7"/>
    <x v="4"/>
    <s v="Makeup"/>
    <s v="Compact Powder"/>
    <n v="1"/>
    <n v="368.35"/>
    <n v="349.93"/>
    <n v="5"/>
    <n v="116.21"/>
    <n v="228.24"/>
    <x v="4"/>
    <x v="3"/>
  </r>
  <r>
    <s v="ORD-10588"/>
    <x v="69"/>
    <s v="Diya Patel"/>
    <x v="1"/>
    <x v="2"/>
    <x v="9"/>
    <x v="5"/>
    <s v="Men's Wear"/>
    <s v="Cotton Kurta"/>
    <n v="2"/>
    <n v="1716.85"/>
    <n v="3433.7"/>
    <n v="0"/>
    <n v="646.41"/>
    <n v="51.18"/>
    <x v="1"/>
    <x v="0"/>
  </r>
  <r>
    <s v="ORD-10865"/>
    <x v="70"/>
    <s v="Ananya Bose"/>
    <x v="0"/>
    <x v="3"/>
    <x v="7"/>
    <x v="1"/>
    <s v="Decor"/>
    <s v="Wall Art Frame"/>
    <n v="2"/>
    <n v="474"/>
    <n v="853.2"/>
    <n v="10"/>
    <n v="166.7"/>
    <n v="155.66"/>
    <x v="3"/>
    <x v="0"/>
  </r>
  <r>
    <s v="ORD-10893"/>
    <x v="71"/>
    <s v="Arjun Agarwal"/>
    <x v="0"/>
    <x v="0"/>
    <x v="12"/>
    <x v="3"/>
    <s v="Footwear"/>
    <s v="Running Shoes"/>
    <n v="2"/>
    <n v="4436.4399999999996"/>
    <n v="7985.59"/>
    <n v="10"/>
    <n v="1339.82"/>
    <n v="126.15"/>
    <x v="0"/>
    <x v="2"/>
  </r>
  <r>
    <s v="ORD-10506"/>
    <x v="72"/>
    <s v="Sai Patel"/>
    <x v="1"/>
    <x v="2"/>
    <x v="8"/>
    <x v="5"/>
    <s v="Women's Wear"/>
    <s v="Floral Dress"/>
    <n v="1"/>
    <n v="2853.2"/>
    <n v="2710.54"/>
    <n v="5"/>
    <n v="418.87"/>
    <n v="129"/>
    <x v="3"/>
    <x v="3"/>
  </r>
  <r>
    <s v="ORD-10805"/>
    <x v="72"/>
    <s v="Anika Khan"/>
    <x v="2"/>
    <x v="0"/>
    <x v="12"/>
    <x v="4"/>
    <s v="Makeup"/>
    <s v="Foundation Stick"/>
    <n v="2"/>
    <n v="2372.73"/>
    <n v="4745.46"/>
    <n v="0"/>
    <n v="1495.12"/>
    <n v="296.45999999999998"/>
    <x v="0"/>
    <x v="3"/>
  </r>
  <r>
    <s v="ORD-10646"/>
    <x v="73"/>
    <s v="Ayaan Khan"/>
    <x v="0"/>
    <x v="3"/>
    <x v="6"/>
    <x v="1"/>
    <s v="Appliances"/>
    <s v="Air Fryer"/>
    <n v="4"/>
    <n v="8687.32"/>
    <n v="29536.89"/>
    <n v="15"/>
    <n v="2224.4299999999998"/>
    <n v="317.88"/>
    <x v="3"/>
    <x v="1"/>
  </r>
  <r>
    <s v="ORD-10916"/>
    <x v="73"/>
    <s v="Ananya Joshi"/>
    <x v="2"/>
    <x v="3"/>
    <x v="6"/>
    <x v="5"/>
    <s v="Kids Wear"/>
    <s v="Winter Jacket Jr"/>
    <n v="2"/>
    <n v="1636.88"/>
    <n v="2455.3200000000002"/>
    <n v="25"/>
    <n v="291.85000000000002"/>
    <n v="201.49"/>
    <x v="1"/>
    <x v="3"/>
  </r>
  <r>
    <s v="ORD-10288"/>
    <x v="73"/>
    <s v="Saanvi Iyer"/>
    <x v="2"/>
    <x v="1"/>
    <x v="3"/>
    <x v="4"/>
    <s v="Skincare"/>
    <s v="Vitamin C Serum"/>
    <n v="1"/>
    <n v="2074.1"/>
    <n v="1970.39"/>
    <n v="5"/>
    <n v="544.04"/>
    <n v="55.64"/>
    <x v="4"/>
    <x v="1"/>
  </r>
  <r>
    <s v="ORD-10641"/>
    <x v="74"/>
    <s v="Pooja Kapoor"/>
    <x v="0"/>
    <x v="0"/>
    <x v="12"/>
    <x v="0"/>
    <s v="Mobiles"/>
    <s v="Nova 5G"/>
    <n v="4"/>
    <n v="53310.53"/>
    <n v="213242.12"/>
    <n v="0"/>
    <n v="16416.830000000002"/>
    <n v="363.62"/>
    <x v="3"/>
    <x v="2"/>
  </r>
  <r>
    <s v="ORD-10787"/>
    <x v="74"/>
    <s v="Aarav Nair"/>
    <x v="2"/>
    <x v="0"/>
    <x v="4"/>
    <x v="2"/>
    <s v="Comics"/>
    <s v="Graphic Tales"/>
    <n v="3"/>
    <n v="332.96"/>
    <n v="898.99"/>
    <n v="10"/>
    <n v="73.680000000000007"/>
    <n v="374.96"/>
    <x v="0"/>
    <x v="2"/>
  </r>
  <r>
    <s v="ORD-10763"/>
    <x v="75"/>
    <s v="Myra Joshi"/>
    <x v="2"/>
    <x v="3"/>
    <x v="10"/>
    <x v="5"/>
    <s v="Kids Wear"/>
    <s v="Cartoon T-Shirt"/>
    <n v="1"/>
    <n v="2236.9"/>
    <n v="1677.68"/>
    <n v="25"/>
    <n v="117.98"/>
    <n v="333.74"/>
    <x v="1"/>
    <x v="3"/>
  </r>
  <r>
    <s v="ORD-10972"/>
    <x v="76"/>
    <s v="Vihaan Kapoor"/>
    <x v="0"/>
    <x v="1"/>
    <x v="1"/>
    <x v="0"/>
    <s v="Headphones"/>
    <s v="BassBoost 300"/>
    <n v="4"/>
    <n v="41250.160000000003"/>
    <n v="156750.60999999999"/>
    <n v="5"/>
    <n v="12629.85"/>
    <n v="282.19"/>
    <x v="0"/>
    <x v="3"/>
  </r>
  <r>
    <s v="ORD-10284"/>
    <x v="77"/>
    <s v="Navya Rao"/>
    <x v="1"/>
    <x v="2"/>
    <x v="8"/>
    <x v="0"/>
    <s v="Accessories"/>
    <s v="FastCharge Cable"/>
    <n v="2"/>
    <n v="24027.73"/>
    <n v="43249.91"/>
    <n v="10"/>
    <n v="1811.44"/>
    <n v="148.07"/>
    <x v="2"/>
    <x v="0"/>
  </r>
  <r>
    <s v="ORD-10277"/>
    <x v="78"/>
    <s v="Kabir Singh"/>
    <x v="2"/>
    <x v="0"/>
    <x v="0"/>
    <x v="4"/>
    <s v="Skincare"/>
    <s v="Face Wash Gel"/>
    <n v="2"/>
    <n v="1557.61"/>
    <n v="2803.7"/>
    <n v="10"/>
    <n v="658.37"/>
    <n v="92.87"/>
    <x v="1"/>
    <x v="2"/>
  </r>
  <r>
    <s v="ORD-10928"/>
    <x v="79"/>
    <s v="Riya Chopra"/>
    <x v="2"/>
    <x v="0"/>
    <x v="12"/>
    <x v="5"/>
    <s v="Kids Wear"/>
    <s v="Denim Overalls"/>
    <n v="2"/>
    <n v="1572.67"/>
    <n v="3145.34"/>
    <n v="0"/>
    <n v="667.51"/>
    <n v="354.3"/>
    <x v="4"/>
    <x v="1"/>
  </r>
  <r>
    <s v="ORD-10511"/>
    <x v="79"/>
    <s v="Rohan Nair"/>
    <x v="0"/>
    <x v="0"/>
    <x v="12"/>
    <x v="3"/>
    <s v="Gym Equipment"/>
    <s v="Adjustable Dumbbells"/>
    <n v="3"/>
    <n v="2045.56"/>
    <n v="6136.68"/>
    <n v="0"/>
    <n v="1134.9000000000001"/>
    <n v="264.12"/>
    <x v="0"/>
    <x v="3"/>
  </r>
  <r>
    <s v="ORD-10396"/>
    <x v="80"/>
    <s v="Kiara Reddy"/>
    <x v="0"/>
    <x v="0"/>
    <x v="4"/>
    <x v="0"/>
    <s v="Mobiles"/>
    <s v="Galaxy Note Lite"/>
    <n v="1"/>
    <n v="3876.49"/>
    <n v="3488.84"/>
    <n v="10"/>
    <n v="95.8"/>
    <n v="339.92"/>
    <x v="0"/>
    <x v="0"/>
  </r>
  <r>
    <s v="ORD-10196"/>
    <x v="81"/>
    <s v="Kiara Reddy"/>
    <x v="0"/>
    <x v="3"/>
    <x v="10"/>
    <x v="1"/>
    <s v="Decor"/>
    <s v="Wall Art Frame"/>
    <n v="1"/>
    <n v="9759.4599999999991"/>
    <n v="7807.57"/>
    <n v="20"/>
    <n v="322.13"/>
    <n v="338.05"/>
    <x v="3"/>
    <x v="3"/>
  </r>
  <r>
    <s v="ORD-10961"/>
    <x v="82"/>
    <s v="Aarav Reddy"/>
    <x v="2"/>
    <x v="1"/>
    <x v="13"/>
    <x v="5"/>
    <s v="Women's Wear"/>
    <s v="Denim Jacket"/>
    <n v="1"/>
    <n v="910.37"/>
    <n v="819.33"/>
    <n v="10"/>
    <n v="101.28"/>
    <n v="52.77"/>
    <x v="3"/>
    <x v="0"/>
  </r>
  <r>
    <s v="ORD-10733"/>
    <x v="82"/>
    <s v="Reyansh Mishra"/>
    <x v="1"/>
    <x v="2"/>
    <x v="8"/>
    <x v="5"/>
    <s v="Kids Wear"/>
    <s v="Denim Overalls"/>
    <n v="1"/>
    <n v="1769.77"/>
    <n v="1681.28"/>
    <n v="5"/>
    <n v="304.04000000000002"/>
    <n v="296.04000000000002"/>
    <x v="0"/>
    <x v="0"/>
  </r>
  <r>
    <s v="ORD-10958"/>
    <x v="83"/>
    <s v="Ayaan Khan"/>
    <x v="2"/>
    <x v="1"/>
    <x v="13"/>
    <x v="1"/>
    <s v="Decor"/>
    <s v="Ceramic Vase"/>
    <n v="1"/>
    <n v="2295.0500000000002"/>
    <n v="2065.5500000000002"/>
    <n v="10"/>
    <n v="130.03"/>
    <n v="89.03"/>
    <x v="2"/>
    <x v="0"/>
  </r>
  <r>
    <s v="ORD-10313"/>
    <x v="84"/>
    <s v="Myra Patel"/>
    <x v="0"/>
    <x v="0"/>
    <x v="0"/>
    <x v="0"/>
    <s v="Cameras"/>
    <s v="SnapLite Mini"/>
    <n v="2"/>
    <n v="61925.59"/>
    <n v="117658.62"/>
    <n v="5"/>
    <n v="13626.8"/>
    <n v="190.52"/>
    <x v="1"/>
    <x v="0"/>
  </r>
  <r>
    <s v="ORD-10552"/>
    <x v="84"/>
    <s v="Neha Patel"/>
    <x v="1"/>
    <x v="2"/>
    <x v="8"/>
    <x v="3"/>
    <s v="Apparel"/>
    <s v="Sports Jacket"/>
    <n v="1"/>
    <n v="9791.49"/>
    <n v="8812.34"/>
    <n v="10"/>
    <n v="1718.92"/>
    <n v="292.33999999999997"/>
    <x v="0"/>
    <x v="2"/>
  </r>
  <r>
    <s v="ORD-10683"/>
    <x v="85"/>
    <s v="Aadhya Sharma"/>
    <x v="0"/>
    <x v="1"/>
    <x v="3"/>
    <x v="1"/>
    <s v="Furniture"/>
    <s v="Study Table"/>
    <n v="1"/>
    <n v="9763.4"/>
    <n v="9763.4"/>
    <n v="0"/>
    <n v="1884.77"/>
    <n v="194.07"/>
    <x v="0"/>
    <x v="0"/>
  </r>
  <r>
    <s v="ORD-10856"/>
    <x v="86"/>
    <s v="Anika Bose"/>
    <x v="2"/>
    <x v="3"/>
    <x v="7"/>
    <x v="0"/>
    <s v="Mobiles"/>
    <s v="Pixel Nano"/>
    <n v="2"/>
    <n v="43190.6"/>
    <n v="82062.14"/>
    <n v="5"/>
    <n v="4280.6099999999997"/>
    <n v="67.430000000000007"/>
    <x v="4"/>
    <x v="0"/>
  </r>
  <r>
    <s v="ORD-10831"/>
    <x v="87"/>
    <s v="Karan Verma"/>
    <x v="2"/>
    <x v="0"/>
    <x v="12"/>
    <x v="2"/>
    <s v="Fiction"/>
    <s v="Beyond the Horizon"/>
    <n v="4"/>
    <n v="612.05999999999995"/>
    <n v="2081"/>
    <n v="15"/>
    <n v="140.21"/>
    <n v="268.22000000000003"/>
    <x v="0"/>
    <x v="2"/>
  </r>
  <r>
    <s v="ORD-10459"/>
    <x v="87"/>
    <s v="Karan Bose"/>
    <x v="2"/>
    <x v="0"/>
    <x v="0"/>
    <x v="3"/>
    <s v="Gym Equipment"/>
    <s v="Yoga Mat Pro"/>
    <n v="1"/>
    <n v="839.07"/>
    <n v="839.07"/>
    <n v="0"/>
    <n v="224.71"/>
    <n v="292.52"/>
    <x v="2"/>
    <x v="0"/>
  </r>
  <r>
    <s v="ORD-10386"/>
    <x v="88"/>
    <s v="Kiara Nair"/>
    <x v="2"/>
    <x v="0"/>
    <x v="12"/>
    <x v="2"/>
    <s v="Academic"/>
    <s v="Calculus Made Easy"/>
    <n v="2"/>
    <n v="609.48"/>
    <n v="1218.96"/>
    <n v="0"/>
    <n v="138.31"/>
    <n v="126.49"/>
    <x v="3"/>
    <x v="0"/>
  </r>
  <r>
    <s v="ORD-10170"/>
    <x v="88"/>
    <s v="Ishaan Gupta"/>
    <x v="0"/>
    <x v="1"/>
    <x v="13"/>
    <x v="4"/>
    <s v="Haircare"/>
    <s v="Hair Growth Serum"/>
    <n v="3"/>
    <n v="228.07"/>
    <n v="581.58000000000004"/>
    <n v="15"/>
    <n v="94.43"/>
    <n v="251.5"/>
    <x v="1"/>
    <x v="3"/>
  </r>
  <r>
    <s v="ORD-10268"/>
    <x v="88"/>
    <s v="Ira Verma"/>
    <x v="0"/>
    <x v="3"/>
    <x v="10"/>
    <x v="3"/>
    <s v="Apparel"/>
    <s v="Sports T-Shirt"/>
    <n v="2"/>
    <n v="11671.85"/>
    <n v="23343.7"/>
    <n v="0"/>
    <n v="4082.75"/>
    <n v="118.62"/>
    <x v="3"/>
    <x v="3"/>
  </r>
  <r>
    <s v="ORD-10464"/>
    <x v="89"/>
    <s v="Arjun Malhotra"/>
    <x v="2"/>
    <x v="2"/>
    <x v="9"/>
    <x v="3"/>
    <s v="Apparel"/>
    <s v="Compression Shorts"/>
    <n v="5"/>
    <n v="8076.4"/>
    <n v="36343.800000000003"/>
    <n v="10"/>
    <n v="5748.76"/>
    <n v="320.19"/>
    <x v="1"/>
    <x v="0"/>
  </r>
  <r>
    <s v="ORD-10468"/>
    <x v="89"/>
    <s v="Ira Agarwal"/>
    <x v="2"/>
    <x v="3"/>
    <x v="10"/>
    <x v="5"/>
    <s v="Footwear"/>
    <s v="Casual Sneakers"/>
    <n v="1"/>
    <n v="3995.25"/>
    <n v="3395.96"/>
    <n v="15"/>
    <n v="625.4"/>
    <n v="198.14"/>
    <x v="0"/>
    <x v="2"/>
  </r>
  <r>
    <s v="ORD-10160"/>
    <x v="90"/>
    <s v="Sai Desai"/>
    <x v="2"/>
    <x v="1"/>
    <x v="13"/>
    <x v="5"/>
    <s v="Kids Wear"/>
    <s v="School Uniform Set"/>
    <n v="3"/>
    <n v="1628.03"/>
    <n v="4639.8900000000003"/>
    <n v="5"/>
    <n v="807.56"/>
    <n v="248.26"/>
    <x v="3"/>
    <x v="2"/>
  </r>
  <r>
    <s v="ORD-10830"/>
    <x v="90"/>
    <s v="Krishna Reddy"/>
    <x v="1"/>
    <x v="1"/>
    <x v="13"/>
    <x v="1"/>
    <s v="Cookware"/>
    <s v="Pressure Cooker"/>
    <n v="3"/>
    <n v="4040.99"/>
    <n v="10304.52"/>
    <n v="15"/>
    <n v="1155.79"/>
    <n v="281.14"/>
    <x v="1"/>
    <x v="0"/>
  </r>
  <r>
    <s v="ORD-10172"/>
    <x v="91"/>
    <s v="Karan Desai"/>
    <x v="0"/>
    <x v="1"/>
    <x v="13"/>
    <x v="0"/>
    <s v="Mobiles"/>
    <s v="iSmart X2"/>
    <n v="1"/>
    <n v="26774.32"/>
    <n v="20080.740000000002"/>
    <n v="25"/>
    <n v="-644.41999999999996"/>
    <n v="177.84"/>
    <x v="0"/>
    <x v="1"/>
  </r>
  <r>
    <s v="ORD-10697"/>
    <x v="92"/>
    <s v="Ishaan Nair"/>
    <x v="1"/>
    <x v="1"/>
    <x v="1"/>
    <x v="5"/>
    <s v="Kids Wear"/>
    <s v="Cartoon T-Shirt"/>
    <n v="3"/>
    <n v="535.94000000000005"/>
    <n v="1366.65"/>
    <n v="15"/>
    <n v="231.86"/>
    <n v="93.73"/>
    <x v="1"/>
    <x v="0"/>
  </r>
  <r>
    <s v="ORD-10717"/>
    <x v="93"/>
    <s v="Vivaan Chopra"/>
    <x v="2"/>
    <x v="3"/>
    <x v="5"/>
    <x v="4"/>
    <s v="Fragrances"/>
    <s v="Citrus Eau de Toilette"/>
    <n v="1"/>
    <n v="1156.28"/>
    <n v="809.4"/>
    <n v="30"/>
    <n v="135.24"/>
    <n v="252.86"/>
    <x v="4"/>
    <x v="1"/>
  </r>
  <r>
    <s v="ORD-10968"/>
    <x v="93"/>
    <s v="Sai Sharma"/>
    <x v="0"/>
    <x v="1"/>
    <x v="13"/>
    <x v="4"/>
    <s v="Fragrances"/>
    <s v="Citrus Eau de Toilette"/>
    <n v="2"/>
    <n v="1155.52"/>
    <n v="2311.04"/>
    <n v="0"/>
    <n v="807.29"/>
    <n v="52.68"/>
    <x v="0"/>
    <x v="2"/>
  </r>
  <r>
    <s v="ORD-10922"/>
    <x v="93"/>
    <s v="Pooja Iyer"/>
    <x v="0"/>
    <x v="3"/>
    <x v="7"/>
    <x v="3"/>
    <s v="Footwear"/>
    <s v="Formal Loafers"/>
    <n v="2"/>
    <n v="1610.37"/>
    <n v="2898.67"/>
    <n v="10"/>
    <n v="263.45"/>
    <n v="63.25"/>
    <x v="0"/>
    <x v="0"/>
  </r>
  <r>
    <s v="ORD-10129"/>
    <x v="94"/>
    <s v="Dhruv Verma"/>
    <x v="2"/>
    <x v="2"/>
    <x v="8"/>
    <x v="1"/>
    <s v="Appliances"/>
    <s v="Mixer Grinder"/>
    <n v="1"/>
    <n v="11148.42"/>
    <n v="10033.58"/>
    <n v="10"/>
    <n v="349.48"/>
    <n v="176.92"/>
    <x v="0"/>
    <x v="0"/>
  </r>
  <r>
    <s v="ORD-10537"/>
    <x v="95"/>
    <s v="Myra Rao"/>
    <x v="2"/>
    <x v="2"/>
    <x v="9"/>
    <x v="1"/>
    <s v="Appliances"/>
    <s v="Electric Kettle"/>
    <n v="1"/>
    <n v="2804.78"/>
    <n v="2804.78"/>
    <n v="0"/>
    <n v="604.48"/>
    <n v="126.16"/>
    <x v="3"/>
    <x v="1"/>
  </r>
  <r>
    <s v="ORD-10339"/>
    <x v="96"/>
    <s v="Aditya Nair"/>
    <x v="2"/>
    <x v="0"/>
    <x v="12"/>
    <x v="3"/>
    <s v="Footwear"/>
    <s v="Running Shoes"/>
    <n v="1"/>
    <n v="9163.61"/>
    <n v="7789.07"/>
    <n v="15"/>
    <n v="875.83"/>
    <n v="102.99"/>
    <x v="3"/>
    <x v="3"/>
  </r>
  <r>
    <s v="ORD-10441"/>
    <x v="97"/>
    <s v="Vihaan Mishra"/>
    <x v="2"/>
    <x v="2"/>
    <x v="8"/>
    <x v="1"/>
    <s v="Appliances"/>
    <s v="Air Fryer"/>
    <n v="1"/>
    <n v="8877.52"/>
    <n v="6214.26"/>
    <n v="30"/>
    <n v="-345.02"/>
    <n v="210.91"/>
    <x v="1"/>
    <x v="0"/>
  </r>
  <r>
    <s v="ORD-10998"/>
    <x v="98"/>
    <s v="Meera Joshi"/>
    <x v="2"/>
    <x v="2"/>
    <x v="11"/>
    <x v="1"/>
    <s v="Furniture"/>
    <s v="Bookshelf Unit"/>
    <n v="4"/>
    <n v="2183.89"/>
    <n v="8735.56"/>
    <n v="0"/>
    <n v="1437.37"/>
    <n v="358.57"/>
    <x v="1"/>
    <x v="3"/>
  </r>
  <r>
    <s v="ORD-10092"/>
    <x v="99"/>
    <s v="Ayaan Kapoor"/>
    <x v="1"/>
    <x v="1"/>
    <x v="1"/>
    <x v="3"/>
    <s v="Apparel"/>
    <s v="Sports T-Shirt"/>
    <n v="1"/>
    <n v="6919.73"/>
    <n v="6919.73"/>
    <n v="0"/>
    <n v="2084.4699999999998"/>
    <n v="123.83"/>
    <x v="2"/>
    <x v="2"/>
  </r>
  <r>
    <s v="ORD-10955"/>
    <x v="99"/>
    <s v="Navya Agarwal"/>
    <x v="1"/>
    <x v="1"/>
    <x v="1"/>
    <x v="1"/>
    <s v="Cookware"/>
    <s v="Cookware Combo"/>
    <n v="1"/>
    <n v="10448.99"/>
    <n v="9404.09"/>
    <n v="10"/>
    <n v="988.47"/>
    <n v="34.590000000000003"/>
    <x v="2"/>
    <x v="3"/>
  </r>
  <r>
    <s v="ORD-10120"/>
    <x v="100"/>
    <s v="Saanvi Mishra"/>
    <x v="2"/>
    <x v="3"/>
    <x v="6"/>
    <x v="3"/>
    <s v="Apparel"/>
    <s v="Compression Shorts"/>
    <n v="1"/>
    <n v="3881.89"/>
    <n v="3687.8"/>
    <n v="5"/>
    <n v="684.54"/>
    <n v="95.61"/>
    <x v="0"/>
    <x v="3"/>
  </r>
  <r>
    <s v="ORD-10318"/>
    <x v="100"/>
    <s v="Diya Mishra"/>
    <x v="1"/>
    <x v="3"/>
    <x v="10"/>
    <x v="5"/>
    <s v="Footwear"/>
    <s v="Sandals"/>
    <n v="4"/>
    <n v="3789.68"/>
    <n v="12126.98"/>
    <n v="20"/>
    <n v="1433.99"/>
    <n v="351.67"/>
    <x v="3"/>
    <x v="3"/>
  </r>
  <r>
    <s v="ORD-10142"/>
    <x v="100"/>
    <s v="Vihaan Agarwal"/>
    <x v="0"/>
    <x v="0"/>
    <x v="0"/>
    <x v="3"/>
    <s v="Apparel"/>
    <s v="Track Pants"/>
    <n v="1"/>
    <n v="5373.88"/>
    <n v="5373.88"/>
    <n v="0"/>
    <n v="784.17"/>
    <n v="181.67"/>
    <x v="2"/>
    <x v="0"/>
  </r>
  <r>
    <s v="ORD-10884"/>
    <x v="101"/>
    <s v="Ishaan Verma"/>
    <x v="0"/>
    <x v="0"/>
    <x v="12"/>
    <x v="0"/>
    <s v="Cameras"/>
    <s v="ActionCam 4K"/>
    <n v="1"/>
    <n v="4816.21"/>
    <n v="4816.21"/>
    <n v="0"/>
    <n v="591.41"/>
    <n v="41.1"/>
    <x v="3"/>
    <x v="0"/>
  </r>
  <r>
    <s v="ORD-10973"/>
    <x v="102"/>
    <s v="Sai Rao"/>
    <x v="1"/>
    <x v="0"/>
    <x v="4"/>
    <x v="0"/>
    <s v="Headphones"/>
    <s v="SilentPods"/>
    <n v="2"/>
    <n v="64522.43"/>
    <n v="129044.86"/>
    <n v="0"/>
    <n v="16148.12"/>
    <n v="310.8"/>
    <x v="0"/>
    <x v="0"/>
  </r>
  <r>
    <s v="ORD-10960"/>
    <x v="102"/>
    <s v="Ananya Agarwal"/>
    <x v="2"/>
    <x v="0"/>
    <x v="4"/>
    <x v="3"/>
    <s v="Gym Equipment"/>
    <s v="Treadmill Compact"/>
    <n v="1"/>
    <n v="13294.22"/>
    <n v="12629.51"/>
    <n v="5"/>
    <n v="1793.01"/>
    <n v="116.6"/>
    <x v="1"/>
    <x v="2"/>
  </r>
  <r>
    <s v="ORD-10397"/>
    <x v="103"/>
    <s v="Krishna Gupta"/>
    <x v="2"/>
    <x v="2"/>
    <x v="9"/>
    <x v="3"/>
    <s v="Outdoor Gear"/>
    <s v="Water Bottle Steel"/>
    <n v="2"/>
    <n v="2184.67"/>
    <n v="4150.87"/>
    <n v="5"/>
    <n v="495.91"/>
    <n v="200.52"/>
    <x v="1"/>
    <x v="3"/>
  </r>
  <r>
    <s v="ORD-10296"/>
    <x v="104"/>
    <s v="Vivaan Mehta"/>
    <x v="1"/>
    <x v="0"/>
    <x v="0"/>
    <x v="4"/>
    <s v="Fragrances"/>
    <s v="Woody Cologne"/>
    <n v="1"/>
    <n v="1449.59"/>
    <n v="1304.6300000000001"/>
    <n v="10"/>
    <n v="191.5"/>
    <n v="194.48"/>
    <x v="2"/>
    <x v="0"/>
  </r>
  <r>
    <s v="ORD-10341"/>
    <x v="105"/>
    <s v="Neha Kapoor"/>
    <x v="2"/>
    <x v="3"/>
    <x v="10"/>
    <x v="4"/>
    <s v="Skincare"/>
    <s v="Vitamin C Serum"/>
    <n v="5"/>
    <n v="787.98"/>
    <n v="3939.9"/>
    <n v="0"/>
    <n v="1313.93"/>
    <n v="362.38"/>
    <x v="3"/>
    <x v="0"/>
  </r>
  <r>
    <s v="ORD-10072"/>
    <x v="105"/>
    <s v="Kabir Iyer"/>
    <x v="0"/>
    <x v="2"/>
    <x v="2"/>
    <x v="5"/>
    <s v="Women's Wear"/>
    <s v="Denim Jacket"/>
    <n v="4"/>
    <n v="1795.09"/>
    <n v="6462.32"/>
    <n v="10"/>
    <n v="1759.3"/>
    <n v="317.51"/>
    <x v="0"/>
    <x v="3"/>
  </r>
  <r>
    <s v="ORD-10480"/>
    <x v="105"/>
    <s v="Vihaan Verma"/>
    <x v="0"/>
    <x v="3"/>
    <x v="10"/>
    <x v="2"/>
    <s v="Fiction"/>
    <s v="Mystery of Ashgrove"/>
    <n v="2"/>
    <n v="1164.56"/>
    <n v="2329.12"/>
    <n v="0"/>
    <n v="239.6"/>
    <n v="85.79"/>
    <x v="1"/>
    <x v="0"/>
  </r>
  <r>
    <s v="ORD-10806"/>
    <x v="106"/>
    <s v="Diya Iyer"/>
    <x v="2"/>
    <x v="2"/>
    <x v="11"/>
    <x v="1"/>
    <s v="Furniture"/>
    <s v="Wooden Chair"/>
    <n v="1"/>
    <n v="9222.68"/>
    <n v="8761.5499999999993"/>
    <n v="5"/>
    <n v="1393.79"/>
    <n v="79.44"/>
    <x v="4"/>
    <x v="1"/>
  </r>
  <r>
    <s v="ORD-10518"/>
    <x v="106"/>
    <s v="Myra Malhotra"/>
    <x v="1"/>
    <x v="3"/>
    <x v="5"/>
    <x v="0"/>
    <s v="Headphones"/>
    <s v="SoundWave Pro"/>
    <n v="4"/>
    <n v="38157.19"/>
    <n v="106840.13"/>
    <n v="30"/>
    <n v="-12847.48"/>
    <n v="317.99"/>
    <x v="3"/>
    <x v="2"/>
  </r>
  <r>
    <s v="ORD-10334"/>
    <x v="106"/>
    <s v="Diya Nair"/>
    <x v="2"/>
    <x v="0"/>
    <x v="4"/>
    <x v="1"/>
    <s v="Appliances"/>
    <s v="Air Fryer"/>
    <n v="1"/>
    <n v="6654.27"/>
    <n v="5656.13"/>
    <n v="15"/>
    <n v="230.69"/>
    <n v="129.62"/>
    <x v="0"/>
    <x v="2"/>
  </r>
  <r>
    <s v="ORD-10353"/>
    <x v="107"/>
    <s v="Aarav Verma"/>
    <x v="0"/>
    <x v="0"/>
    <x v="0"/>
    <x v="0"/>
    <s v="Cameras"/>
    <s v="PixelPro DSLR"/>
    <n v="2"/>
    <n v="35652.76"/>
    <n v="60609.69"/>
    <n v="15"/>
    <n v="1608.82"/>
    <n v="215.55"/>
    <x v="1"/>
    <x v="2"/>
  </r>
  <r>
    <s v="ORD-10193"/>
    <x v="108"/>
    <s v="Aarav Das"/>
    <x v="2"/>
    <x v="0"/>
    <x v="12"/>
    <x v="4"/>
    <s v="Skincare"/>
    <s v="Sunscreen SPF50"/>
    <n v="3"/>
    <n v="1140.0899999999999"/>
    <n v="2394.19"/>
    <n v="30"/>
    <n v="351.43"/>
    <n v="68.67"/>
    <x v="3"/>
    <x v="3"/>
  </r>
  <r>
    <s v="ORD-10279"/>
    <x v="109"/>
    <s v="Kiara Mishra"/>
    <x v="2"/>
    <x v="1"/>
    <x v="13"/>
    <x v="5"/>
    <s v="Men's Wear"/>
    <s v="Cotton Kurta"/>
    <n v="3"/>
    <n v="1524.98"/>
    <n v="4346.1899999999996"/>
    <n v="5"/>
    <n v="996.54"/>
    <n v="309.55"/>
    <x v="1"/>
    <x v="3"/>
  </r>
  <r>
    <s v="ORD-10858"/>
    <x v="110"/>
    <s v="Dhruv Khan"/>
    <x v="0"/>
    <x v="2"/>
    <x v="8"/>
    <x v="4"/>
    <s v="Fragrances"/>
    <s v="Woody Cologne"/>
    <n v="2"/>
    <n v="803.39"/>
    <n v="1526.44"/>
    <n v="5"/>
    <n v="265.81"/>
    <n v="145.18"/>
    <x v="0"/>
    <x v="0"/>
  </r>
  <r>
    <s v="ORD-10389"/>
    <x v="111"/>
    <s v="Sai Iyer"/>
    <x v="2"/>
    <x v="1"/>
    <x v="3"/>
    <x v="5"/>
    <s v="Kids Wear"/>
    <s v="Denim Overalls"/>
    <n v="2"/>
    <n v="930.71"/>
    <n v="1768.35"/>
    <n v="5"/>
    <n v="343.82"/>
    <n v="262.67"/>
    <x v="0"/>
    <x v="2"/>
  </r>
  <r>
    <s v="ORD-10869"/>
    <x v="112"/>
    <s v="Diya Mehta"/>
    <x v="2"/>
    <x v="1"/>
    <x v="3"/>
    <x v="4"/>
    <s v="Haircare"/>
    <s v="Hair Mask Deep Repair"/>
    <n v="2"/>
    <n v="1165.6500000000001"/>
    <n v="2098.17"/>
    <n v="10"/>
    <n v="551.02"/>
    <n v="293.41000000000003"/>
    <x v="4"/>
    <x v="2"/>
  </r>
  <r>
    <s v="ORD-10987"/>
    <x v="113"/>
    <s v="Ishaan Desai"/>
    <x v="2"/>
    <x v="0"/>
    <x v="4"/>
    <x v="3"/>
    <s v="Apparel"/>
    <s v="Sports Jacket"/>
    <n v="3"/>
    <n v="2301.12"/>
    <n v="6558.19"/>
    <n v="5"/>
    <n v="940.62"/>
    <n v="251.78"/>
    <x v="4"/>
    <x v="3"/>
  </r>
  <r>
    <s v="ORD-10443"/>
    <x v="114"/>
    <s v="Meera Gupta"/>
    <x v="0"/>
    <x v="1"/>
    <x v="3"/>
    <x v="0"/>
    <s v="Mobiles"/>
    <s v="Pixel Nano"/>
    <n v="2"/>
    <n v="47136.51"/>
    <n v="89559.37"/>
    <n v="5"/>
    <n v="2583.2600000000002"/>
    <n v="263.8"/>
    <x v="3"/>
    <x v="2"/>
  </r>
  <r>
    <s v="ORD-10776"/>
    <x v="115"/>
    <s v="Aditya Khan"/>
    <x v="2"/>
    <x v="0"/>
    <x v="4"/>
    <x v="1"/>
    <s v="Decor"/>
    <s v="LED Fairy Lights"/>
    <n v="3"/>
    <n v="748.3"/>
    <n v="2132.66"/>
    <n v="5"/>
    <n v="266.22000000000003"/>
    <n v="347.16"/>
    <x v="2"/>
    <x v="0"/>
  </r>
  <r>
    <s v="ORD-10183"/>
    <x v="115"/>
    <s v="Priya Kapoor"/>
    <x v="2"/>
    <x v="0"/>
    <x v="4"/>
    <x v="1"/>
    <s v="Furniture"/>
    <s v="Bookshelf Unit"/>
    <n v="5"/>
    <n v="3279.43"/>
    <n v="14757.44"/>
    <n v="10"/>
    <n v="889.67"/>
    <n v="100.84"/>
    <x v="0"/>
    <x v="3"/>
  </r>
  <r>
    <s v="ORD-10197"/>
    <x v="116"/>
    <s v="Navya Khan"/>
    <x v="0"/>
    <x v="2"/>
    <x v="11"/>
    <x v="5"/>
    <s v="Men's Wear"/>
    <s v="Casual Blazer"/>
    <n v="1"/>
    <n v="1160.93"/>
    <n v="812.65"/>
    <n v="30"/>
    <n v="56.61"/>
    <n v="34.159999999999997"/>
    <x v="0"/>
    <x v="3"/>
  </r>
  <r>
    <s v="ORD-10230"/>
    <x v="117"/>
    <s v="Ananya Agarwal"/>
    <x v="2"/>
    <x v="0"/>
    <x v="12"/>
    <x v="1"/>
    <s v="Furniture"/>
    <s v="Wooden Chair"/>
    <n v="4"/>
    <n v="5092.03"/>
    <n v="17312.900000000001"/>
    <n v="15"/>
    <n v="2782.22"/>
    <n v="258.18"/>
    <x v="1"/>
    <x v="1"/>
  </r>
  <r>
    <s v="ORD-10789"/>
    <x v="118"/>
    <s v="Myra Agarwal"/>
    <x v="0"/>
    <x v="1"/>
    <x v="3"/>
    <x v="3"/>
    <s v="Footwear"/>
    <s v="Sandals"/>
    <n v="2"/>
    <n v="5679.81"/>
    <n v="8519.7199999999993"/>
    <n v="25"/>
    <n v="195.96"/>
    <n v="220.12"/>
    <x v="4"/>
    <x v="3"/>
  </r>
  <r>
    <s v="ORD-10820"/>
    <x v="118"/>
    <s v="Kiara Rao"/>
    <x v="2"/>
    <x v="1"/>
    <x v="13"/>
    <x v="3"/>
    <s v="Gym Equipment"/>
    <s v="Yoga Mat Pro"/>
    <n v="1"/>
    <n v="5002.1000000000004"/>
    <n v="4501.8900000000003"/>
    <n v="10"/>
    <n v="1013.56"/>
    <n v="301.39"/>
    <x v="2"/>
    <x v="3"/>
  </r>
  <r>
    <s v="ORD-10899"/>
    <x v="119"/>
    <s v="Meera Patel"/>
    <x v="2"/>
    <x v="0"/>
    <x v="0"/>
    <x v="5"/>
    <s v="Women's Wear"/>
    <s v="Ethnic Kurti"/>
    <n v="1"/>
    <n v="3867.67"/>
    <n v="3094.14"/>
    <n v="20"/>
    <n v="265.14"/>
    <n v="327.24"/>
    <x v="1"/>
    <x v="3"/>
  </r>
  <r>
    <s v="ORD-10696"/>
    <x v="119"/>
    <s v="Diya Iyer"/>
    <x v="1"/>
    <x v="1"/>
    <x v="3"/>
    <x v="2"/>
    <s v="Non-Fiction"/>
    <s v="Modern Economics"/>
    <n v="1"/>
    <n v="361.15"/>
    <n v="361.15"/>
    <n v="0"/>
    <n v="69.69"/>
    <n v="218.87"/>
    <x v="1"/>
    <x v="2"/>
  </r>
  <r>
    <s v="ORD-10857"/>
    <x v="120"/>
    <s v="Simran Joshi"/>
    <x v="2"/>
    <x v="1"/>
    <x v="1"/>
    <x v="2"/>
    <s v="Academic"/>
    <s v="Calculus Made Easy"/>
    <n v="1"/>
    <n v="180.61"/>
    <n v="162.55000000000001"/>
    <n v="10"/>
    <n v="15.43"/>
    <n v="257.24"/>
    <x v="1"/>
    <x v="0"/>
  </r>
  <r>
    <s v="ORD-10794"/>
    <x v="120"/>
    <s v="Riya Desai"/>
    <x v="1"/>
    <x v="3"/>
    <x v="6"/>
    <x v="0"/>
    <s v="Headphones"/>
    <s v="EchoBuds"/>
    <n v="1"/>
    <n v="49844.12"/>
    <n v="42367.5"/>
    <n v="15"/>
    <n v="-131.97"/>
    <n v="70.319999999999993"/>
    <x v="2"/>
    <x v="2"/>
  </r>
  <r>
    <s v="ORD-10797"/>
    <x v="120"/>
    <s v="Navya Mishra"/>
    <x v="2"/>
    <x v="0"/>
    <x v="4"/>
    <x v="5"/>
    <s v="Kids Wear"/>
    <s v="Cartoon T-Shirt"/>
    <n v="2"/>
    <n v="893.14"/>
    <n v="1607.65"/>
    <n v="10"/>
    <n v="153.41"/>
    <n v="134.16999999999999"/>
    <x v="0"/>
    <x v="3"/>
  </r>
  <r>
    <s v="ORD-10891"/>
    <x v="120"/>
    <s v="Ananya Chopra"/>
    <x v="2"/>
    <x v="1"/>
    <x v="13"/>
    <x v="4"/>
    <s v="Skincare"/>
    <s v="Sunscreen SPF50"/>
    <n v="1"/>
    <n v="1145.74"/>
    <n v="1031.17"/>
    <n v="10"/>
    <n v="132.19"/>
    <n v="210.55"/>
    <x v="3"/>
    <x v="0"/>
  </r>
  <r>
    <s v="ORD-10764"/>
    <x v="121"/>
    <s v="Krishna Malhotra"/>
    <x v="2"/>
    <x v="1"/>
    <x v="1"/>
    <x v="1"/>
    <s v="Cookware"/>
    <s v="Cookware Combo"/>
    <n v="2"/>
    <n v="8227.52"/>
    <n v="13986.78"/>
    <n v="15"/>
    <n v="1759.09"/>
    <n v="261.81"/>
    <x v="0"/>
    <x v="0"/>
  </r>
  <r>
    <s v="ORD-10317"/>
    <x v="122"/>
    <s v="Karan Agarwal"/>
    <x v="2"/>
    <x v="3"/>
    <x v="5"/>
    <x v="0"/>
    <s v="Cameras"/>
    <s v="PixelPro DSLR"/>
    <n v="1"/>
    <n v="54671.76"/>
    <n v="41003.82"/>
    <n v="25"/>
    <n v="-1741.8"/>
    <n v="189.1"/>
    <x v="3"/>
    <x v="3"/>
  </r>
  <r>
    <s v="ORD-10190"/>
    <x v="123"/>
    <s v="Kabir Das"/>
    <x v="2"/>
    <x v="0"/>
    <x v="4"/>
    <x v="2"/>
    <s v="Fiction"/>
    <s v="Beyond the Horizon"/>
    <n v="2"/>
    <n v="711.18"/>
    <n v="1280.1199999999999"/>
    <n v="10"/>
    <n v="122.02"/>
    <n v="198.95"/>
    <x v="3"/>
    <x v="3"/>
  </r>
  <r>
    <s v="ORD-10557"/>
    <x v="123"/>
    <s v="Saanvi Mishra"/>
    <x v="0"/>
    <x v="2"/>
    <x v="8"/>
    <x v="0"/>
    <s v="Headphones"/>
    <s v="StudioMax"/>
    <n v="3"/>
    <n v="7860.98"/>
    <n v="18866.349999999999"/>
    <n v="20"/>
    <n v="1075.01"/>
    <n v="149.71"/>
    <x v="3"/>
    <x v="3"/>
  </r>
  <r>
    <s v="ORD-10838"/>
    <x v="124"/>
    <s v="Ira Desai"/>
    <x v="2"/>
    <x v="2"/>
    <x v="9"/>
    <x v="4"/>
    <s v="Makeup"/>
    <s v="Foundation Stick"/>
    <n v="2"/>
    <n v="354.64"/>
    <n v="567.41999999999996"/>
    <n v="20"/>
    <n v="83.74"/>
    <n v="235.35"/>
    <x v="1"/>
    <x v="2"/>
  </r>
  <r>
    <s v="ORD-10037"/>
    <x v="125"/>
    <s v="Aditya Rao"/>
    <x v="2"/>
    <x v="2"/>
    <x v="8"/>
    <x v="3"/>
    <s v="Outdoor Gear"/>
    <s v="Hiking Backpack"/>
    <n v="2"/>
    <n v="6192.78"/>
    <n v="11766.28"/>
    <n v="5"/>
    <n v="2301.73"/>
    <n v="93.23"/>
    <x v="1"/>
    <x v="3"/>
  </r>
  <r>
    <s v="ORD-10631"/>
    <x v="126"/>
    <s v="Myra Mehta"/>
    <x v="0"/>
    <x v="1"/>
    <x v="13"/>
    <x v="3"/>
    <s v="Apparel"/>
    <s v="Sports Jacket"/>
    <n v="2"/>
    <n v="13448.48"/>
    <n v="25552.11"/>
    <n v="5"/>
    <n v="6146.63"/>
    <n v="197.43"/>
    <x v="1"/>
    <x v="1"/>
  </r>
  <r>
    <s v="ORD-10921"/>
    <x v="127"/>
    <s v="Vihaan Verma"/>
    <x v="0"/>
    <x v="1"/>
    <x v="3"/>
    <x v="1"/>
    <s v="Appliances"/>
    <s v="Mixer Grinder"/>
    <n v="1"/>
    <n v="11576.37"/>
    <n v="10997.55"/>
    <n v="5"/>
    <n v="1619.99"/>
    <n v="217.38"/>
    <x v="2"/>
    <x v="0"/>
  </r>
  <r>
    <s v="ORD-10390"/>
    <x v="127"/>
    <s v="Ira Khan"/>
    <x v="2"/>
    <x v="2"/>
    <x v="9"/>
    <x v="5"/>
    <s v="Women's Wear"/>
    <s v="Floral Dress"/>
    <n v="2"/>
    <n v="656.13"/>
    <n v="1181.03"/>
    <n v="10"/>
    <n v="290.66000000000003"/>
    <n v="274.22000000000003"/>
    <x v="4"/>
    <x v="3"/>
  </r>
  <r>
    <s v="ORD-10388"/>
    <x v="127"/>
    <s v="Rohan Malhotra"/>
    <x v="2"/>
    <x v="2"/>
    <x v="9"/>
    <x v="0"/>
    <s v="Mobiles"/>
    <s v="Nova 5G"/>
    <n v="2"/>
    <n v="15680.35"/>
    <n v="26656.6"/>
    <n v="15"/>
    <n v="1494.57"/>
    <n v="329.61"/>
    <x v="2"/>
    <x v="3"/>
  </r>
  <r>
    <s v="ORD-10556"/>
    <x v="128"/>
    <s v="Kiara Reddy"/>
    <x v="2"/>
    <x v="0"/>
    <x v="0"/>
    <x v="4"/>
    <s v="Haircare"/>
    <s v="Conditioner Pro"/>
    <n v="1"/>
    <n v="1962.07"/>
    <n v="1863.97"/>
    <n v="5"/>
    <n v="410.65"/>
    <n v="300.69"/>
    <x v="1"/>
    <x v="3"/>
  </r>
  <r>
    <s v="ORD-10792"/>
    <x v="128"/>
    <s v="Ananya Reddy"/>
    <x v="0"/>
    <x v="0"/>
    <x v="0"/>
    <x v="3"/>
    <s v="Gym Equipment"/>
    <s v="Yoga Mat Pro"/>
    <n v="1"/>
    <n v="7566.14"/>
    <n v="5296.3"/>
    <n v="30"/>
    <n v="12.7"/>
    <n v="184.62"/>
    <x v="3"/>
    <x v="0"/>
  </r>
  <r>
    <s v="ORD-10810"/>
    <x v="128"/>
    <s v="Aadhya Mishra"/>
    <x v="0"/>
    <x v="1"/>
    <x v="1"/>
    <x v="3"/>
    <s v="Apparel"/>
    <s v="Sports Jacket"/>
    <n v="3"/>
    <n v="7211.04"/>
    <n v="20551.46"/>
    <n v="5"/>
    <n v="1304.44"/>
    <n v="307.54000000000002"/>
    <x v="2"/>
    <x v="3"/>
  </r>
  <r>
    <s v="ORD-10342"/>
    <x v="129"/>
    <s v="Rohan Iyer"/>
    <x v="2"/>
    <x v="2"/>
    <x v="11"/>
    <x v="3"/>
    <s v="Apparel"/>
    <s v="Sports Jacket"/>
    <n v="3"/>
    <n v="12209.61"/>
    <n v="36628.83"/>
    <n v="0"/>
    <n v="5653.76"/>
    <n v="305.33"/>
    <x v="3"/>
    <x v="2"/>
  </r>
  <r>
    <s v="ORD-10864"/>
    <x v="129"/>
    <s v="Reyansh Joshi"/>
    <x v="2"/>
    <x v="1"/>
    <x v="13"/>
    <x v="3"/>
    <s v="Gym Equipment"/>
    <s v="Adjustable Dumbbells"/>
    <n v="1"/>
    <n v="8745.07"/>
    <n v="8745.07"/>
    <n v="0"/>
    <n v="1043.8699999999999"/>
    <n v="134.07"/>
    <x v="1"/>
    <x v="3"/>
  </r>
  <r>
    <s v="ORD-10107"/>
    <x v="130"/>
    <s v="Sai Patel"/>
    <x v="1"/>
    <x v="1"/>
    <x v="13"/>
    <x v="1"/>
    <s v="Appliances"/>
    <s v="Microwave Oven"/>
    <n v="1"/>
    <n v="11061.74"/>
    <n v="10508.65"/>
    <n v="5"/>
    <n v="2019.54"/>
    <n v="54.14"/>
    <x v="3"/>
    <x v="2"/>
  </r>
  <r>
    <s v="ORD-10918"/>
    <x v="131"/>
    <s v="Kiara Mehta"/>
    <x v="2"/>
    <x v="2"/>
    <x v="2"/>
    <x v="1"/>
    <s v="Decor"/>
    <s v="Ceramic Vase"/>
    <n v="1"/>
    <n v="7042.66"/>
    <n v="6690.53"/>
    <n v="5"/>
    <n v="1478.12"/>
    <n v="112.16"/>
    <x v="4"/>
    <x v="3"/>
  </r>
  <r>
    <s v="ORD-10719"/>
    <x v="132"/>
    <s v="Karan Gupta"/>
    <x v="1"/>
    <x v="2"/>
    <x v="11"/>
    <x v="3"/>
    <s v="Footwear"/>
    <s v="Running Shoes"/>
    <n v="1"/>
    <n v="10555.59"/>
    <n v="10555.59"/>
    <n v="0"/>
    <n v="2511"/>
    <n v="170.51"/>
    <x v="3"/>
    <x v="0"/>
  </r>
  <r>
    <s v="ORD-10599"/>
    <x v="132"/>
    <s v="Priya Das"/>
    <x v="2"/>
    <x v="1"/>
    <x v="13"/>
    <x v="2"/>
    <s v="Comics"/>
    <s v="Graphic Tales"/>
    <n v="1"/>
    <n v="934.82"/>
    <n v="934.82"/>
    <n v="0"/>
    <n v="107.74"/>
    <n v="336.49"/>
    <x v="1"/>
    <x v="3"/>
  </r>
  <r>
    <s v="ORD-10910"/>
    <x v="133"/>
    <s v="Krishna Nair"/>
    <x v="0"/>
    <x v="3"/>
    <x v="10"/>
    <x v="4"/>
    <s v="Haircare"/>
    <s v="Hair Growth Serum"/>
    <n v="2"/>
    <n v="471.9"/>
    <n v="943.8"/>
    <n v="0"/>
    <n v="277.81"/>
    <n v="45.01"/>
    <x v="3"/>
    <x v="3"/>
  </r>
  <r>
    <s v="ORD-10477"/>
    <x v="134"/>
    <s v="Reyansh Iyer"/>
    <x v="2"/>
    <x v="1"/>
    <x v="13"/>
    <x v="1"/>
    <s v="Furniture"/>
    <s v="Wooden Chair"/>
    <n v="3"/>
    <n v="3419.33"/>
    <n v="8719.2900000000009"/>
    <n v="15"/>
    <n v="903.62"/>
    <n v="239.34"/>
    <x v="3"/>
    <x v="3"/>
  </r>
  <r>
    <s v="ORD-10671"/>
    <x v="135"/>
    <s v="Priya Sharma"/>
    <x v="1"/>
    <x v="3"/>
    <x v="5"/>
    <x v="3"/>
    <s v="Apparel"/>
    <s v="Sports Jacket"/>
    <n v="1"/>
    <n v="9589.76"/>
    <n v="8630.7800000000007"/>
    <n v="10"/>
    <n v="2016.04"/>
    <n v="76.06"/>
    <x v="3"/>
    <x v="3"/>
  </r>
  <r>
    <s v="ORD-10289"/>
    <x v="135"/>
    <s v="Simran Bose"/>
    <x v="2"/>
    <x v="3"/>
    <x v="7"/>
    <x v="5"/>
    <s v="Men's Wear"/>
    <s v="Casual Blazer"/>
    <n v="3"/>
    <n v="2599.89"/>
    <n v="6629.72"/>
    <n v="15"/>
    <n v="796.24"/>
    <n v="265.94"/>
    <x v="2"/>
    <x v="2"/>
  </r>
  <r>
    <s v="ORD-10045"/>
    <x v="135"/>
    <s v="Rohan Bose"/>
    <x v="0"/>
    <x v="1"/>
    <x v="13"/>
    <x v="0"/>
    <s v="Cameras"/>
    <s v="ActionCam 4K"/>
    <n v="1"/>
    <n v="58435.63"/>
    <n v="49670.29"/>
    <n v="15"/>
    <n v="1118.81"/>
    <n v="235.45"/>
    <x v="2"/>
    <x v="0"/>
  </r>
  <r>
    <s v="ORD-10355"/>
    <x v="136"/>
    <s v="Raj Iyer"/>
    <x v="2"/>
    <x v="2"/>
    <x v="9"/>
    <x v="3"/>
    <s v="Footwear"/>
    <s v="Casual Sneakers"/>
    <n v="1"/>
    <n v="14933.79"/>
    <n v="12693.72"/>
    <n v="15"/>
    <n v="157.96"/>
    <n v="215.75"/>
    <x v="3"/>
    <x v="3"/>
  </r>
  <r>
    <s v="ORD-10793"/>
    <x v="137"/>
    <s v="Raj Nair"/>
    <x v="2"/>
    <x v="1"/>
    <x v="1"/>
    <x v="1"/>
    <s v="Furniture"/>
    <s v="Study Table"/>
    <n v="2"/>
    <n v="8033.76"/>
    <n v="13657.39"/>
    <n v="15"/>
    <n v="1369.34"/>
    <n v="84.43"/>
    <x v="1"/>
    <x v="0"/>
  </r>
  <r>
    <s v="ORD-10416"/>
    <x v="137"/>
    <s v="Myra Iyer"/>
    <x v="2"/>
    <x v="1"/>
    <x v="13"/>
    <x v="4"/>
    <s v="Haircare"/>
    <s v="Hair Growth Serum"/>
    <n v="1"/>
    <n v="2491.5700000000002"/>
    <n v="1868.68"/>
    <n v="25"/>
    <n v="202.05"/>
    <n v="147.86000000000001"/>
    <x v="4"/>
    <x v="0"/>
  </r>
  <r>
    <s v="ORD-10685"/>
    <x v="138"/>
    <s v="Kabir Chopra"/>
    <x v="2"/>
    <x v="3"/>
    <x v="6"/>
    <x v="0"/>
    <s v="Mobiles"/>
    <s v="Galaxy Note Lite"/>
    <n v="2"/>
    <n v="14216.77"/>
    <n v="21325.15"/>
    <n v="25"/>
    <n v="63.42"/>
    <n v="61.01"/>
    <x v="1"/>
    <x v="0"/>
  </r>
  <r>
    <s v="ORD-10515"/>
    <x v="139"/>
    <s v="Simran Das"/>
    <x v="2"/>
    <x v="3"/>
    <x v="5"/>
    <x v="3"/>
    <s v="Footwear"/>
    <s v="Sandals"/>
    <n v="2"/>
    <n v="12187.53"/>
    <n v="24375.06"/>
    <n v="0"/>
    <n v="4662.17"/>
    <n v="306.35000000000002"/>
    <x v="2"/>
    <x v="2"/>
  </r>
  <r>
    <s v="ORD-10383"/>
    <x v="139"/>
    <s v="Vivaan Rao"/>
    <x v="0"/>
    <x v="1"/>
    <x v="3"/>
    <x v="5"/>
    <s v="Women's Wear"/>
    <s v="Silk Saree"/>
    <n v="1"/>
    <n v="1135.2"/>
    <n v="1078.44"/>
    <n v="5"/>
    <n v="130.06"/>
    <n v="236.75"/>
    <x v="0"/>
    <x v="2"/>
  </r>
  <r>
    <s v="ORD-10244"/>
    <x v="140"/>
    <s v="Neha Mishra"/>
    <x v="2"/>
    <x v="3"/>
    <x v="5"/>
    <x v="3"/>
    <s v="Apparel"/>
    <s v="Sports Jacket"/>
    <n v="1"/>
    <n v="13497.44"/>
    <n v="12822.57"/>
    <n v="5"/>
    <n v="1813.92"/>
    <n v="178.28"/>
    <x v="3"/>
    <x v="1"/>
  </r>
  <r>
    <s v="ORD-10545"/>
    <x v="140"/>
    <s v="Karan Iyer"/>
    <x v="1"/>
    <x v="0"/>
    <x v="12"/>
    <x v="1"/>
    <s v="Cookware"/>
    <s v="Steel Kadai"/>
    <n v="3"/>
    <n v="5518.2"/>
    <n v="14899.14"/>
    <n v="10"/>
    <n v="2340.7199999999998"/>
    <n v="175.93"/>
    <x v="1"/>
    <x v="0"/>
  </r>
  <r>
    <s v="ORD-10022"/>
    <x v="141"/>
    <s v="Kabir Desai"/>
    <x v="2"/>
    <x v="1"/>
    <x v="1"/>
    <x v="3"/>
    <s v="Apparel"/>
    <s v="Sports T-Shirt"/>
    <n v="2"/>
    <n v="3807.18"/>
    <n v="5710.77"/>
    <n v="25"/>
    <n v="101.33"/>
    <n v="126.94"/>
    <x v="1"/>
    <x v="0"/>
  </r>
  <r>
    <s v="ORD-10242"/>
    <x v="141"/>
    <s v="Sai Mehta"/>
    <x v="1"/>
    <x v="1"/>
    <x v="3"/>
    <x v="0"/>
    <s v="Mobiles"/>
    <s v="Pixel Nano"/>
    <n v="2"/>
    <n v="3543.5"/>
    <n v="7087"/>
    <n v="0"/>
    <n v="734.91"/>
    <n v="351.33"/>
    <x v="4"/>
    <x v="3"/>
  </r>
  <r>
    <s v="ORD-10575"/>
    <x v="141"/>
    <s v="Kiara Sharma"/>
    <x v="2"/>
    <x v="3"/>
    <x v="5"/>
    <x v="2"/>
    <s v="Academic"/>
    <s v="Statistics Handbook"/>
    <n v="1"/>
    <n v="742.86"/>
    <n v="705.72"/>
    <n v="5"/>
    <n v="54.96"/>
    <n v="111.35"/>
    <x v="2"/>
    <x v="3"/>
  </r>
  <r>
    <s v="ORD-10394"/>
    <x v="142"/>
    <s v="Anika Rao"/>
    <x v="2"/>
    <x v="1"/>
    <x v="3"/>
    <x v="0"/>
    <s v="Headphones"/>
    <s v="SilentPods"/>
    <n v="2"/>
    <n v="58549.87"/>
    <n v="105389.77"/>
    <n v="10"/>
    <n v="8004.11"/>
    <n v="295.39999999999998"/>
    <x v="1"/>
    <x v="2"/>
  </r>
  <r>
    <s v="ORD-10103"/>
    <x v="142"/>
    <s v="Simran Iyer"/>
    <x v="0"/>
    <x v="3"/>
    <x v="7"/>
    <x v="4"/>
    <s v="Fragrances"/>
    <s v="Floral Mist"/>
    <n v="3"/>
    <n v="1514.39"/>
    <n v="3861.69"/>
    <n v="15"/>
    <n v="898.22"/>
    <n v="323.29000000000002"/>
    <x v="3"/>
    <x v="3"/>
  </r>
  <r>
    <s v="ORD-10191"/>
    <x v="143"/>
    <s v="Kabir Iyer"/>
    <x v="2"/>
    <x v="1"/>
    <x v="1"/>
    <x v="5"/>
    <s v="Kids Wear"/>
    <s v="Cartoon T-Shirt"/>
    <n v="1"/>
    <n v="2650.49"/>
    <n v="2650.49"/>
    <n v="0"/>
    <n v="537.69000000000005"/>
    <n v="305.77"/>
    <x v="0"/>
    <x v="0"/>
  </r>
  <r>
    <s v="ORD-10777"/>
    <x v="144"/>
    <s v="Saanvi Reddy"/>
    <x v="1"/>
    <x v="0"/>
    <x v="4"/>
    <x v="3"/>
    <s v="Footwear"/>
    <s v="Sandals"/>
    <n v="4"/>
    <n v="14610.06"/>
    <n v="52596.22"/>
    <n v="10"/>
    <n v="10499.51"/>
    <n v="94.97"/>
    <x v="1"/>
    <x v="3"/>
  </r>
  <r>
    <s v="ORD-10075"/>
    <x v="144"/>
    <s v="Diya Khan"/>
    <x v="0"/>
    <x v="1"/>
    <x v="3"/>
    <x v="1"/>
    <s v="Cookware"/>
    <s v="Cookware Combo"/>
    <n v="3"/>
    <n v="577.53"/>
    <n v="1299.44"/>
    <n v="25"/>
    <n v="39.1"/>
    <n v="232.6"/>
    <x v="1"/>
    <x v="0"/>
  </r>
  <r>
    <s v="ORD-10894"/>
    <x v="145"/>
    <s v="Ira Reddy"/>
    <x v="2"/>
    <x v="1"/>
    <x v="3"/>
    <x v="2"/>
    <s v="Non-Fiction"/>
    <s v="Modern Economics"/>
    <n v="1"/>
    <n v="666.84"/>
    <n v="466.79"/>
    <n v="30"/>
    <n v="42.69"/>
    <n v="92.4"/>
    <x v="3"/>
    <x v="0"/>
  </r>
  <r>
    <s v="ORD-10201"/>
    <x v="146"/>
    <s v="Priya Chopra"/>
    <x v="1"/>
    <x v="0"/>
    <x v="12"/>
    <x v="4"/>
    <s v="Haircare"/>
    <s v="Hair Mask Deep Repair"/>
    <n v="3"/>
    <n v="2180.46"/>
    <n v="6541.38"/>
    <n v="0"/>
    <n v="1715.47"/>
    <n v="241.05"/>
    <x v="3"/>
    <x v="2"/>
  </r>
  <r>
    <s v="ORD-10818"/>
    <x v="147"/>
    <s v="Saanvi Gupta"/>
    <x v="1"/>
    <x v="2"/>
    <x v="8"/>
    <x v="4"/>
    <s v="Skincare"/>
    <s v="Aloe Moisturizer"/>
    <n v="4"/>
    <n v="1162.74"/>
    <n v="3255.67"/>
    <n v="30"/>
    <n v="192.34"/>
    <n v="168.61"/>
    <x v="3"/>
    <x v="1"/>
  </r>
  <r>
    <s v="ORD-10475"/>
    <x v="147"/>
    <s v="Ishaan Mehta"/>
    <x v="2"/>
    <x v="0"/>
    <x v="12"/>
    <x v="3"/>
    <s v="Apparel"/>
    <s v="Sports T-Shirt"/>
    <n v="4"/>
    <n v="11530.23"/>
    <n v="41508.83"/>
    <n v="10"/>
    <n v="8837.14"/>
    <n v="364.15"/>
    <x v="4"/>
    <x v="0"/>
  </r>
  <r>
    <s v="ORD-10882"/>
    <x v="148"/>
    <s v="Arjun Sharma"/>
    <x v="2"/>
    <x v="2"/>
    <x v="8"/>
    <x v="4"/>
    <s v="Fragrances"/>
    <s v="Citrus Eau de Toilette"/>
    <n v="4"/>
    <n v="1795.75"/>
    <n v="6464.7"/>
    <n v="10"/>
    <n v="1301.08"/>
    <n v="251.88"/>
    <x v="1"/>
    <x v="2"/>
  </r>
  <r>
    <s v="ORD-10544"/>
    <x v="148"/>
    <s v="Sai Joshi"/>
    <x v="2"/>
    <x v="3"/>
    <x v="7"/>
    <x v="1"/>
    <s v="Decor"/>
    <s v="LED Fairy Lights"/>
    <n v="1"/>
    <n v="3715.09"/>
    <n v="3529.34"/>
    <n v="5"/>
    <n v="819.08"/>
    <n v="95.03"/>
    <x v="3"/>
    <x v="0"/>
  </r>
  <r>
    <s v="ORD-10168"/>
    <x v="148"/>
    <s v="Navya Desai"/>
    <x v="2"/>
    <x v="1"/>
    <x v="1"/>
    <x v="2"/>
    <s v="Fiction"/>
    <s v="The Silent Valley"/>
    <n v="1"/>
    <n v="629.85"/>
    <n v="535.37"/>
    <n v="15"/>
    <n v="39.1"/>
    <n v="223.27"/>
    <x v="3"/>
    <x v="0"/>
  </r>
  <r>
    <s v="ORD-10303"/>
    <x v="149"/>
    <s v="Myra Chopra"/>
    <x v="2"/>
    <x v="3"/>
    <x v="7"/>
    <x v="0"/>
    <s v="Laptops"/>
    <s v="WorkStation Pro"/>
    <n v="2"/>
    <n v="1776.14"/>
    <n v="3552.28"/>
    <n v="0"/>
    <n v="660.15"/>
    <n v="171.93"/>
    <x v="0"/>
    <x v="0"/>
  </r>
  <r>
    <s v="ORD-10159"/>
    <x v="149"/>
    <s v="Navya Mishra"/>
    <x v="1"/>
    <x v="2"/>
    <x v="8"/>
    <x v="1"/>
    <s v="Decor"/>
    <s v="Wall Art Frame"/>
    <n v="4"/>
    <n v="2738.88"/>
    <n v="9859.9699999999993"/>
    <n v="10"/>
    <n v="1026.19"/>
    <n v="335.66"/>
    <x v="0"/>
    <x v="3"/>
  </r>
  <r>
    <s v="ORD-10752"/>
    <x v="150"/>
    <s v="Dhruv Agarwal"/>
    <x v="1"/>
    <x v="2"/>
    <x v="11"/>
    <x v="0"/>
    <s v="Accessories"/>
    <s v="Screen Guard"/>
    <n v="3"/>
    <n v="7218.09"/>
    <n v="18406.13"/>
    <n v="15"/>
    <n v="-84.91"/>
    <n v="299.36"/>
    <x v="3"/>
    <x v="3"/>
  </r>
  <r>
    <s v="ORD-10097"/>
    <x v="150"/>
    <s v="Ira Iyer"/>
    <x v="0"/>
    <x v="3"/>
    <x v="6"/>
    <x v="1"/>
    <s v="Furniture"/>
    <s v="Study Table"/>
    <n v="2"/>
    <n v="1375.64"/>
    <n v="2751.28"/>
    <n v="0"/>
    <n v="435.62"/>
    <n v="308"/>
    <x v="4"/>
    <x v="3"/>
  </r>
  <r>
    <s v="ORD-10860"/>
    <x v="150"/>
    <s v="Ananya Reddy"/>
    <x v="1"/>
    <x v="0"/>
    <x v="0"/>
    <x v="5"/>
    <s v="Men's Wear"/>
    <s v="Casual Blazer"/>
    <n v="4"/>
    <n v="2531.4299999999998"/>
    <n v="9113.15"/>
    <n v="10"/>
    <n v="1773.75"/>
    <n v="291.77999999999997"/>
    <x v="1"/>
    <x v="0"/>
  </r>
  <r>
    <s v="ORD-10815"/>
    <x v="151"/>
    <s v="Ira Singh"/>
    <x v="2"/>
    <x v="0"/>
    <x v="4"/>
    <x v="3"/>
    <s v="Apparel"/>
    <s v="Sports T-Shirt"/>
    <n v="1"/>
    <n v="3277.67"/>
    <n v="3113.79"/>
    <n v="5"/>
    <n v="544.78"/>
    <n v="238.49"/>
    <x v="3"/>
    <x v="0"/>
  </r>
  <r>
    <s v="ORD-10974"/>
    <x v="152"/>
    <s v="Navya Verma"/>
    <x v="0"/>
    <x v="3"/>
    <x v="7"/>
    <x v="0"/>
    <s v="Accessories"/>
    <s v="FastCharge Cable"/>
    <n v="1"/>
    <n v="41439.769999999997"/>
    <n v="41439.769999999997"/>
    <n v="0"/>
    <n v="3422.32"/>
    <n v="266.7"/>
    <x v="2"/>
    <x v="0"/>
  </r>
  <r>
    <s v="ORD-10868"/>
    <x v="152"/>
    <s v="Aditya Das"/>
    <x v="2"/>
    <x v="0"/>
    <x v="12"/>
    <x v="3"/>
    <s v="Footwear"/>
    <s v="Casual Sneakers"/>
    <n v="1"/>
    <n v="3252.1"/>
    <n v="2764.28"/>
    <n v="15"/>
    <n v="454.41"/>
    <n v="51.02"/>
    <x v="3"/>
    <x v="2"/>
  </r>
  <r>
    <s v="ORD-10108"/>
    <x v="152"/>
    <s v="Kiara Joshi"/>
    <x v="2"/>
    <x v="3"/>
    <x v="7"/>
    <x v="0"/>
    <s v="Laptops"/>
    <s v="GameForce X"/>
    <n v="1"/>
    <n v="15032.42"/>
    <n v="11274.32"/>
    <n v="25"/>
    <n v="-1164.82"/>
    <n v="124.24"/>
    <x v="1"/>
    <x v="3"/>
  </r>
  <r>
    <s v="ORD-10576"/>
    <x v="153"/>
    <s v="Diya Verma"/>
    <x v="2"/>
    <x v="0"/>
    <x v="0"/>
    <x v="5"/>
    <s v="Women's Wear"/>
    <s v="Ethnic Kurti"/>
    <n v="4"/>
    <n v="3098.82"/>
    <n v="10535.99"/>
    <n v="15"/>
    <n v="1585.92"/>
    <n v="384.14"/>
    <x v="1"/>
    <x v="0"/>
  </r>
  <r>
    <s v="ORD-10758"/>
    <x v="153"/>
    <s v="Riya Bose"/>
    <x v="2"/>
    <x v="1"/>
    <x v="13"/>
    <x v="3"/>
    <s v="Outdoor Gear"/>
    <s v="Hiking Backpack"/>
    <n v="1"/>
    <n v="428.32"/>
    <n v="428.32"/>
    <n v="0"/>
    <n v="109.51"/>
    <n v="330.29"/>
    <x v="3"/>
    <x v="2"/>
  </r>
  <r>
    <s v="ORD-10205"/>
    <x v="153"/>
    <s v="Ananya Malhotra"/>
    <x v="1"/>
    <x v="1"/>
    <x v="3"/>
    <x v="3"/>
    <s v="Gym Equipment"/>
    <s v="Adjustable Dumbbells"/>
    <n v="1"/>
    <n v="6527.96"/>
    <n v="5548.77"/>
    <n v="15"/>
    <n v="916.39"/>
    <n v="293.23"/>
    <x v="4"/>
    <x v="0"/>
  </r>
  <r>
    <s v="ORD-10837"/>
    <x v="154"/>
    <s v="Raj Singh"/>
    <x v="2"/>
    <x v="1"/>
    <x v="13"/>
    <x v="0"/>
    <s v="Headphones"/>
    <s v="EchoBuds"/>
    <n v="3"/>
    <n v="6027.18"/>
    <n v="17177.46"/>
    <n v="5"/>
    <n v="574.12"/>
    <n v="247.23"/>
    <x v="0"/>
    <x v="3"/>
  </r>
  <r>
    <s v="ORD-10870"/>
    <x v="154"/>
    <s v="Vivaan Reddy"/>
    <x v="2"/>
    <x v="2"/>
    <x v="2"/>
    <x v="5"/>
    <s v="Footwear"/>
    <s v="Casual Sneakers"/>
    <n v="2"/>
    <n v="2674.76"/>
    <n v="4814.57"/>
    <n v="10"/>
    <n v="768.8"/>
    <n v="186.52"/>
    <x v="3"/>
    <x v="0"/>
  </r>
  <r>
    <s v="ORD-10775"/>
    <x v="155"/>
    <s v="Vivaan Patel"/>
    <x v="2"/>
    <x v="0"/>
    <x v="4"/>
    <x v="1"/>
    <s v="Cookware"/>
    <s v="Cookware Combo"/>
    <n v="2"/>
    <n v="8328.06"/>
    <n v="16656.12"/>
    <n v="0"/>
    <n v="4008.15"/>
    <n v="328.07"/>
    <x v="0"/>
    <x v="3"/>
  </r>
  <r>
    <s v="ORD-10991"/>
    <x v="156"/>
    <s v="Pooja Bose"/>
    <x v="2"/>
    <x v="2"/>
    <x v="11"/>
    <x v="1"/>
    <s v="Appliances"/>
    <s v="Mixer Grinder"/>
    <n v="1"/>
    <n v="4595.1099999999997"/>
    <n v="4135.6000000000004"/>
    <n v="10"/>
    <n v="421.26"/>
    <n v="235.47"/>
    <x v="3"/>
    <x v="0"/>
  </r>
  <r>
    <s v="ORD-10283"/>
    <x v="157"/>
    <s v="Dhruv Chopra"/>
    <x v="2"/>
    <x v="3"/>
    <x v="10"/>
    <x v="5"/>
    <s v="Footwear"/>
    <s v="Formal Loafers"/>
    <n v="1"/>
    <n v="1671.14"/>
    <n v="1253.3599999999999"/>
    <n v="25"/>
    <n v="32.82"/>
    <n v="142.19999999999999"/>
    <x v="4"/>
    <x v="3"/>
  </r>
  <r>
    <s v="ORD-10387"/>
    <x v="157"/>
    <s v="Aadhya Chopra"/>
    <x v="2"/>
    <x v="3"/>
    <x v="6"/>
    <x v="4"/>
    <s v="Haircare"/>
    <s v="Hair Mask Deep Repair"/>
    <n v="1"/>
    <n v="288.38"/>
    <n v="259.54000000000002"/>
    <n v="10"/>
    <n v="55.95"/>
    <n v="233.9"/>
    <x v="3"/>
    <x v="0"/>
  </r>
  <r>
    <s v="ORD-10934"/>
    <x v="158"/>
    <s v="Raj Chopra"/>
    <x v="2"/>
    <x v="3"/>
    <x v="10"/>
    <x v="2"/>
    <s v="Fiction"/>
    <s v="Beyond the Horizon"/>
    <n v="3"/>
    <n v="830.65"/>
    <n v="2491.9499999999998"/>
    <n v="0"/>
    <n v="370.01"/>
    <n v="79.66"/>
    <x v="1"/>
    <x v="3"/>
  </r>
  <r>
    <s v="ORD-10799"/>
    <x v="159"/>
    <s v="Ira Agarwal"/>
    <x v="1"/>
    <x v="3"/>
    <x v="5"/>
    <x v="1"/>
    <s v="Cookware"/>
    <s v="Cookware Combo"/>
    <n v="4"/>
    <n v="7026.62"/>
    <n v="25295.83"/>
    <n v="10"/>
    <n v="2592.8000000000002"/>
    <n v="330.27"/>
    <x v="1"/>
    <x v="2"/>
  </r>
  <r>
    <s v="ORD-10999"/>
    <x v="159"/>
    <s v="Aadhya Chopra"/>
    <x v="2"/>
    <x v="2"/>
    <x v="8"/>
    <x v="4"/>
    <s v="Haircare"/>
    <s v="Hair Growth Serum"/>
    <n v="3"/>
    <n v="1723.91"/>
    <n v="5171.7299999999996"/>
    <n v="0"/>
    <n v="1494.06"/>
    <n v="321.14999999999998"/>
    <x v="2"/>
    <x v="0"/>
  </r>
  <r>
    <s v="ORD-10623"/>
    <x v="159"/>
    <s v="Arjun Malhotra"/>
    <x v="2"/>
    <x v="1"/>
    <x v="3"/>
    <x v="4"/>
    <s v="Skincare"/>
    <s v="Vitamin C Serum"/>
    <n v="1"/>
    <n v="2314.92"/>
    <n v="2199.17"/>
    <n v="5"/>
    <n v="478.39"/>
    <n v="155.59"/>
    <x v="3"/>
    <x v="0"/>
  </r>
  <r>
    <s v="ORD-10297"/>
    <x v="160"/>
    <s v="Simran Reddy"/>
    <x v="2"/>
    <x v="3"/>
    <x v="6"/>
    <x v="3"/>
    <s v="Outdoor Gear"/>
    <s v="Trekking Pole"/>
    <n v="3"/>
    <n v="10975.02"/>
    <n v="26340.05"/>
    <n v="20"/>
    <n v="3527.83"/>
    <n v="348.22"/>
    <x v="3"/>
    <x v="3"/>
  </r>
  <r>
    <s v="ORD-10826"/>
    <x v="160"/>
    <s v="Ananya Kapoor"/>
    <x v="2"/>
    <x v="0"/>
    <x v="4"/>
    <x v="4"/>
    <s v="Fragrances"/>
    <s v="Floral Mist"/>
    <n v="1"/>
    <n v="211.56"/>
    <n v="211.56"/>
    <n v="0"/>
    <n v="64.37"/>
    <n v="49.23"/>
    <x v="4"/>
    <x v="2"/>
  </r>
  <r>
    <s v="ORD-10232"/>
    <x v="161"/>
    <s v="Simran Das"/>
    <x v="2"/>
    <x v="0"/>
    <x v="0"/>
    <x v="4"/>
    <s v="Haircare"/>
    <s v="Hair Growth Serum"/>
    <n v="1"/>
    <n v="2211.81"/>
    <n v="2211.81"/>
    <n v="0"/>
    <n v="597.6"/>
    <n v="199.26"/>
    <x v="1"/>
    <x v="3"/>
  </r>
  <r>
    <s v="ORD-10722"/>
    <x v="161"/>
    <s v="Sai Gupta"/>
    <x v="2"/>
    <x v="3"/>
    <x v="10"/>
    <x v="1"/>
    <s v="Furniture"/>
    <s v="Sofa Set"/>
    <n v="1"/>
    <n v="5901.36"/>
    <n v="5901.36"/>
    <n v="0"/>
    <n v="1455.97"/>
    <n v="209.42"/>
    <x v="1"/>
    <x v="2"/>
  </r>
  <r>
    <s v="ORD-10801"/>
    <x v="162"/>
    <s v="Vivaan Kapoor"/>
    <x v="0"/>
    <x v="1"/>
    <x v="1"/>
    <x v="3"/>
    <s v="Gym Equipment"/>
    <s v="Treadmill Compact"/>
    <n v="2"/>
    <n v="5296.56"/>
    <n v="10063.459999999999"/>
    <n v="5"/>
    <n v="1778.92"/>
    <n v="212.02"/>
    <x v="0"/>
    <x v="0"/>
  </r>
  <r>
    <s v="ORD-10115"/>
    <x v="163"/>
    <s v="Priya Patel"/>
    <x v="1"/>
    <x v="1"/>
    <x v="3"/>
    <x v="1"/>
    <s v="Furniture"/>
    <s v="Wooden Chair"/>
    <n v="1"/>
    <n v="7141.49"/>
    <n v="6784.42"/>
    <n v="5"/>
    <n v="1065.8499999999999"/>
    <n v="82.75"/>
    <x v="0"/>
    <x v="2"/>
  </r>
  <r>
    <s v="ORD-10077"/>
    <x v="164"/>
    <s v="Kabir Desai"/>
    <x v="2"/>
    <x v="2"/>
    <x v="11"/>
    <x v="2"/>
    <s v="Comics"/>
    <s v="Graphic Tales"/>
    <n v="3"/>
    <n v="177.84"/>
    <n v="533.52"/>
    <n v="0"/>
    <n v="97.29"/>
    <n v="244.15"/>
    <x v="0"/>
    <x v="0"/>
  </r>
  <r>
    <s v="ORD-10873"/>
    <x v="164"/>
    <s v="Anika Nair"/>
    <x v="1"/>
    <x v="0"/>
    <x v="0"/>
    <x v="2"/>
    <s v="Fiction"/>
    <s v="Mystery of Ashgrove"/>
    <n v="4"/>
    <n v="1122.79"/>
    <n v="3143.81"/>
    <n v="30"/>
    <n v="-187.67"/>
    <n v="87.61"/>
    <x v="2"/>
    <x v="0"/>
  </r>
  <r>
    <s v="ORD-10951"/>
    <x v="165"/>
    <s v="Aarav Reddy"/>
    <x v="2"/>
    <x v="1"/>
    <x v="3"/>
    <x v="3"/>
    <s v="Apparel"/>
    <s v="Compression Shorts"/>
    <n v="2"/>
    <n v="3123.01"/>
    <n v="5309.12"/>
    <n v="15"/>
    <n v="1013.61"/>
    <n v="334.77"/>
    <x v="3"/>
    <x v="0"/>
  </r>
  <r>
    <s v="ORD-10567"/>
    <x v="166"/>
    <s v="Simran Reddy"/>
    <x v="2"/>
    <x v="2"/>
    <x v="8"/>
    <x v="1"/>
    <s v="Decor"/>
    <s v="Table Lamp"/>
    <n v="1"/>
    <n v="2057.36"/>
    <n v="1851.62"/>
    <n v="10"/>
    <n v="153.80000000000001"/>
    <n v="188.94"/>
    <x v="1"/>
    <x v="3"/>
  </r>
  <r>
    <s v="ORD-10155"/>
    <x v="167"/>
    <s v="Rohan Malhotra"/>
    <x v="2"/>
    <x v="1"/>
    <x v="13"/>
    <x v="0"/>
    <s v="Accessories"/>
    <s v="PowerBank 20K"/>
    <n v="5"/>
    <n v="5243.32"/>
    <n v="24905.77"/>
    <n v="5"/>
    <n v="993.78"/>
    <n v="308.08"/>
    <x v="1"/>
    <x v="1"/>
  </r>
  <r>
    <s v="ORD-10650"/>
    <x v="168"/>
    <s v="Simran Singh"/>
    <x v="2"/>
    <x v="3"/>
    <x v="10"/>
    <x v="1"/>
    <s v="Furniture"/>
    <s v="Sofa Set"/>
    <n v="2"/>
    <n v="8115.7"/>
    <n v="14608.26"/>
    <n v="10"/>
    <n v="2147.4299999999998"/>
    <n v="95.34"/>
    <x v="1"/>
    <x v="3"/>
  </r>
  <r>
    <s v="ORD-10875"/>
    <x v="168"/>
    <s v="Aditya Singh"/>
    <x v="2"/>
    <x v="3"/>
    <x v="6"/>
    <x v="5"/>
    <s v="Women's Wear"/>
    <s v="Ethnic Kurti"/>
    <n v="2"/>
    <n v="3582.79"/>
    <n v="6090.74"/>
    <n v="15"/>
    <n v="457.09"/>
    <n v="268.27"/>
    <x v="1"/>
    <x v="0"/>
  </r>
  <r>
    <s v="ORD-10251"/>
    <x v="168"/>
    <s v="Raj Das"/>
    <x v="0"/>
    <x v="3"/>
    <x v="6"/>
    <x v="2"/>
    <s v="Non-Fiction"/>
    <s v="Modern Economics"/>
    <n v="3"/>
    <n v="697.32"/>
    <n v="1673.57"/>
    <n v="20"/>
    <n v="18.55"/>
    <n v="110.35"/>
    <x v="3"/>
    <x v="0"/>
  </r>
  <r>
    <s v="ORD-10528"/>
    <x v="168"/>
    <s v="Rohan Iyer"/>
    <x v="2"/>
    <x v="2"/>
    <x v="11"/>
    <x v="2"/>
    <s v="Comics"/>
    <s v="Graphic Tales"/>
    <n v="2"/>
    <n v="944.02"/>
    <n v="1793.64"/>
    <n v="5"/>
    <n v="182.05"/>
    <n v="191.73"/>
    <x v="4"/>
    <x v="0"/>
  </r>
  <r>
    <s v="ORD-10336"/>
    <x v="169"/>
    <s v="Ishaan Khan"/>
    <x v="0"/>
    <x v="1"/>
    <x v="13"/>
    <x v="5"/>
    <s v="Kids Wear"/>
    <s v="School Uniform Set"/>
    <n v="2"/>
    <n v="3160.69"/>
    <n v="6005.31"/>
    <n v="5"/>
    <n v="1121.07"/>
    <n v="103.06"/>
    <x v="3"/>
    <x v="0"/>
  </r>
  <r>
    <s v="ORD-10813"/>
    <x v="170"/>
    <s v="Kiara Nair"/>
    <x v="2"/>
    <x v="3"/>
    <x v="7"/>
    <x v="4"/>
    <s v="Makeup"/>
    <s v="Matte Lipstick"/>
    <n v="3"/>
    <n v="972.82"/>
    <n v="2772.54"/>
    <n v="5"/>
    <n v="905.5"/>
    <n v="352.79"/>
    <x v="3"/>
    <x v="0"/>
  </r>
  <r>
    <s v="ORD-10627"/>
    <x v="171"/>
    <s v="Ishaan Mehta"/>
    <x v="0"/>
    <x v="2"/>
    <x v="11"/>
    <x v="2"/>
    <s v="Non-Fiction"/>
    <s v="The Growth Mindset"/>
    <n v="5"/>
    <n v="1031.81"/>
    <n v="5159.05"/>
    <n v="0"/>
    <n v="566.47"/>
    <n v="396.02"/>
    <x v="2"/>
    <x v="3"/>
  </r>
  <r>
    <s v="ORD-10786"/>
    <x v="171"/>
    <s v="Kiara Reddy"/>
    <x v="0"/>
    <x v="1"/>
    <x v="13"/>
    <x v="5"/>
    <s v="Men's Wear"/>
    <s v="Casual Blazer"/>
    <n v="1"/>
    <n v="2423.14"/>
    <n v="2301.98"/>
    <n v="5"/>
    <n v="479.31"/>
    <n v="76.11"/>
    <x v="3"/>
    <x v="2"/>
  </r>
  <r>
    <s v="ORD-10945"/>
    <x v="172"/>
    <s v="Arjun Malhotra"/>
    <x v="2"/>
    <x v="1"/>
    <x v="3"/>
    <x v="0"/>
    <s v="Accessories"/>
    <s v="Screen Guard"/>
    <n v="1"/>
    <n v="54068.06"/>
    <n v="37847.64"/>
    <n v="30"/>
    <n v="-4365.21"/>
    <n v="331.08"/>
    <x v="1"/>
    <x v="2"/>
  </r>
  <r>
    <s v="ORD-10033"/>
    <x v="172"/>
    <s v="Priya Patel"/>
    <x v="2"/>
    <x v="0"/>
    <x v="4"/>
    <x v="5"/>
    <s v="Kids Wear"/>
    <s v="Denim Overalls"/>
    <n v="1"/>
    <n v="1357.49"/>
    <n v="950.24"/>
    <n v="30"/>
    <n v="-53.16"/>
    <n v="121.15"/>
    <x v="3"/>
    <x v="2"/>
  </r>
  <r>
    <s v="ORD-10779"/>
    <x v="172"/>
    <s v="Anika Malhotra"/>
    <x v="2"/>
    <x v="1"/>
    <x v="3"/>
    <x v="5"/>
    <s v="Footwear"/>
    <s v="Casual Sneakers"/>
    <n v="1"/>
    <n v="3731.29"/>
    <n v="3544.73"/>
    <n v="5"/>
    <n v="637.01"/>
    <n v="52.73"/>
    <x v="0"/>
    <x v="0"/>
  </r>
  <r>
    <s v="ORD-10013"/>
    <x v="173"/>
    <s v="Riya Desai"/>
    <x v="2"/>
    <x v="2"/>
    <x v="11"/>
    <x v="0"/>
    <s v="Headphones"/>
    <s v="BassBoost 300"/>
    <n v="1"/>
    <n v="47599.95"/>
    <n v="47599.95"/>
    <n v="0"/>
    <n v="6535.14"/>
    <n v="196.67"/>
    <x v="3"/>
    <x v="0"/>
  </r>
  <r>
    <s v="ORD-10634"/>
    <x v="174"/>
    <s v="Karan Rao"/>
    <x v="2"/>
    <x v="3"/>
    <x v="10"/>
    <x v="2"/>
    <s v="Fiction"/>
    <s v="Mystery of Ashgrove"/>
    <n v="1"/>
    <n v="1073.47"/>
    <n v="912.45"/>
    <n v="15"/>
    <n v="58.69"/>
    <n v="177.2"/>
    <x v="3"/>
    <x v="3"/>
  </r>
  <r>
    <s v="ORD-10804"/>
    <x v="175"/>
    <s v="Aditya Khan"/>
    <x v="1"/>
    <x v="1"/>
    <x v="13"/>
    <x v="3"/>
    <s v="Gym Equipment"/>
    <s v="Adjustable Dumbbells"/>
    <n v="1"/>
    <n v="4656.3500000000004"/>
    <n v="3957.9"/>
    <n v="15"/>
    <n v="261.94"/>
    <n v="105.87"/>
    <x v="4"/>
    <x v="2"/>
  </r>
  <r>
    <s v="ORD-10616"/>
    <x v="175"/>
    <s v="Kiara Malhotra"/>
    <x v="2"/>
    <x v="3"/>
    <x v="5"/>
    <x v="3"/>
    <s v="Apparel"/>
    <s v="Track Pants"/>
    <n v="2"/>
    <n v="14415.99"/>
    <n v="23065.58"/>
    <n v="20"/>
    <n v="2721.03"/>
    <n v="211.87"/>
    <x v="3"/>
    <x v="3"/>
  </r>
  <r>
    <s v="ORD-10140"/>
    <x v="176"/>
    <s v="Ishaan Mehta"/>
    <x v="0"/>
    <x v="2"/>
    <x v="2"/>
    <x v="4"/>
    <s v="Makeup"/>
    <s v="Foundation Stick"/>
    <n v="2"/>
    <n v="1229.05"/>
    <n v="2212.29"/>
    <n v="10"/>
    <n v="377.42"/>
    <n v="215.44"/>
    <x v="3"/>
    <x v="3"/>
  </r>
  <r>
    <s v="ORD-10584"/>
    <x v="176"/>
    <s v="Vivaan Mehta"/>
    <x v="1"/>
    <x v="1"/>
    <x v="3"/>
    <x v="0"/>
    <s v="Mobiles"/>
    <s v="OnePlus Edge"/>
    <n v="1"/>
    <n v="48226.76"/>
    <n v="43404.08"/>
    <n v="10"/>
    <n v="3511.15"/>
    <n v="341.87"/>
    <x v="0"/>
    <x v="2"/>
  </r>
  <r>
    <s v="ORD-10996"/>
    <x v="176"/>
    <s v="Kiara Kapoor"/>
    <x v="2"/>
    <x v="1"/>
    <x v="13"/>
    <x v="2"/>
    <s v="Comics"/>
    <s v="Comic Universe"/>
    <n v="1"/>
    <n v="447.45"/>
    <n v="380.33"/>
    <n v="15"/>
    <n v="37.07"/>
    <n v="158.1"/>
    <x v="1"/>
    <x v="3"/>
  </r>
  <r>
    <s v="ORD-10780"/>
    <x v="177"/>
    <s v="Ira Desai"/>
    <x v="1"/>
    <x v="2"/>
    <x v="2"/>
    <x v="5"/>
    <s v="Kids Wear"/>
    <s v="Denim Overalls"/>
    <n v="3"/>
    <n v="531.92999999999995"/>
    <n v="1595.79"/>
    <n v="0"/>
    <n v="291.5"/>
    <n v="361.56"/>
    <x v="4"/>
    <x v="0"/>
  </r>
  <r>
    <s v="ORD-10306"/>
    <x v="177"/>
    <s v="Karan Sharma"/>
    <x v="1"/>
    <x v="2"/>
    <x v="11"/>
    <x v="1"/>
    <s v="Cookware"/>
    <s v="Non-Stick Pan Set"/>
    <n v="2"/>
    <n v="7219.46"/>
    <n v="11551.14"/>
    <n v="20"/>
    <n v="839.87"/>
    <n v="348.55"/>
    <x v="3"/>
    <x v="2"/>
  </r>
  <r>
    <s v="ORD-10778"/>
    <x v="177"/>
    <s v="Navya Patel"/>
    <x v="2"/>
    <x v="2"/>
    <x v="11"/>
    <x v="1"/>
    <s v="Furniture"/>
    <s v="Bookshelf Unit"/>
    <n v="1"/>
    <n v="4431.08"/>
    <n v="3987.97"/>
    <n v="10"/>
    <n v="454.61"/>
    <n v="169.33"/>
    <x v="3"/>
    <x v="3"/>
  </r>
  <r>
    <s v="ORD-10803"/>
    <x v="177"/>
    <s v="Arjun Bose"/>
    <x v="2"/>
    <x v="3"/>
    <x v="6"/>
    <x v="0"/>
    <s v="Mobiles"/>
    <s v="Galaxy Note Lite"/>
    <n v="1"/>
    <n v="25222.63"/>
    <n v="23961.5"/>
    <n v="5"/>
    <n v="757.88"/>
    <n v="207.39"/>
    <x v="3"/>
    <x v="0"/>
  </r>
  <r>
    <s v="ORD-10469"/>
    <x v="178"/>
    <s v="Diya Mehta"/>
    <x v="1"/>
    <x v="1"/>
    <x v="13"/>
    <x v="0"/>
    <s v="Headphones"/>
    <s v="SilentPods"/>
    <n v="3"/>
    <n v="8405.7800000000007"/>
    <n v="25217.34"/>
    <n v="0"/>
    <n v="2828.92"/>
    <n v="194.44"/>
    <x v="3"/>
    <x v="3"/>
  </r>
  <r>
    <s v="ORD-10049"/>
    <x v="178"/>
    <s v="Dhruv Bose"/>
    <x v="2"/>
    <x v="1"/>
    <x v="1"/>
    <x v="4"/>
    <s v="Makeup"/>
    <s v="Eyeliner Pro"/>
    <n v="1"/>
    <n v="611.29"/>
    <n v="611.29"/>
    <n v="0"/>
    <n v="212.21"/>
    <n v="260.7"/>
    <x v="1"/>
    <x v="0"/>
  </r>
  <r>
    <s v="ORD-10052"/>
    <x v="178"/>
    <s v="Sai Verma"/>
    <x v="2"/>
    <x v="0"/>
    <x v="12"/>
    <x v="2"/>
    <s v="Comics"/>
    <s v="Graphic Tales"/>
    <n v="3"/>
    <n v="677.77"/>
    <n v="2033.31"/>
    <n v="0"/>
    <n v="280.64"/>
    <n v="244.61"/>
    <x v="1"/>
    <x v="3"/>
  </r>
  <r>
    <s v="ORD-10085"/>
    <x v="178"/>
    <s v="Ananya Bose"/>
    <x v="2"/>
    <x v="2"/>
    <x v="8"/>
    <x v="2"/>
    <s v="Non-Fiction"/>
    <s v="Modern Economics"/>
    <n v="2"/>
    <n v="1165.96"/>
    <n v="2215.3200000000002"/>
    <n v="5"/>
    <n v="20.3"/>
    <n v="226.93"/>
    <x v="0"/>
    <x v="0"/>
  </r>
  <r>
    <s v="ORD-10532"/>
    <x v="179"/>
    <s v="Anika Rao"/>
    <x v="2"/>
    <x v="3"/>
    <x v="5"/>
    <x v="0"/>
    <s v="Accessories"/>
    <s v="FastCharge Cable"/>
    <n v="2"/>
    <n v="35741.81"/>
    <n v="60761.08"/>
    <n v="15"/>
    <n v="1609.68"/>
    <n v="94.33"/>
    <x v="4"/>
    <x v="3"/>
  </r>
  <r>
    <s v="ORD-10843"/>
    <x v="179"/>
    <s v="Ayaan Rao"/>
    <x v="0"/>
    <x v="1"/>
    <x v="13"/>
    <x v="1"/>
    <s v="Appliances"/>
    <s v="Mixer Grinder"/>
    <n v="2"/>
    <n v="3027.65"/>
    <n v="4541.4799999999996"/>
    <n v="25"/>
    <n v="-185.39"/>
    <n v="229.84"/>
    <x v="3"/>
    <x v="0"/>
  </r>
  <r>
    <s v="ORD-10407"/>
    <x v="179"/>
    <s v="Sai Agarwal"/>
    <x v="1"/>
    <x v="1"/>
    <x v="3"/>
    <x v="0"/>
    <s v="Cameras"/>
    <s v="SnapLite Mini"/>
    <n v="2"/>
    <n v="35794.730000000003"/>
    <n v="60851.040000000001"/>
    <n v="15"/>
    <n v="1341.01"/>
    <n v="140.22"/>
    <x v="0"/>
    <x v="3"/>
  </r>
  <r>
    <s v="ORD-10628"/>
    <x v="179"/>
    <s v="Kiara Rao"/>
    <x v="2"/>
    <x v="0"/>
    <x v="12"/>
    <x v="2"/>
    <s v="Non-Fiction"/>
    <s v="Modern Economics"/>
    <n v="3"/>
    <n v="1060.1099999999999"/>
    <n v="2703.28"/>
    <n v="15"/>
    <n v="263.04000000000002"/>
    <n v="150.38999999999999"/>
    <x v="4"/>
    <x v="2"/>
  </r>
  <r>
    <s v="ORD-10471"/>
    <x v="180"/>
    <s v="Aadhya Nair"/>
    <x v="0"/>
    <x v="1"/>
    <x v="3"/>
    <x v="0"/>
    <s v="Cameras"/>
    <s v="ActionCam 4K"/>
    <n v="2"/>
    <n v="40815.24"/>
    <n v="69385.91"/>
    <n v="15"/>
    <n v="4157.29"/>
    <n v="195.81"/>
    <x v="1"/>
    <x v="0"/>
  </r>
  <r>
    <s v="ORD-10088"/>
    <x v="180"/>
    <s v="Riya Singh"/>
    <x v="1"/>
    <x v="0"/>
    <x v="0"/>
    <x v="1"/>
    <s v="Cookware"/>
    <s v="Steel Kadai"/>
    <n v="3"/>
    <n v="9152.7000000000007"/>
    <n v="19220.669999999998"/>
    <n v="30"/>
    <n v="348.92"/>
    <n v="93"/>
    <x v="4"/>
    <x v="3"/>
  </r>
  <r>
    <s v="ORD-10635"/>
    <x v="181"/>
    <s v="Neha Malhotra"/>
    <x v="1"/>
    <x v="1"/>
    <x v="1"/>
    <x v="0"/>
    <s v="Mobiles"/>
    <s v="OnePlus Edge"/>
    <n v="1"/>
    <n v="53946.44"/>
    <n v="53946.44"/>
    <n v="0"/>
    <n v="3633.41"/>
    <n v="293.93"/>
    <x v="3"/>
    <x v="3"/>
  </r>
  <r>
    <s v="ORD-10536"/>
    <x v="181"/>
    <s v="Vihaan Sharma"/>
    <x v="0"/>
    <x v="3"/>
    <x v="6"/>
    <x v="5"/>
    <s v="Men's Wear"/>
    <s v="Slim Fit Jeans"/>
    <n v="1"/>
    <n v="4498.8"/>
    <n v="4498.8"/>
    <n v="0"/>
    <n v="1157.97"/>
    <n v="78.17"/>
    <x v="3"/>
    <x v="0"/>
  </r>
  <r>
    <s v="ORD-10204"/>
    <x v="182"/>
    <s v="Aarav Sharma"/>
    <x v="0"/>
    <x v="3"/>
    <x v="6"/>
    <x v="4"/>
    <s v="Haircare"/>
    <s v="Hair Mask Deep Repair"/>
    <n v="3"/>
    <n v="793.14"/>
    <n v="1665.59"/>
    <n v="30"/>
    <n v="173.86"/>
    <n v="104.59"/>
    <x v="0"/>
    <x v="0"/>
  </r>
  <r>
    <s v="ORD-10720"/>
    <x v="183"/>
    <s v="Diya Agarwal"/>
    <x v="1"/>
    <x v="0"/>
    <x v="12"/>
    <x v="5"/>
    <s v="Kids Wear"/>
    <s v="Winter Jacket Jr"/>
    <n v="1"/>
    <n v="2451.6"/>
    <n v="1961.28"/>
    <n v="20"/>
    <n v="195.39"/>
    <n v="66.569999999999993"/>
    <x v="4"/>
    <x v="3"/>
  </r>
  <r>
    <s v="ORD-10630"/>
    <x v="183"/>
    <s v="Reyansh Iyer"/>
    <x v="1"/>
    <x v="1"/>
    <x v="3"/>
    <x v="1"/>
    <s v="Furniture"/>
    <s v="Bookshelf Unit"/>
    <n v="1"/>
    <n v="10140.049999999999"/>
    <n v="8112.04"/>
    <n v="20"/>
    <n v="-147.74"/>
    <n v="76.02"/>
    <x v="3"/>
    <x v="3"/>
  </r>
  <r>
    <s v="ORD-10827"/>
    <x v="183"/>
    <s v="Diya Mehta"/>
    <x v="2"/>
    <x v="0"/>
    <x v="0"/>
    <x v="4"/>
    <s v="Makeup"/>
    <s v="Matte Lipstick"/>
    <n v="1"/>
    <n v="1689.29"/>
    <n v="1520.36"/>
    <n v="10"/>
    <n v="273.97000000000003"/>
    <n v="124.17"/>
    <x v="1"/>
    <x v="0"/>
  </r>
  <r>
    <s v="ORD-10117"/>
    <x v="183"/>
    <s v="Meera Joshi"/>
    <x v="2"/>
    <x v="2"/>
    <x v="8"/>
    <x v="3"/>
    <s v="Footwear"/>
    <s v="Casual Sneakers"/>
    <n v="1"/>
    <n v="5930.05"/>
    <n v="5633.55"/>
    <n v="5"/>
    <n v="925.44"/>
    <n v="162.74"/>
    <x v="0"/>
    <x v="1"/>
  </r>
  <r>
    <s v="ORD-10674"/>
    <x v="184"/>
    <s v="Ishaan Khan"/>
    <x v="2"/>
    <x v="2"/>
    <x v="9"/>
    <x v="1"/>
    <s v="Decor"/>
    <s v="Table Lamp"/>
    <n v="3"/>
    <n v="8241.9"/>
    <n v="22253.13"/>
    <n v="10"/>
    <n v="3733.27"/>
    <n v="286.12"/>
    <x v="1"/>
    <x v="0"/>
  </r>
  <r>
    <s v="ORD-10941"/>
    <x v="184"/>
    <s v="Kabir Iyer"/>
    <x v="0"/>
    <x v="0"/>
    <x v="4"/>
    <x v="1"/>
    <s v="Appliances"/>
    <s v="Air Fryer"/>
    <n v="4"/>
    <n v="7276.14"/>
    <n v="29104.560000000001"/>
    <n v="0"/>
    <n v="4846.1400000000003"/>
    <n v="356.21"/>
    <x v="2"/>
    <x v="3"/>
  </r>
  <r>
    <s v="ORD-10661"/>
    <x v="184"/>
    <s v="Diya Desai"/>
    <x v="2"/>
    <x v="3"/>
    <x v="5"/>
    <x v="0"/>
    <s v="Accessories"/>
    <s v="Screen Guard"/>
    <n v="5"/>
    <n v="27463.62"/>
    <n v="116720.38"/>
    <n v="15"/>
    <n v="512.13"/>
    <n v="370.96"/>
    <x v="1"/>
    <x v="0"/>
  </r>
  <r>
    <s v="ORD-10828"/>
    <x v="184"/>
    <s v="Vihaan Patel"/>
    <x v="0"/>
    <x v="3"/>
    <x v="6"/>
    <x v="3"/>
    <s v="Apparel"/>
    <s v="Track Pants"/>
    <n v="2"/>
    <n v="1164.6199999999999"/>
    <n v="2329.2399999999998"/>
    <n v="0"/>
    <n v="400.67"/>
    <n v="47.2"/>
    <x v="3"/>
    <x v="0"/>
  </r>
  <r>
    <s v="ORD-10458"/>
    <x v="184"/>
    <s v="Diya Bose"/>
    <x v="2"/>
    <x v="1"/>
    <x v="13"/>
    <x v="0"/>
    <s v="Mobiles"/>
    <s v="iSmart X2"/>
    <n v="2"/>
    <n v="18866.509999999998"/>
    <n v="37733.019999999997"/>
    <n v="0"/>
    <n v="4174.68"/>
    <n v="359.73"/>
    <x v="3"/>
    <x v="3"/>
  </r>
  <r>
    <s v="ORD-10539"/>
    <x v="185"/>
    <s v="Anika Mishra"/>
    <x v="0"/>
    <x v="0"/>
    <x v="4"/>
    <x v="2"/>
    <s v="Comics"/>
    <s v="Comic Universe"/>
    <n v="4"/>
    <n v="1045.19"/>
    <n v="3135.57"/>
    <n v="25"/>
    <n v="82.11"/>
    <n v="117.36"/>
    <x v="2"/>
    <x v="0"/>
  </r>
  <r>
    <s v="ORD-10709"/>
    <x v="186"/>
    <s v="Ayaan Patel"/>
    <x v="1"/>
    <x v="2"/>
    <x v="2"/>
    <x v="2"/>
    <s v="Non-Fiction"/>
    <s v="Modern Economics"/>
    <n v="1"/>
    <n v="632.15"/>
    <n v="632.15"/>
    <n v="0"/>
    <n v="145.22999999999999"/>
    <n v="153.13999999999999"/>
    <x v="2"/>
    <x v="2"/>
  </r>
  <r>
    <s v="ORD-10184"/>
    <x v="186"/>
    <s v="Neha Singh"/>
    <x v="0"/>
    <x v="0"/>
    <x v="0"/>
    <x v="4"/>
    <s v="Skincare"/>
    <s v="Vitamin C Serum"/>
    <n v="1"/>
    <n v="1535.35"/>
    <n v="1381.82"/>
    <n v="10"/>
    <n v="323.14999999999998"/>
    <n v="232.32"/>
    <x v="1"/>
    <x v="1"/>
  </r>
  <r>
    <s v="ORD-10485"/>
    <x v="187"/>
    <s v="Ira Mehta"/>
    <x v="0"/>
    <x v="1"/>
    <x v="3"/>
    <x v="2"/>
    <s v="Academic"/>
    <s v="Physics Fundamentals"/>
    <n v="3"/>
    <n v="198.43"/>
    <n v="595.29"/>
    <n v="0"/>
    <n v="38.69"/>
    <n v="323.85000000000002"/>
    <x v="0"/>
    <x v="1"/>
  </r>
  <r>
    <s v="ORD-10825"/>
    <x v="188"/>
    <s v="Saanvi Chopra"/>
    <x v="2"/>
    <x v="2"/>
    <x v="9"/>
    <x v="4"/>
    <s v="Makeup"/>
    <s v="Compact Powder"/>
    <n v="2"/>
    <n v="546.09"/>
    <n v="982.96"/>
    <n v="10"/>
    <n v="213.54"/>
    <n v="205.49"/>
    <x v="2"/>
    <x v="0"/>
  </r>
  <r>
    <s v="ORD-10911"/>
    <x v="188"/>
    <s v="Raj Gupta"/>
    <x v="1"/>
    <x v="0"/>
    <x v="0"/>
    <x v="1"/>
    <s v="Cookware"/>
    <s v="Pressure Cooker"/>
    <n v="1"/>
    <n v="4143.63"/>
    <n v="3936.45"/>
    <n v="5"/>
    <n v="363.69"/>
    <n v="59.47"/>
    <x v="1"/>
    <x v="0"/>
  </r>
  <r>
    <s v="ORD-10374"/>
    <x v="188"/>
    <s v="Dhruv Sharma"/>
    <x v="2"/>
    <x v="2"/>
    <x v="2"/>
    <x v="4"/>
    <s v="Fragrances"/>
    <s v="Musk Perfume"/>
    <n v="4"/>
    <n v="341.1"/>
    <n v="1227.96"/>
    <n v="10"/>
    <n v="255.99"/>
    <n v="324.83999999999997"/>
    <x v="1"/>
    <x v="0"/>
  </r>
  <r>
    <s v="ORD-10550"/>
    <x v="188"/>
    <s v="Kabir Iyer"/>
    <x v="1"/>
    <x v="2"/>
    <x v="8"/>
    <x v="0"/>
    <s v="Cameras"/>
    <s v="ClickShot X1"/>
    <n v="1"/>
    <n v="48031.1"/>
    <n v="43227.99"/>
    <n v="10"/>
    <n v="-4626.2299999999996"/>
    <n v="274.02999999999997"/>
    <x v="3"/>
    <x v="3"/>
  </r>
  <r>
    <s v="ORD-10398"/>
    <x v="189"/>
    <s v="Meera Das"/>
    <x v="1"/>
    <x v="3"/>
    <x v="6"/>
    <x v="5"/>
    <s v="Kids Wear"/>
    <s v="Winter Jacket Jr"/>
    <n v="3"/>
    <n v="2889.3"/>
    <n v="7801.11"/>
    <n v="10"/>
    <n v="1221.97"/>
    <n v="110.12"/>
    <x v="3"/>
    <x v="3"/>
  </r>
  <r>
    <s v="ORD-10863"/>
    <x v="189"/>
    <s v="Simran Chopra"/>
    <x v="1"/>
    <x v="0"/>
    <x v="4"/>
    <x v="3"/>
    <s v="Gym Equipment"/>
    <s v="Resistance Bands Set"/>
    <n v="1"/>
    <n v="6704.74"/>
    <n v="4693.32"/>
    <n v="30"/>
    <n v="165.58"/>
    <n v="117.8"/>
    <x v="3"/>
    <x v="3"/>
  </r>
  <r>
    <s v="ORD-10712"/>
    <x v="190"/>
    <s v="Vihaan Iyer"/>
    <x v="2"/>
    <x v="1"/>
    <x v="1"/>
    <x v="3"/>
    <s v="Gym Equipment"/>
    <s v="Resistance Bands Set"/>
    <n v="2"/>
    <n v="5407.62"/>
    <n v="9733.7199999999993"/>
    <n v="10"/>
    <n v="1441.1"/>
    <n v="177.54"/>
    <x v="1"/>
    <x v="0"/>
  </r>
  <r>
    <s v="ORD-10472"/>
    <x v="190"/>
    <s v="Navya Bose"/>
    <x v="2"/>
    <x v="1"/>
    <x v="3"/>
    <x v="1"/>
    <s v="Decor"/>
    <s v="Table Lamp"/>
    <n v="3"/>
    <n v="1864.67"/>
    <n v="5594.01"/>
    <n v="0"/>
    <n v="886.2"/>
    <n v="276.38"/>
    <x v="0"/>
    <x v="3"/>
  </r>
  <r>
    <s v="ORD-10165"/>
    <x v="190"/>
    <s v="Arjun Patel"/>
    <x v="2"/>
    <x v="2"/>
    <x v="9"/>
    <x v="1"/>
    <s v="Appliances"/>
    <s v="Air Fryer"/>
    <n v="1"/>
    <n v="6588.15"/>
    <n v="5270.52"/>
    <n v="20"/>
    <n v="364.16"/>
    <n v="78.540000000000006"/>
    <x v="3"/>
    <x v="3"/>
  </r>
  <r>
    <s v="ORD-10444"/>
    <x v="190"/>
    <s v="Aadhya Singh"/>
    <x v="1"/>
    <x v="2"/>
    <x v="11"/>
    <x v="5"/>
    <s v="Kids Wear"/>
    <s v="School Uniform Set"/>
    <n v="2"/>
    <n v="2498.2399999999998"/>
    <n v="4996.4799999999996"/>
    <n v="0"/>
    <n v="1058.21"/>
    <n v="81.73"/>
    <x v="1"/>
    <x v="3"/>
  </r>
  <r>
    <s v="ORD-10664"/>
    <x v="190"/>
    <s v="Navya Patel"/>
    <x v="2"/>
    <x v="1"/>
    <x v="3"/>
    <x v="1"/>
    <s v="Appliances"/>
    <s v="Electric Kettle"/>
    <n v="3"/>
    <n v="7844.12"/>
    <n v="16472.650000000001"/>
    <n v="30"/>
    <n v="-134.52000000000001"/>
    <n v="274.87"/>
    <x v="3"/>
    <x v="0"/>
  </r>
  <r>
    <s v="ORD-10369"/>
    <x v="190"/>
    <s v="Aadhya Mehta"/>
    <x v="0"/>
    <x v="1"/>
    <x v="1"/>
    <x v="4"/>
    <s v="Skincare"/>
    <s v="Aloe Moisturizer"/>
    <n v="1"/>
    <n v="2322.34"/>
    <n v="2206.2199999999998"/>
    <n v="5"/>
    <n v="823.46"/>
    <n v="274.74"/>
    <x v="3"/>
    <x v="2"/>
  </r>
  <r>
    <s v="ORD-10568"/>
    <x v="191"/>
    <s v="Navya Rao"/>
    <x v="2"/>
    <x v="3"/>
    <x v="7"/>
    <x v="0"/>
    <s v="Headphones"/>
    <s v="EchoBuds"/>
    <n v="1"/>
    <n v="9738.25"/>
    <n v="8764.43"/>
    <n v="10"/>
    <n v="740.56"/>
    <n v="231.46"/>
    <x v="2"/>
    <x v="0"/>
  </r>
  <r>
    <s v="ORD-10636"/>
    <x v="191"/>
    <s v="Neha Rao"/>
    <x v="2"/>
    <x v="2"/>
    <x v="8"/>
    <x v="0"/>
    <s v="Mobiles"/>
    <s v="Galaxy Note Lite"/>
    <n v="2"/>
    <n v="57081.34"/>
    <n v="97038.28"/>
    <n v="15"/>
    <n v="6857.61"/>
    <n v="217.51"/>
    <x v="1"/>
    <x v="3"/>
  </r>
  <r>
    <s v="ORD-10912"/>
    <x v="192"/>
    <s v="Myra Reddy"/>
    <x v="2"/>
    <x v="3"/>
    <x v="7"/>
    <x v="3"/>
    <s v="Gym Equipment"/>
    <s v="Yoga Mat Pro"/>
    <n v="2"/>
    <n v="13517.24"/>
    <n v="27034.48"/>
    <n v="0"/>
    <n v="5647.54"/>
    <n v="222"/>
    <x v="3"/>
    <x v="3"/>
  </r>
  <r>
    <s v="ORD-10500"/>
    <x v="192"/>
    <s v="Meera Desai"/>
    <x v="1"/>
    <x v="1"/>
    <x v="3"/>
    <x v="3"/>
    <s v="Footwear"/>
    <s v="Casual Sneakers"/>
    <n v="3"/>
    <n v="6905.41"/>
    <n v="15537.17"/>
    <n v="25"/>
    <n v="-414.28"/>
    <n v="211.77"/>
    <x v="2"/>
    <x v="2"/>
  </r>
  <r>
    <s v="ORD-10940"/>
    <x v="193"/>
    <s v="Ishaan Agarwal"/>
    <x v="2"/>
    <x v="2"/>
    <x v="9"/>
    <x v="3"/>
    <s v="Gym Equipment"/>
    <s v="Treadmill Compact"/>
    <n v="1"/>
    <n v="8265.09"/>
    <n v="8265.09"/>
    <n v="0"/>
    <n v="2077.42"/>
    <n v="55.37"/>
    <x v="3"/>
    <x v="0"/>
  </r>
  <r>
    <s v="ORD-10171"/>
    <x v="193"/>
    <s v="Myra Rao"/>
    <x v="0"/>
    <x v="3"/>
    <x v="5"/>
    <x v="3"/>
    <s v="Outdoor Gear"/>
    <s v="Camping Tent"/>
    <n v="1"/>
    <n v="10842.02"/>
    <n v="7589.41"/>
    <n v="30"/>
    <n v="600.30999999999995"/>
    <n v="336.9"/>
    <x v="2"/>
    <x v="2"/>
  </r>
  <r>
    <s v="ORD-10821"/>
    <x v="194"/>
    <s v="Neha Rao"/>
    <x v="0"/>
    <x v="1"/>
    <x v="3"/>
    <x v="4"/>
    <s v="Haircare"/>
    <s v="Hair Growth Serum"/>
    <n v="2"/>
    <n v="2235.17"/>
    <n v="4023.31"/>
    <n v="10"/>
    <n v="706.24"/>
    <n v="135.12"/>
    <x v="4"/>
    <x v="0"/>
  </r>
  <r>
    <s v="ORD-10833"/>
    <x v="195"/>
    <s v="Myra Desai"/>
    <x v="0"/>
    <x v="3"/>
    <x v="6"/>
    <x v="0"/>
    <s v="Cameras"/>
    <s v="ClickShot X1"/>
    <n v="2"/>
    <n v="44721.37"/>
    <n v="89442.74"/>
    <n v="0"/>
    <n v="12413.61"/>
    <n v="231.75"/>
    <x v="3"/>
    <x v="3"/>
  </r>
  <r>
    <s v="ORD-10516"/>
    <x v="195"/>
    <s v="Ira Patel"/>
    <x v="1"/>
    <x v="1"/>
    <x v="13"/>
    <x v="5"/>
    <s v="Footwear"/>
    <s v="Formal Loafers"/>
    <n v="1"/>
    <n v="3851.54"/>
    <n v="3273.81"/>
    <n v="15"/>
    <n v="182.51"/>
    <n v="251.6"/>
    <x v="0"/>
    <x v="3"/>
  </r>
  <r>
    <s v="ORD-10449"/>
    <x v="195"/>
    <s v="Sai Kapoor"/>
    <x v="2"/>
    <x v="3"/>
    <x v="10"/>
    <x v="5"/>
    <s v="Women's Wear"/>
    <s v="Ethnic Kurti"/>
    <n v="2"/>
    <n v="3686.9"/>
    <n v="7373.8"/>
    <n v="0"/>
    <n v="1383.6"/>
    <n v="296.61"/>
    <x v="0"/>
    <x v="0"/>
  </r>
  <r>
    <s v="ORD-10036"/>
    <x v="195"/>
    <s v="Krishna Bose"/>
    <x v="2"/>
    <x v="2"/>
    <x v="2"/>
    <x v="4"/>
    <s v="Fragrances"/>
    <s v="Musk Perfume"/>
    <n v="1"/>
    <n v="1045.9000000000001"/>
    <n v="993.61"/>
    <n v="5"/>
    <n v="190.34"/>
    <n v="232.34"/>
    <x v="0"/>
    <x v="3"/>
  </r>
  <r>
    <s v="ORD-10978"/>
    <x v="195"/>
    <s v="Ananya Singh"/>
    <x v="2"/>
    <x v="1"/>
    <x v="13"/>
    <x v="0"/>
    <s v="Accessories"/>
    <s v="FastCharge Cable"/>
    <n v="1"/>
    <n v="26894.78"/>
    <n v="21515.82"/>
    <n v="20"/>
    <n v="-824.32"/>
    <n v="196.28"/>
    <x v="1"/>
    <x v="3"/>
  </r>
  <r>
    <s v="ORD-10907"/>
    <x v="195"/>
    <s v="Rohan Nair"/>
    <x v="1"/>
    <x v="0"/>
    <x v="0"/>
    <x v="1"/>
    <s v="Appliances"/>
    <s v="Microwave Oven"/>
    <n v="2"/>
    <n v="3831.56"/>
    <n v="6896.81"/>
    <n v="10"/>
    <n v="1052.68"/>
    <n v="247.79"/>
    <x v="0"/>
    <x v="3"/>
  </r>
  <r>
    <s v="ORD-10298"/>
    <x v="196"/>
    <s v="Vivaan Gupta"/>
    <x v="2"/>
    <x v="3"/>
    <x v="6"/>
    <x v="0"/>
    <s v="Cameras"/>
    <s v="ActionCam 4K"/>
    <n v="1"/>
    <n v="18861.61"/>
    <n v="17918.53"/>
    <n v="5"/>
    <n v="1219.8"/>
    <n v="219.55"/>
    <x v="1"/>
    <x v="2"/>
  </r>
  <r>
    <s v="ORD-10432"/>
    <x v="196"/>
    <s v="Ira Kapoor"/>
    <x v="2"/>
    <x v="2"/>
    <x v="8"/>
    <x v="0"/>
    <s v="Cameras"/>
    <s v="PixelPro DSLR"/>
    <n v="2"/>
    <n v="32874.22"/>
    <n v="65748.44"/>
    <n v="0"/>
    <n v="11269.39"/>
    <n v="184.79"/>
    <x v="4"/>
    <x v="0"/>
  </r>
  <r>
    <s v="ORD-10692"/>
    <x v="196"/>
    <s v="Pooja Singh"/>
    <x v="2"/>
    <x v="1"/>
    <x v="1"/>
    <x v="3"/>
    <s v="Apparel"/>
    <s v="Compression Shorts"/>
    <n v="1"/>
    <n v="4288.7"/>
    <n v="4288.7"/>
    <n v="0"/>
    <n v="784.92"/>
    <n v="147.9"/>
    <x v="1"/>
    <x v="3"/>
  </r>
  <r>
    <s v="ORD-10672"/>
    <x v="196"/>
    <s v="Meera Sharma"/>
    <x v="0"/>
    <x v="3"/>
    <x v="10"/>
    <x v="0"/>
    <s v="Accessories"/>
    <s v="PowerBank 20K"/>
    <n v="2"/>
    <n v="12180.66"/>
    <n v="20707.12"/>
    <n v="15"/>
    <n v="713.63"/>
    <n v="341.17"/>
    <x v="1"/>
    <x v="2"/>
  </r>
  <r>
    <s v="ORD-10161"/>
    <x v="197"/>
    <s v="Ayaan Khan"/>
    <x v="2"/>
    <x v="1"/>
    <x v="1"/>
    <x v="4"/>
    <s v="Haircare"/>
    <s v="Hair Mask Deep Repair"/>
    <n v="2"/>
    <n v="1239.48"/>
    <n v="1859.22"/>
    <n v="25"/>
    <n v="293.06"/>
    <n v="244.71"/>
    <x v="4"/>
    <x v="0"/>
  </r>
  <r>
    <s v="ORD-10781"/>
    <x v="197"/>
    <s v="Vihaan Mehta"/>
    <x v="0"/>
    <x v="0"/>
    <x v="0"/>
    <x v="0"/>
    <s v="Headphones"/>
    <s v="StudioMax"/>
    <n v="2"/>
    <n v="1755.45"/>
    <n v="2808.72"/>
    <n v="20"/>
    <n v="-113.95"/>
    <n v="246.79"/>
    <x v="1"/>
    <x v="3"/>
  </r>
  <r>
    <s v="ORD-10896"/>
    <x v="197"/>
    <s v="Simran Bose"/>
    <x v="2"/>
    <x v="2"/>
    <x v="8"/>
    <x v="2"/>
    <s v="Comics"/>
    <s v="Graphic Tales"/>
    <n v="3"/>
    <n v="247.94"/>
    <n v="706.63"/>
    <n v="5"/>
    <n v="114.13"/>
    <n v="368.42"/>
    <x v="1"/>
    <x v="2"/>
  </r>
  <r>
    <s v="ORD-10014"/>
    <x v="197"/>
    <s v="Navya Iyer"/>
    <x v="0"/>
    <x v="3"/>
    <x v="6"/>
    <x v="1"/>
    <s v="Appliances"/>
    <s v="Electric Kettle"/>
    <n v="4"/>
    <n v="10196.59"/>
    <n v="36707.72"/>
    <n v="10"/>
    <n v="1034.0899999999999"/>
    <n v="314.14"/>
    <x v="1"/>
    <x v="3"/>
  </r>
  <r>
    <s v="ORD-10889"/>
    <x v="198"/>
    <s v="Reyansh Sharma"/>
    <x v="0"/>
    <x v="2"/>
    <x v="2"/>
    <x v="1"/>
    <s v="Cookware"/>
    <s v="Cookware Combo"/>
    <n v="2"/>
    <n v="1342.26"/>
    <n v="2550.29"/>
    <n v="5"/>
    <n v="459.72"/>
    <n v="229.9"/>
    <x v="3"/>
    <x v="2"/>
  </r>
  <r>
    <s v="ORD-10493"/>
    <x v="199"/>
    <s v="Neha Mehta"/>
    <x v="2"/>
    <x v="1"/>
    <x v="13"/>
    <x v="2"/>
    <s v="Comics"/>
    <s v="Graphic Tales"/>
    <n v="1"/>
    <n v="879.17"/>
    <n v="879.17"/>
    <n v="0"/>
    <n v="82.62"/>
    <n v="139.06"/>
    <x v="4"/>
    <x v="0"/>
  </r>
  <r>
    <s v="ORD-10507"/>
    <x v="199"/>
    <s v="Kabir Singh"/>
    <x v="1"/>
    <x v="3"/>
    <x v="7"/>
    <x v="4"/>
    <s v="Fragrances"/>
    <s v="Woody Cologne"/>
    <n v="3"/>
    <n v="1852.39"/>
    <n v="4167.88"/>
    <n v="25"/>
    <n v="710.77"/>
    <n v="72.98"/>
    <x v="0"/>
    <x v="2"/>
  </r>
  <r>
    <s v="ORD-10100"/>
    <x v="199"/>
    <s v="Vivaan Bose"/>
    <x v="2"/>
    <x v="2"/>
    <x v="2"/>
    <x v="4"/>
    <s v="Fragrances"/>
    <s v="Musk Perfume"/>
    <n v="4"/>
    <n v="1932.77"/>
    <n v="7344.53"/>
    <n v="5"/>
    <n v="1660.83"/>
    <n v="195.4"/>
    <x v="3"/>
    <x v="3"/>
  </r>
  <r>
    <s v="ORD-10173"/>
    <x v="200"/>
    <s v="Riya Kapoor"/>
    <x v="0"/>
    <x v="1"/>
    <x v="3"/>
    <x v="1"/>
    <s v="Furniture"/>
    <s v="Study Table"/>
    <n v="2"/>
    <n v="7533.42"/>
    <n v="14313.5"/>
    <n v="5"/>
    <n v="1954.63"/>
    <n v="277.35000000000002"/>
    <x v="3"/>
    <x v="2"/>
  </r>
  <r>
    <s v="ORD-10403"/>
    <x v="200"/>
    <s v="Reyansh Verma"/>
    <x v="2"/>
    <x v="0"/>
    <x v="4"/>
    <x v="0"/>
    <s v="Accessories"/>
    <s v="PowerBank 20K"/>
    <n v="2"/>
    <n v="47677.71"/>
    <n v="85819.88"/>
    <n v="10"/>
    <n v="6277.21"/>
    <n v="101.78"/>
    <x v="1"/>
    <x v="1"/>
  </r>
  <r>
    <s v="ORD-10430"/>
    <x v="200"/>
    <s v="Kabir Mishra"/>
    <x v="1"/>
    <x v="3"/>
    <x v="5"/>
    <x v="4"/>
    <s v="Haircare"/>
    <s v="Hair Mask Deep Repair"/>
    <n v="1"/>
    <n v="718.75"/>
    <n v="718.75"/>
    <n v="0"/>
    <n v="195.95"/>
    <n v="150.61000000000001"/>
    <x v="1"/>
    <x v="0"/>
  </r>
  <r>
    <s v="ORD-10984"/>
    <x v="201"/>
    <s v="Sai Kapoor"/>
    <x v="1"/>
    <x v="3"/>
    <x v="7"/>
    <x v="0"/>
    <s v="Laptops"/>
    <s v="GameForce X"/>
    <n v="1"/>
    <n v="2807.7"/>
    <n v="2246.16"/>
    <n v="20"/>
    <n v="-125.14"/>
    <n v="143.55000000000001"/>
    <x v="1"/>
    <x v="0"/>
  </r>
  <r>
    <s v="ORD-10898"/>
    <x v="201"/>
    <s v="Diya Sharma"/>
    <x v="0"/>
    <x v="2"/>
    <x v="11"/>
    <x v="4"/>
    <s v="Fragrances"/>
    <s v="Citrus Eau de Toilette"/>
    <n v="4"/>
    <n v="337.87"/>
    <n v="1148.76"/>
    <n v="15"/>
    <n v="215.08"/>
    <n v="116.91"/>
    <x v="3"/>
    <x v="2"/>
  </r>
  <r>
    <s v="ORD-10304"/>
    <x v="201"/>
    <s v="Riya Mishra"/>
    <x v="2"/>
    <x v="1"/>
    <x v="13"/>
    <x v="1"/>
    <s v="Decor"/>
    <s v="LED Fairy Lights"/>
    <n v="1"/>
    <n v="3122.22"/>
    <n v="2966.11"/>
    <n v="5"/>
    <n v="672.95"/>
    <n v="312.79000000000002"/>
    <x v="1"/>
    <x v="0"/>
  </r>
  <r>
    <s v="ORD-10701"/>
    <x v="201"/>
    <s v="Vihaan Joshi"/>
    <x v="1"/>
    <x v="3"/>
    <x v="5"/>
    <x v="0"/>
    <s v="Accessories"/>
    <s v="Screen Guard"/>
    <n v="1"/>
    <n v="44911.57"/>
    <n v="44911.57"/>
    <n v="0"/>
    <n v="3747.18"/>
    <n v="129.13999999999999"/>
    <x v="1"/>
    <x v="0"/>
  </r>
  <r>
    <s v="ORD-10543"/>
    <x v="202"/>
    <s v="Ira Das"/>
    <x v="2"/>
    <x v="1"/>
    <x v="3"/>
    <x v="5"/>
    <s v="Women's Wear"/>
    <s v="Silk Saree"/>
    <n v="1"/>
    <n v="693.42"/>
    <n v="485.39"/>
    <n v="30"/>
    <n v="18.149999999999999"/>
    <n v="126.78"/>
    <x v="0"/>
    <x v="0"/>
  </r>
  <r>
    <s v="ORD-10320"/>
    <x v="202"/>
    <s v="Aadhya Mishra"/>
    <x v="2"/>
    <x v="0"/>
    <x v="12"/>
    <x v="1"/>
    <s v="Cookware"/>
    <s v="Pressure Cooker"/>
    <n v="3"/>
    <n v="7954.3"/>
    <n v="22669.759999999998"/>
    <n v="5"/>
    <n v="3560.33"/>
    <n v="94.11"/>
    <x v="0"/>
    <x v="0"/>
  </r>
  <r>
    <s v="ORD-10756"/>
    <x v="202"/>
    <s v="Ira Reddy"/>
    <x v="2"/>
    <x v="1"/>
    <x v="13"/>
    <x v="3"/>
    <s v="Gym Equipment"/>
    <s v="Resistance Bands Set"/>
    <n v="1"/>
    <n v="4923.68"/>
    <n v="4923.68"/>
    <n v="0"/>
    <n v="837.62"/>
    <n v="35.04"/>
    <x v="1"/>
    <x v="0"/>
  </r>
  <r>
    <s v="ORD-10929"/>
    <x v="203"/>
    <s v="Aarav Desai"/>
    <x v="0"/>
    <x v="2"/>
    <x v="11"/>
    <x v="1"/>
    <s v="Furniture"/>
    <s v="Wooden Chair"/>
    <n v="3"/>
    <n v="8242.82"/>
    <n v="21019.19"/>
    <n v="15"/>
    <n v="863.41"/>
    <n v="236.15"/>
    <x v="3"/>
    <x v="1"/>
  </r>
  <r>
    <s v="ORD-10064"/>
    <x v="203"/>
    <s v="Navya Desai"/>
    <x v="2"/>
    <x v="1"/>
    <x v="1"/>
    <x v="2"/>
    <s v="Academic"/>
    <s v="Calculus Made Easy"/>
    <n v="4"/>
    <n v="189.22"/>
    <n v="605.5"/>
    <n v="20"/>
    <n v="28.98"/>
    <n v="338.23"/>
    <x v="2"/>
    <x v="0"/>
  </r>
  <r>
    <s v="ORD-10533"/>
    <x v="203"/>
    <s v="Priya Nair"/>
    <x v="1"/>
    <x v="3"/>
    <x v="5"/>
    <x v="3"/>
    <s v="Footwear"/>
    <s v="Formal Loafers"/>
    <n v="1"/>
    <n v="8147.57"/>
    <n v="7740.19"/>
    <n v="5"/>
    <n v="1116.04"/>
    <n v="298.33999999999997"/>
    <x v="3"/>
    <x v="0"/>
  </r>
  <r>
    <s v="ORD-10721"/>
    <x v="203"/>
    <s v="Priya Sharma"/>
    <x v="2"/>
    <x v="3"/>
    <x v="6"/>
    <x v="4"/>
    <s v="Fragrances"/>
    <s v="Citrus Eau de Toilette"/>
    <n v="3"/>
    <n v="1761.46"/>
    <n v="4755.9399999999996"/>
    <n v="10"/>
    <n v="1174.08"/>
    <n v="334.34"/>
    <x v="2"/>
    <x v="2"/>
  </r>
  <r>
    <s v="ORD-10640"/>
    <x v="204"/>
    <s v="Kabir Chopra"/>
    <x v="1"/>
    <x v="0"/>
    <x v="0"/>
    <x v="2"/>
    <s v="Academic"/>
    <s v="Calculus Made Easy"/>
    <n v="3"/>
    <n v="1090.8399999999999"/>
    <n v="2454.39"/>
    <n v="25"/>
    <n v="-140.97999999999999"/>
    <n v="321.77"/>
    <x v="3"/>
    <x v="3"/>
  </r>
  <r>
    <s v="ORD-10937"/>
    <x v="204"/>
    <s v="Vivaan Desai"/>
    <x v="2"/>
    <x v="1"/>
    <x v="3"/>
    <x v="3"/>
    <s v="Outdoor Gear"/>
    <s v="Trekking Pole"/>
    <n v="2"/>
    <n v="6231.42"/>
    <n v="11216.56"/>
    <n v="10"/>
    <n v="1102.94"/>
    <n v="170.36"/>
    <x v="1"/>
    <x v="0"/>
  </r>
  <r>
    <s v="ORD-10263"/>
    <x v="204"/>
    <s v="Myra Chopra"/>
    <x v="0"/>
    <x v="1"/>
    <x v="3"/>
    <x v="1"/>
    <s v="Furniture"/>
    <s v="Wooden Chair"/>
    <n v="1"/>
    <n v="11885.72"/>
    <n v="10697.15"/>
    <n v="10"/>
    <n v="969.94"/>
    <n v="237.22"/>
    <x v="1"/>
    <x v="0"/>
  </r>
  <r>
    <s v="ORD-10470"/>
    <x v="205"/>
    <s v="Arjun Patel"/>
    <x v="2"/>
    <x v="1"/>
    <x v="1"/>
    <x v="2"/>
    <s v="Non-Fiction"/>
    <s v="Mind Over Matter"/>
    <n v="5"/>
    <n v="622.87"/>
    <n v="2802.91"/>
    <n v="10"/>
    <n v="187.92"/>
    <n v="329.62"/>
    <x v="0"/>
    <x v="1"/>
  </r>
  <r>
    <s v="ORD-10455"/>
    <x v="205"/>
    <s v="Ishaan Rao"/>
    <x v="0"/>
    <x v="3"/>
    <x v="10"/>
    <x v="3"/>
    <s v="Apparel"/>
    <s v="Sports T-Shirt"/>
    <n v="2"/>
    <n v="3215.68"/>
    <n v="5788.22"/>
    <n v="10"/>
    <n v="1178.0899999999999"/>
    <n v="133.46"/>
    <x v="3"/>
    <x v="0"/>
  </r>
  <r>
    <s v="ORD-10596"/>
    <x v="205"/>
    <s v="Myra Joshi"/>
    <x v="2"/>
    <x v="3"/>
    <x v="6"/>
    <x v="4"/>
    <s v="Fragrances"/>
    <s v="Floral Mist"/>
    <n v="1"/>
    <n v="254.27"/>
    <n v="241.56"/>
    <n v="5"/>
    <n v="84.44"/>
    <n v="317.54000000000002"/>
    <x v="3"/>
    <x v="2"/>
  </r>
  <r>
    <s v="ORD-10315"/>
    <x v="206"/>
    <s v="Ira Iyer"/>
    <x v="0"/>
    <x v="1"/>
    <x v="13"/>
    <x v="5"/>
    <s v="Women's Wear"/>
    <s v="Ethnic Kurti"/>
    <n v="3"/>
    <n v="3259.66"/>
    <n v="9778.98"/>
    <n v="0"/>
    <n v="2450.9899999999998"/>
    <n v="370.37"/>
    <x v="3"/>
    <x v="0"/>
  </r>
  <r>
    <s v="ORD-10384"/>
    <x v="206"/>
    <s v="Dhruv Chopra"/>
    <x v="1"/>
    <x v="2"/>
    <x v="9"/>
    <x v="5"/>
    <s v="Footwear"/>
    <s v="Sandals"/>
    <n v="4"/>
    <n v="1417.28"/>
    <n v="5385.66"/>
    <n v="5"/>
    <n v="818.02"/>
    <n v="122.76"/>
    <x v="4"/>
    <x v="3"/>
  </r>
  <r>
    <s v="ORD-10643"/>
    <x v="207"/>
    <s v="Saanvi Agarwal"/>
    <x v="0"/>
    <x v="0"/>
    <x v="0"/>
    <x v="2"/>
    <s v="Non-Fiction"/>
    <s v="Modern Economics"/>
    <n v="1"/>
    <n v="770.17"/>
    <n v="577.63"/>
    <n v="25"/>
    <n v="-17.28"/>
    <n v="204.24"/>
    <x v="2"/>
    <x v="3"/>
  </r>
  <r>
    <s v="ORD-10979"/>
    <x v="207"/>
    <s v="Kabir Chopra"/>
    <x v="1"/>
    <x v="1"/>
    <x v="1"/>
    <x v="3"/>
    <s v="Gym Equipment"/>
    <s v="Adjustable Dumbbells"/>
    <n v="2"/>
    <n v="1216.94"/>
    <n v="2068.8000000000002"/>
    <n v="15"/>
    <n v="360.18"/>
    <n v="363.11"/>
    <x v="3"/>
    <x v="2"/>
  </r>
  <r>
    <s v="ORD-10241"/>
    <x v="207"/>
    <s v="Vihaan Verma"/>
    <x v="2"/>
    <x v="0"/>
    <x v="0"/>
    <x v="1"/>
    <s v="Decor"/>
    <s v="LED Fairy Lights"/>
    <n v="2"/>
    <n v="7449.75"/>
    <n v="13409.55"/>
    <n v="10"/>
    <n v="556.52"/>
    <n v="101.49"/>
    <x v="1"/>
    <x v="0"/>
  </r>
  <r>
    <s v="ORD-10514"/>
    <x v="208"/>
    <s v="Dhruv Nair"/>
    <x v="2"/>
    <x v="2"/>
    <x v="9"/>
    <x v="2"/>
    <s v="Non-Fiction"/>
    <s v="History Untold"/>
    <n v="2"/>
    <n v="756.06"/>
    <n v="1360.91"/>
    <n v="10"/>
    <n v="108.32"/>
    <n v="59"/>
    <x v="1"/>
    <x v="1"/>
  </r>
  <r>
    <s v="ORD-10363"/>
    <x v="208"/>
    <s v="Ira Singh"/>
    <x v="0"/>
    <x v="0"/>
    <x v="12"/>
    <x v="3"/>
    <s v="Footwear"/>
    <s v="Casual Sneakers"/>
    <n v="1"/>
    <n v="2719.85"/>
    <n v="2311.87"/>
    <n v="15"/>
    <n v="296.52999999999997"/>
    <n v="211.3"/>
    <x v="2"/>
    <x v="0"/>
  </r>
  <r>
    <s v="ORD-10615"/>
    <x v="208"/>
    <s v="Simran Nair"/>
    <x v="2"/>
    <x v="2"/>
    <x v="8"/>
    <x v="5"/>
    <s v="Footwear"/>
    <s v="Casual Sneakers"/>
    <n v="1"/>
    <n v="1198.6199999999999"/>
    <n v="1198.6199999999999"/>
    <n v="0"/>
    <n v="295.77"/>
    <n v="143.61000000000001"/>
    <x v="0"/>
    <x v="3"/>
  </r>
  <r>
    <s v="ORD-10704"/>
    <x v="208"/>
    <s v="Krishna Das"/>
    <x v="0"/>
    <x v="0"/>
    <x v="0"/>
    <x v="1"/>
    <s v="Decor"/>
    <s v="Wall Art Frame"/>
    <n v="4"/>
    <n v="2906.3"/>
    <n v="9300.16"/>
    <n v="20"/>
    <n v="340.94"/>
    <n v="333.98"/>
    <x v="3"/>
    <x v="0"/>
  </r>
  <r>
    <s v="ORD-10215"/>
    <x v="209"/>
    <s v="Sai Khan"/>
    <x v="0"/>
    <x v="0"/>
    <x v="4"/>
    <x v="2"/>
    <s v="Non-Fiction"/>
    <s v="History Untold"/>
    <n v="4"/>
    <n v="375.69"/>
    <n v="1277.3499999999999"/>
    <n v="15"/>
    <n v="39.880000000000003"/>
    <n v="233.84"/>
    <x v="1"/>
    <x v="2"/>
  </r>
  <r>
    <s v="ORD-10337"/>
    <x v="209"/>
    <s v="Diya Desai"/>
    <x v="0"/>
    <x v="1"/>
    <x v="1"/>
    <x v="1"/>
    <s v="Decor"/>
    <s v="Ceramic Vase"/>
    <n v="3"/>
    <n v="9603.52"/>
    <n v="27370.03"/>
    <n v="5"/>
    <n v="2979.75"/>
    <n v="321.04000000000002"/>
    <x v="0"/>
    <x v="3"/>
  </r>
  <r>
    <s v="ORD-10307"/>
    <x v="210"/>
    <s v="Diya Kapoor"/>
    <x v="2"/>
    <x v="3"/>
    <x v="7"/>
    <x v="4"/>
    <s v="Fragrances"/>
    <s v="Musk Perfume"/>
    <n v="3"/>
    <n v="584.20000000000005"/>
    <n v="1489.71"/>
    <n v="15"/>
    <n v="346.14"/>
    <n v="211.88"/>
    <x v="0"/>
    <x v="3"/>
  </r>
  <r>
    <s v="ORD-10433"/>
    <x v="210"/>
    <s v="Aditya Gupta"/>
    <x v="0"/>
    <x v="1"/>
    <x v="1"/>
    <x v="1"/>
    <s v="Cookware"/>
    <s v="Non-Stick Pan Set"/>
    <n v="1"/>
    <n v="481.54"/>
    <n v="457.46"/>
    <n v="5"/>
    <n v="62.35"/>
    <n v="325.24"/>
    <x v="2"/>
    <x v="0"/>
  </r>
  <r>
    <s v="ORD-10658"/>
    <x v="210"/>
    <s v="Saanvi Das"/>
    <x v="1"/>
    <x v="1"/>
    <x v="13"/>
    <x v="3"/>
    <s v="Gym Equipment"/>
    <s v="Yoga Mat Pro"/>
    <n v="2"/>
    <n v="12021.38"/>
    <n v="22840.62"/>
    <n v="5"/>
    <n v="5041.97"/>
    <n v="125.15"/>
    <x v="1"/>
    <x v="0"/>
  </r>
  <r>
    <s v="ORD-10983"/>
    <x v="210"/>
    <s v="Dhruv Patel"/>
    <x v="2"/>
    <x v="2"/>
    <x v="11"/>
    <x v="3"/>
    <s v="Apparel"/>
    <s v="Sports T-Shirt"/>
    <n v="2"/>
    <n v="3262.63"/>
    <n v="5872.73"/>
    <n v="10"/>
    <n v="509.95"/>
    <n v="67.13"/>
    <x v="1"/>
    <x v="3"/>
  </r>
  <r>
    <s v="ORD-10649"/>
    <x v="210"/>
    <s v="Neha Malhotra"/>
    <x v="0"/>
    <x v="3"/>
    <x v="6"/>
    <x v="2"/>
    <s v="Comics"/>
    <s v="Graphic Tales"/>
    <n v="4"/>
    <n v="437.78"/>
    <n v="1751.12"/>
    <n v="0"/>
    <n v="215.74"/>
    <n v="185.51"/>
    <x v="3"/>
    <x v="3"/>
  </r>
  <r>
    <s v="ORD-10736"/>
    <x v="211"/>
    <s v="Myra Agarwal"/>
    <x v="1"/>
    <x v="3"/>
    <x v="5"/>
    <x v="4"/>
    <s v="Fragrances"/>
    <s v="Citrus Eau de Toilette"/>
    <n v="1"/>
    <n v="1998.51"/>
    <n v="1898.58"/>
    <n v="5"/>
    <n v="419.68"/>
    <n v="270.56"/>
    <x v="3"/>
    <x v="0"/>
  </r>
  <r>
    <s v="ORD-10905"/>
    <x v="211"/>
    <s v="Ishaan Nair"/>
    <x v="0"/>
    <x v="2"/>
    <x v="2"/>
    <x v="4"/>
    <s v="Makeup"/>
    <s v="Eyeliner Pro"/>
    <n v="1"/>
    <n v="1135.1600000000001"/>
    <n v="964.89"/>
    <n v="15"/>
    <n v="204.62"/>
    <n v="123.87"/>
    <x v="3"/>
    <x v="0"/>
  </r>
  <r>
    <s v="ORD-10677"/>
    <x v="212"/>
    <s v="Aadhya Nair"/>
    <x v="2"/>
    <x v="1"/>
    <x v="13"/>
    <x v="1"/>
    <s v="Decor"/>
    <s v="Ceramic Vase"/>
    <n v="1"/>
    <n v="8943.81"/>
    <n v="6260.67"/>
    <n v="30"/>
    <n v="-67.27"/>
    <n v="218.03"/>
    <x v="3"/>
    <x v="3"/>
  </r>
  <r>
    <s v="ORD-10654"/>
    <x v="212"/>
    <s v="Karan Iyer"/>
    <x v="2"/>
    <x v="2"/>
    <x v="11"/>
    <x v="2"/>
    <s v="Comics"/>
    <s v="Graphic Tales"/>
    <n v="3"/>
    <n v="676.14"/>
    <n v="2028.42"/>
    <n v="0"/>
    <n v="350.39"/>
    <n v="285.98"/>
    <x v="3"/>
    <x v="3"/>
  </r>
  <r>
    <s v="ORD-10249"/>
    <x v="213"/>
    <s v="Vivaan Kapoor"/>
    <x v="1"/>
    <x v="2"/>
    <x v="2"/>
    <x v="2"/>
    <s v="Non-Fiction"/>
    <s v="Modern Economics"/>
    <n v="1"/>
    <n v="264.94"/>
    <n v="264.94"/>
    <n v="0"/>
    <n v="51.76"/>
    <n v="212.82"/>
    <x v="3"/>
    <x v="1"/>
  </r>
  <r>
    <s v="ORD-10855"/>
    <x v="214"/>
    <s v="Sai Sharma"/>
    <x v="0"/>
    <x v="0"/>
    <x v="0"/>
    <x v="4"/>
    <s v="Fragrances"/>
    <s v="Musk Perfume"/>
    <n v="5"/>
    <n v="1207.81"/>
    <n v="6039.05"/>
    <n v="0"/>
    <n v="2172.86"/>
    <n v="260.13"/>
    <x v="4"/>
    <x v="0"/>
  </r>
  <r>
    <s v="ORD-10909"/>
    <x v="214"/>
    <s v="Rohan Reddy"/>
    <x v="1"/>
    <x v="2"/>
    <x v="11"/>
    <x v="1"/>
    <s v="Cookware"/>
    <s v="Cookware Combo"/>
    <n v="2"/>
    <n v="4375.68"/>
    <n v="8313.7900000000009"/>
    <n v="5"/>
    <n v="931.07"/>
    <n v="173.65"/>
    <x v="2"/>
    <x v="2"/>
  </r>
  <r>
    <s v="ORD-10926"/>
    <x v="214"/>
    <s v="Neha Gupta"/>
    <x v="0"/>
    <x v="2"/>
    <x v="9"/>
    <x v="4"/>
    <s v="Fragrances"/>
    <s v="Musk Perfume"/>
    <n v="1"/>
    <n v="2492.1"/>
    <n v="2367.4899999999998"/>
    <n v="5"/>
    <n v="753.59"/>
    <n v="254.14"/>
    <x v="3"/>
    <x v="2"/>
  </r>
  <r>
    <s v="ORD-10735"/>
    <x v="214"/>
    <s v="Rohan Mehta"/>
    <x v="0"/>
    <x v="2"/>
    <x v="8"/>
    <x v="2"/>
    <s v="Academic"/>
    <s v="Physics Fundamentals"/>
    <n v="4"/>
    <n v="258.86"/>
    <n v="776.58"/>
    <n v="25"/>
    <n v="4.04"/>
    <n v="211.34"/>
    <x v="1"/>
    <x v="0"/>
  </r>
  <r>
    <s v="ORD-10188"/>
    <x v="215"/>
    <s v="Ananya Desai"/>
    <x v="2"/>
    <x v="2"/>
    <x v="11"/>
    <x v="4"/>
    <s v="Haircare"/>
    <s v="Hair Growth Serum"/>
    <n v="2"/>
    <n v="671.82"/>
    <n v="1142.0899999999999"/>
    <n v="15"/>
    <n v="124.95"/>
    <n v="106.02"/>
    <x v="3"/>
    <x v="0"/>
  </r>
  <r>
    <s v="ORD-10156"/>
    <x v="215"/>
    <s v="Arjun Khan"/>
    <x v="2"/>
    <x v="1"/>
    <x v="3"/>
    <x v="5"/>
    <s v="Footwear"/>
    <s v="Casual Sneakers"/>
    <n v="3"/>
    <n v="3433.09"/>
    <n v="8754.3799999999992"/>
    <n v="15"/>
    <n v="1470.85"/>
    <n v="190.73"/>
    <x v="1"/>
    <x v="3"/>
  </r>
  <r>
    <s v="ORD-10030"/>
    <x v="215"/>
    <s v="Ira Chopra"/>
    <x v="0"/>
    <x v="2"/>
    <x v="2"/>
    <x v="2"/>
    <s v="Fiction"/>
    <s v="Beyond the Horizon"/>
    <n v="1"/>
    <n v="383.21"/>
    <n v="287.41000000000003"/>
    <n v="25"/>
    <n v="-7.28"/>
    <n v="68.36"/>
    <x v="3"/>
    <x v="3"/>
  </r>
  <r>
    <s v="ORD-10669"/>
    <x v="215"/>
    <s v="Kabir Agarwal"/>
    <x v="2"/>
    <x v="0"/>
    <x v="4"/>
    <x v="3"/>
    <s v="Apparel"/>
    <s v="Track Pants"/>
    <n v="2"/>
    <n v="8488.01"/>
    <n v="16127.22"/>
    <n v="5"/>
    <n v="3016.7"/>
    <n v="110.42"/>
    <x v="0"/>
    <x v="3"/>
  </r>
  <r>
    <s v="ORD-10221"/>
    <x v="215"/>
    <s v="Anika Iyer"/>
    <x v="0"/>
    <x v="0"/>
    <x v="12"/>
    <x v="3"/>
    <s v="Gym Equipment"/>
    <s v="Adjustable Dumbbells"/>
    <n v="1"/>
    <n v="14387.2"/>
    <n v="12948.48"/>
    <n v="10"/>
    <n v="2260.56"/>
    <n v="272.89"/>
    <x v="1"/>
    <x v="3"/>
  </r>
  <r>
    <s v="ORD-10502"/>
    <x v="215"/>
    <s v="Saanvi Singh"/>
    <x v="2"/>
    <x v="0"/>
    <x v="0"/>
    <x v="5"/>
    <s v="Kids Wear"/>
    <s v="Denim Overalls"/>
    <n v="1"/>
    <n v="1966.55"/>
    <n v="1966.55"/>
    <n v="0"/>
    <n v="358.68"/>
    <n v="44.2"/>
    <x v="4"/>
    <x v="3"/>
  </r>
  <r>
    <s v="ORD-10158"/>
    <x v="216"/>
    <s v="Simran Mishra"/>
    <x v="2"/>
    <x v="2"/>
    <x v="9"/>
    <x v="5"/>
    <s v="Kids Wear"/>
    <s v="Denim Overalls"/>
    <n v="2"/>
    <n v="2712.79"/>
    <n v="4611.74"/>
    <n v="15"/>
    <n v="313.17"/>
    <n v="314.39"/>
    <x v="0"/>
    <x v="0"/>
  </r>
  <r>
    <s v="ORD-10347"/>
    <x v="216"/>
    <s v="Reyansh Gupta"/>
    <x v="2"/>
    <x v="0"/>
    <x v="12"/>
    <x v="3"/>
    <s v="Apparel"/>
    <s v="Sports Jacket"/>
    <n v="1"/>
    <n v="2348.84"/>
    <n v="2113.96"/>
    <n v="10"/>
    <n v="211.01"/>
    <n v="167.02"/>
    <x v="3"/>
    <x v="0"/>
  </r>
  <r>
    <s v="ORD-10278"/>
    <x v="216"/>
    <s v="Pooja Nair"/>
    <x v="2"/>
    <x v="3"/>
    <x v="6"/>
    <x v="4"/>
    <s v="Fragrances"/>
    <s v="Woody Cologne"/>
    <n v="2"/>
    <n v="1109.75"/>
    <n v="2219.5"/>
    <n v="0"/>
    <n v="616.92999999999995"/>
    <n v="356.9"/>
    <x v="2"/>
    <x v="0"/>
  </r>
  <r>
    <s v="ORD-10563"/>
    <x v="217"/>
    <s v="Navya Reddy"/>
    <x v="0"/>
    <x v="3"/>
    <x v="6"/>
    <x v="3"/>
    <s v="Gym Equipment"/>
    <s v="Resistance Bands Set"/>
    <n v="1"/>
    <n v="8392.56"/>
    <n v="6294.42"/>
    <n v="25"/>
    <n v="186.8"/>
    <n v="273.08"/>
    <x v="3"/>
    <x v="2"/>
  </r>
  <r>
    <s v="ORD-10668"/>
    <x v="218"/>
    <s v="Myra Mishra"/>
    <x v="2"/>
    <x v="0"/>
    <x v="12"/>
    <x v="5"/>
    <s v="Kids Wear"/>
    <s v="School Uniform Set"/>
    <n v="1"/>
    <n v="4376.84"/>
    <n v="3939.16"/>
    <n v="10"/>
    <n v="577.63"/>
    <n v="66.260000000000005"/>
    <x v="1"/>
    <x v="0"/>
  </r>
  <r>
    <s v="ORD-10621"/>
    <x v="218"/>
    <s v="Rohan Kapoor"/>
    <x v="0"/>
    <x v="2"/>
    <x v="2"/>
    <x v="0"/>
    <s v="Accessories"/>
    <s v="Screen Guard"/>
    <n v="5"/>
    <n v="34036.81"/>
    <n v="144656.44"/>
    <n v="15"/>
    <n v="-2947.57"/>
    <n v="168.66"/>
    <x v="0"/>
    <x v="3"/>
  </r>
  <r>
    <s v="ORD-10731"/>
    <x v="219"/>
    <s v="Kabir Chopra"/>
    <x v="2"/>
    <x v="2"/>
    <x v="9"/>
    <x v="3"/>
    <s v="Outdoor Gear"/>
    <s v="Water Bottle Steel"/>
    <n v="4"/>
    <n v="3574.63"/>
    <n v="10723.89"/>
    <n v="25"/>
    <n v="-136.35"/>
    <n v="96.99"/>
    <x v="3"/>
    <x v="0"/>
  </r>
  <r>
    <s v="ORD-10056"/>
    <x v="219"/>
    <s v="Priya Mehta"/>
    <x v="0"/>
    <x v="0"/>
    <x v="4"/>
    <x v="0"/>
    <s v="Mobiles"/>
    <s v="Pixel Nano"/>
    <n v="3"/>
    <n v="12013.64"/>
    <n v="27030.69"/>
    <n v="25"/>
    <n v="-301.32"/>
    <n v="238.18"/>
    <x v="0"/>
    <x v="3"/>
  </r>
  <r>
    <s v="ORD-10332"/>
    <x v="220"/>
    <s v="Vivaan Joshi"/>
    <x v="0"/>
    <x v="2"/>
    <x v="2"/>
    <x v="2"/>
    <s v="Non-Fiction"/>
    <s v="The Growth Mindset"/>
    <n v="2"/>
    <n v="1131.1600000000001"/>
    <n v="2036.09"/>
    <n v="10"/>
    <n v="223.16"/>
    <n v="157.52000000000001"/>
    <x v="3"/>
    <x v="3"/>
  </r>
  <r>
    <s v="ORD-10492"/>
    <x v="220"/>
    <s v="Dhruv Kapoor"/>
    <x v="2"/>
    <x v="2"/>
    <x v="8"/>
    <x v="2"/>
    <s v="Non-Fiction"/>
    <s v="History Untold"/>
    <n v="1"/>
    <n v="1061.98"/>
    <n v="902.68"/>
    <n v="15"/>
    <n v="-14.51"/>
    <n v="50.7"/>
    <x v="3"/>
    <x v="3"/>
  </r>
  <r>
    <s v="ORD-10175"/>
    <x v="220"/>
    <s v="Navya Kapoor"/>
    <x v="2"/>
    <x v="0"/>
    <x v="12"/>
    <x v="2"/>
    <s v="Non-Fiction"/>
    <s v="History Untold"/>
    <n v="2"/>
    <n v="979.59"/>
    <n v="1665.3"/>
    <n v="15"/>
    <n v="49.74"/>
    <n v="67.05"/>
    <x v="1"/>
    <x v="3"/>
  </r>
  <r>
    <s v="ORD-10322"/>
    <x v="220"/>
    <s v="Saanvi Sharma"/>
    <x v="1"/>
    <x v="2"/>
    <x v="8"/>
    <x v="1"/>
    <s v="Cookware"/>
    <s v="Pressure Cooker"/>
    <n v="3"/>
    <n v="7945.94"/>
    <n v="21454.04"/>
    <n v="10"/>
    <n v="2303.7600000000002"/>
    <n v="304.86"/>
    <x v="3"/>
    <x v="0"/>
  </r>
  <r>
    <s v="ORD-10491"/>
    <x v="221"/>
    <s v="Aadhya Reddy"/>
    <x v="2"/>
    <x v="0"/>
    <x v="0"/>
    <x v="4"/>
    <s v="Skincare"/>
    <s v="Vitamin C Serum"/>
    <n v="1"/>
    <n v="780.31"/>
    <n v="741.29"/>
    <n v="5"/>
    <n v="182.98"/>
    <n v="266.02"/>
    <x v="3"/>
    <x v="0"/>
  </r>
  <r>
    <s v="ORD-10038"/>
    <x v="222"/>
    <s v="Ishaan Kapoor"/>
    <x v="1"/>
    <x v="3"/>
    <x v="10"/>
    <x v="2"/>
    <s v="Fiction"/>
    <s v="Beyond the Horizon"/>
    <n v="4"/>
    <n v="880.6"/>
    <n v="3346.28"/>
    <n v="5"/>
    <n v="492.49"/>
    <n v="349.67"/>
    <x v="3"/>
    <x v="3"/>
  </r>
  <r>
    <s v="ORD-10917"/>
    <x v="222"/>
    <s v="Ananya Joshi"/>
    <x v="1"/>
    <x v="2"/>
    <x v="8"/>
    <x v="5"/>
    <s v="Women's Wear"/>
    <s v="Silk Saree"/>
    <n v="2"/>
    <n v="2787.67"/>
    <n v="4739.04"/>
    <n v="15"/>
    <n v="382.39"/>
    <n v="281.32"/>
    <x v="4"/>
    <x v="0"/>
  </r>
  <r>
    <s v="ORD-10675"/>
    <x v="222"/>
    <s v="Diya Sharma"/>
    <x v="0"/>
    <x v="3"/>
    <x v="10"/>
    <x v="4"/>
    <s v="Fragrances"/>
    <s v="Citrus Eau de Toilette"/>
    <n v="1"/>
    <n v="919.69"/>
    <n v="873.71"/>
    <n v="5"/>
    <n v="247.07"/>
    <n v="307.14999999999998"/>
    <x v="1"/>
    <x v="2"/>
  </r>
  <r>
    <s v="ORD-10330"/>
    <x v="222"/>
    <s v="Reyansh Singh"/>
    <x v="2"/>
    <x v="2"/>
    <x v="11"/>
    <x v="3"/>
    <s v="Outdoor Gear"/>
    <s v="Water Bottle Steel"/>
    <n v="1"/>
    <n v="11291.73"/>
    <n v="10162.56"/>
    <n v="10"/>
    <n v="1509.63"/>
    <n v="258.95999999999998"/>
    <x v="1"/>
    <x v="0"/>
  </r>
  <r>
    <s v="ORD-10482"/>
    <x v="223"/>
    <s v="Simran Mishra"/>
    <x v="0"/>
    <x v="2"/>
    <x v="11"/>
    <x v="4"/>
    <s v="Skincare"/>
    <s v="Vitamin C Serum"/>
    <n v="2"/>
    <n v="1629.09"/>
    <n v="2769.45"/>
    <n v="15"/>
    <n v="648.71"/>
    <n v="223.94"/>
    <x v="2"/>
    <x v="0"/>
  </r>
  <r>
    <s v="ORD-10328"/>
    <x v="224"/>
    <s v="Priya Chopra"/>
    <x v="2"/>
    <x v="0"/>
    <x v="4"/>
    <x v="2"/>
    <s v="Non-Fiction"/>
    <s v="The Growth Mindset"/>
    <n v="1"/>
    <n v="695.04"/>
    <n v="625.54"/>
    <n v="10"/>
    <n v="87.88"/>
    <n v="183.34"/>
    <x v="3"/>
    <x v="0"/>
  </r>
  <r>
    <s v="ORD-10194"/>
    <x v="224"/>
    <s v="Priya Singh"/>
    <x v="2"/>
    <x v="1"/>
    <x v="13"/>
    <x v="5"/>
    <s v="Men's Wear"/>
    <s v="Classic Shirt"/>
    <n v="1"/>
    <n v="737.26"/>
    <n v="663.53"/>
    <n v="10"/>
    <n v="148.35"/>
    <n v="285.97000000000003"/>
    <x v="1"/>
    <x v="3"/>
  </r>
  <r>
    <s v="ORD-10248"/>
    <x v="224"/>
    <s v="Riya Reddy"/>
    <x v="0"/>
    <x v="1"/>
    <x v="3"/>
    <x v="5"/>
    <s v="Men's Wear"/>
    <s v="Classic Shirt"/>
    <n v="3"/>
    <n v="3222"/>
    <n v="7732.8"/>
    <n v="20"/>
    <n v="695.68"/>
    <n v="75.61"/>
    <x v="2"/>
    <x v="0"/>
  </r>
  <r>
    <s v="ORD-10925"/>
    <x v="224"/>
    <s v="Ishaan Mishra"/>
    <x v="2"/>
    <x v="1"/>
    <x v="3"/>
    <x v="4"/>
    <s v="Makeup"/>
    <s v="Compact Powder"/>
    <n v="1"/>
    <n v="1541.2"/>
    <n v="1541.2"/>
    <n v="0"/>
    <n v="369.72"/>
    <n v="235.11"/>
    <x v="1"/>
    <x v="3"/>
  </r>
  <r>
    <s v="ORD-10245"/>
    <x v="225"/>
    <s v="Karan Verma"/>
    <x v="2"/>
    <x v="2"/>
    <x v="8"/>
    <x v="1"/>
    <s v="Cookware"/>
    <s v="Cookware Combo"/>
    <n v="4"/>
    <n v="10781.09"/>
    <n v="34499.49"/>
    <n v="20"/>
    <n v="1840.45"/>
    <n v="200.17"/>
    <x v="3"/>
    <x v="3"/>
  </r>
  <r>
    <s v="ORD-10548"/>
    <x v="225"/>
    <s v="Krishna Malhotra"/>
    <x v="0"/>
    <x v="1"/>
    <x v="13"/>
    <x v="1"/>
    <s v="Furniture"/>
    <s v="Wooden Chair"/>
    <n v="1"/>
    <n v="1089.8699999999999"/>
    <n v="980.88"/>
    <n v="10"/>
    <n v="122.1"/>
    <n v="31.01"/>
    <x v="1"/>
    <x v="2"/>
  </r>
  <r>
    <s v="ORD-10395"/>
    <x v="225"/>
    <s v="Ira Chopra"/>
    <x v="2"/>
    <x v="1"/>
    <x v="1"/>
    <x v="3"/>
    <s v="Apparel"/>
    <s v="Sports Jacket"/>
    <n v="2"/>
    <n v="5945.42"/>
    <n v="10701.76"/>
    <n v="10"/>
    <n v="1325.58"/>
    <n v="241.8"/>
    <x v="2"/>
    <x v="3"/>
  </r>
  <r>
    <s v="ORD-10997"/>
    <x v="225"/>
    <s v="Navya Rao"/>
    <x v="2"/>
    <x v="2"/>
    <x v="11"/>
    <x v="3"/>
    <s v="Apparel"/>
    <s v="Sports Jacket"/>
    <n v="1"/>
    <n v="9210.9"/>
    <n v="8750.35"/>
    <n v="5"/>
    <n v="1924.39"/>
    <n v="128.82"/>
    <x v="3"/>
    <x v="3"/>
  </r>
  <r>
    <s v="ORD-10936"/>
    <x v="226"/>
    <s v="Myra Patel"/>
    <x v="2"/>
    <x v="2"/>
    <x v="2"/>
    <x v="0"/>
    <s v="Laptops"/>
    <s v="ProBook 14"/>
    <n v="2"/>
    <n v="31659.15"/>
    <n v="47488.73"/>
    <n v="25"/>
    <n v="-1399.58"/>
    <n v="237.58"/>
    <x v="1"/>
    <x v="0"/>
  </r>
  <r>
    <s v="ORD-11000"/>
    <x v="226"/>
    <s v="Aarav Verma"/>
    <x v="2"/>
    <x v="3"/>
    <x v="5"/>
    <x v="0"/>
    <s v="Mobiles"/>
    <s v="Galaxy Note Lite"/>
    <n v="1"/>
    <n v="14495.89"/>
    <n v="10871.92"/>
    <n v="25"/>
    <n v="-466.54"/>
    <n v="72.540000000000006"/>
    <x v="0"/>
    <x v="2"/>
  </r>
  <r>
    <s v="ORD-10688"/>
    <x v="227"/>
    <s v="Aditya Desai"/>
    <x v="0"/>
    <x v="2"/>
    <x v="11"/>
    <x v="3"/>
    <s v="Footwear"/>
    <s v="Running Shoes"/>
    <n v="1"/>
    <n v="9063.8700000000008"/>
    <n v="8157.48"/>
    <n v="10"/>
    <n v="1019.36"/>
    <n v="149.1"/>
    <x v="4"/>
    <x v="3"/>
  </r>
  <r>
    <s v="ORD-10324"/>
    <x v="227"/>
    <s v="Vivaan Agarwal"/>
    <x v="2"/>
    <x v="1"/>
    <x v="3"/>
    <x v="5"/>
    <s v="Kids Wear"/>
    <s v="Denim Overalls"/>
    <n v="2"/>
    <n v="1877.82"/>
    <n v="3380.08"/>
    <n v="10"/>
    <n v="659.31"/>
    <n v="140"/>
    <x v="3"/>
    <x v="3"/>
  </r>
  <r>
    <s v="ORD-10247"/>
    <x v="228"/>
    <s v="Saanvi Desai"/>
    <x v="2"/>
    <x v="0"/>
    <x v="12"/>
    <x v="3"/>
    <s v="Gym Equipment"/>
    <s v="Adjustable Dumbbells"/>
    <n v="1"/>
    <n v="868.94"/>
    <n v="825.49"/>
    <n v="5"/>
    <n v="161.25"/>
    <n v="265.27"/>
    <x v="3"/>
    <x v="2"/>
  </r>
  <r>
    <s v="ORD-10510"/>
    <x v="228"/>
    <s v="Pooja Gupta"/>
    <x v="1"/>
    <x v="0"/>
    <x v="0"/>
    <x v="2"/>
    <s v="Fiction"/>
    <s v="Beyond the Horizon"/>
    <n v="4"/>
    <n v="234.19"/>
    <n v="843.08"/>
    <n v="10"/>
    <n v="34.26"/>
    <n v="188.53"/>
    <x v="0"/>
    <x v="2"/>
  </r>
  <r>
    <s v="ORD-10301"/>
    <x v="229"/>
    <s v="Aarav Desai"/>
    <x v="1"/>
    <x v="0"/>
    <x v="0"/>
    <x v="5"/>
    <s v="Kids Wear"/>
    <s v="Winter Jacket Jr"/>
    <n v="1"/>
    <n v="2452.98"/>
    <n v="2452.98"/>
    <n v="0"/>
    <n v="453.35"/>
    <n v="169.89"/>
    <x v="3"/>
    <x v="3"/>
  </r>
  <r>
    <s v="ORD-10486"/>
    <x v="229"/>
    <s v="Aarav Das"/>
    <x v="0"/>
    <x v="3"/>
    <x v="10"/>
    <x v="3"/>
    <s v="Apparel"/>
    <s v="Track Pants"/>
    <n v="1"/>
    <n v="11237.78"/>
    <n v="10114"/>
    <n v="10"/>
    <n v="1683.12"/>
    <n v="45.41"/>
    <x v="3"/>
    <x v="0"/>
  </r>
  <r>
    <s v="ORD-10932"/>
    <x v="229"/>
    <s v="Neha Patel"/>
    <x v="2"/>
    <x v="3"/>
    <x v="6"/>
    <x v="4"/>
    <s v="Skincare"/>
    <s v="Aloe Moisturizer"/>
    <n v="2"/>
    <n v="340.54"/>
    <n v="612.97"/>
    <n v="10"/>
    <n v="175.93"/>
    <n v="204.78"/>
    <x v="3"/>
    <x v="0"/>
  </r>
  <r>
    <s v="ORD-10963"/>
    <x v="229"/>
    <s v="Pooja Mehta"/>
    <x v="0"/>
    <x v="0"/>
    <x v="12"/>
    <x v="5"/>
    <s v="Footwear"/>
    <s v="Running Shoes"/>
    <n v="5"/>
    <n v="4331.12"/>
    <n v="20572.82"/>
    <n v="5"/>
    <n v="6072.76"/>
    <n v="104.59"/>
    <x v="1"/>
    <x v="2"/>
  </r>
  <r>
    <s v="ORD-10333"/>
    <x v="229"/>
    <s v="Ananya Sharma"/>
    <x v="2"/>
    <x v="2"/>
    <x v="8"/>
    <x v="0"/>
    <s v="Accessories"/>
    <s v="Phone Case Pro"/>
    <n v="1"/>
    <n v="32198.62"/>
    <n v="28978.76"/>
    <n v="10"/>
    <n v="-102.26"/>
    <n v="128.33000000000001"/>
    <x v="0"/>
    <x v="3"/>
  </r>
  <r>
    <s v="ORD-10695"/>
    <x v="230"/>
    <s v="Rohan Khan"/>
    <x v="1"/>
    <x v="0"/>
    <x v="4"/>
    <x v="4"/>
    <s v="Skincare"/>
    <s v="Face Wash Gel"/>
    <n v="2"/>
    <n v="347.21"/>
    <n v="624.98"/>
    <n v="10"/>
    <n v="120.32"/>
    <n v="187.05"/>
    <x v="4"/>
    <x v="0"/>
  </r>
  <r>
    <s v="ORD-10729"/>
    <x v="230"/>
    <s v="Anika Patel"/>
    <x v="0"/>
    <x v="1"/>
    <x v="3"/>
    <x v="1"/>
    <s v="Appliances"/>
    <s v="Microwave Oven"/>
    <n v="1"/>
    <n v="1172.1500000000001"/>
    <n v="937.72"/>
    <n v="20"/>
    <n v="27.82"/>
    <n v="150.15"/>
    <x v="1"/>
    <x v="2"/>
  </r>
  <r>
    <s v="ORD-10226"/>
    <x v="230"/>
    <s v="Meera Gupta"/>
    <x v="2"/>
    <x v="2"/>
    <x v="8"/>
    <x v="1"/>
    <s v="Cookware"/>
    <s v="Steel Kadai"/>
    <n v="1"/>
    <n v="8490.08"/>
    <n v="6367.56"/>
    <n v="25"/>
    <n v="1020.71"/>
    <n v="125.15"/>
    <x v="0"/>
    <x v="0"/>
  </r>
  <r>
    <s v="ORD-10260"/>
    <x v="230"/>
    <s v="Arjun Khan"/>
    <x v="0"/>
    <x v="2"/>
    <x v="11"/>
    <x v="1"/>
    <s v="Cookware"/>
    <s v="Cookware Combo"/>
    <n v="2"/>
    <n v="11211.53"/>
    <n v="16817.3"/>
    <n v="25"/>
    <n v="305.77999999999997"/>
    <n v="77.8"/>
    <x v="2"/>
    <x v="2"/>
  </r>
  <r>
    <s v="ORD-10128"/>
    <x v="230"/>
    <s v="Vivaan Mishra"/>
    <x v="2"/>
    <x v="0"/>
    <x v="0"/>
    <x v="0"/>
    <s v="Mobiles"/>
    <s v="Galaxy Note Lite"/>
    <n v="1"/>
    <n v="26499.43"/>
    <n v="23849.49"/>
    <n v="10"/>
    <n v="1809.63"/>
    <n v="229.07"/>
    <x v="3"/>
    <x v="0"/>
  </r>
  <r>
    <s v="ORD-10127"/>
    <x v="230"/>
    <s v="Rohan Mehta"/>
    <x v="0"/>
    <x v="3"/>
    <x v="7"/>
    <x v="5"/>
    <s v="Kids Wear"/>
    <s v="Denim Overalls"/>
    <n v="1"/>
    <n v="2137.39"/>
    <n v="1923.65"/>
    <n v="10"/>
    <n v="281.87"/>
    <n v="194.48"/>
    <x v="3"/>
    <x v="3"/>
  </r>
  <r>
    <s v="ORD-10725"/>
    <x v="231"/>
    <s v="Sai Mishra"/>
    <x v="2"/>
    <x v="3"/>
    <x v="6"/>
    <x v="0"/>
    <s v="Headphones"/>
    <s v="EchoBuds"/>
    <n v="1"/>
    <n v="14179.25"/>
    <n v="13470.29"/>
    <n v="5"/>
    <n v="681.81"/>
    <n v="200.1"/>
    <x v="3"/>
    <x v="0"/>
  </r>
  <r>
    <s v="ORD-10655"/>
    <x v="232"/>
    <s v="Vihaan Malhotra"/>
    <x v="1"/>
    <x v="2"/>
    <x v="8"/>
    <x v="2"/>
    <s v="Non-Fiction"/>
    <s v="Mind Over Matter"/>
    <n v="1"/>
    <n v="601.08000000000004"/>
    <n v="601.08000000000004"/>
    <n v="0"/>
    <n v="84.73"/>
    <n v="67.92"/>
    <x v="2"/>
    <x v="3"/>
  </r>
  <r>
    <s v="ORD-10748"/>
    <x v="233"/>
    <s v="Sai Patel"/>
    <x v="1"/>
    <x v="2"/>
    <x v="2"/>
    <x v="2"/>
    <s v="Fiction"/>
    <s v="Beyond the Horizon"/>
    <n v="2"/>
    <n v="962.35"/>
    <n v="1539.76"/>
    <n v="20"/>
    <n v="104.67"/>
    <n v="284.31"/>
    <x v="0"/>
    <x v="2"/>
  </r>
  <r>
    <s v="ORD-10903"/>
    <x v="233"/>
    <s v="Krishna Reddy"/>
    <x v="2"/>
    <x v="0"/>
    <x v="4"/>
    <x v="5"/>
    <s v="Footwear"/>
    <s v="Formal Loafers"/>
    <n v="2"/>
    <n v="2668.46"/>
    <n v="4803.2299999999996"/>
    <n v="10"/>
    <n v="582.85"/>
    <n v="73.760000000000005"/>
    <x v="3"/>
    <x v="2"/>
  </r>
  <r>
    <s v="ORD-10535"/>
    <x v="234"/>
    <s v="Ishaan Agarwal"/>
    <x v="1"/>
    <x v="1"/>
    <x v="13"/>
    <x v="3"/>
    <s v="Footwear"/>
    <s v="Sandals"/>
    <n v="2"/>
    <n v="5366.86"/>
    <n v="9123.66"/>
    <n v="15"/>
    <n v="100.68"/>
    <n v="230.75"/>
    <x v="2"/>
    <x v="3"/>
  </r>
  <r>
    <s v="ORD-10208"/>
    <x v="235"/>
    <s v="Ishaan Verma"/>
    <x v="0"/>
    <x v="3"/>
    <x v="7"/>
    <x v="5"/>
    <s v="Women's Wear"/>
    <s v="Ethnic Kurti"/>
    <n v="3"/>
    <n v="874.92"/>
    <n v="2624.76"/>
    <n v="0"/>
    <n v="574.71"/>
    <n v="348.01"/>
    <x v="0"/>
    <x v="0"/>
  </r>
  <r>
    <s v="ORD-10186"/>
    <x v="235"/>
    <s v="Ishaan Rao"/>
    <x v="1"/>
    <x v="2"/>
    <x v="2"/>
    <x v="0"/>
    <s v="Cameras"/>
    <s v="ClickShot X1"/>
    <n v="1"/>
    <n v="6645.31"/>
    <n v="5316.25"/>
    <n v="20"/>
    <n v="7.83"/>
    <n v="349"/>
    <x v="3"/>
    <x v="0"/>
  </r>
  <r>
    <s v="ORD-10915"/>
    <x v="236"/>
    <s v="Neha Rao"/>
    <x v="0"/>
    <x v="1"/>
    <x v="13"/>
    <x v="5"/>
    <s v="Women's Wear"/>
    <s v="Floral Dress"/>
    <n v="1"/>
    <n v="1999.85"/>
    <n v="1599.88"/>
    <n v="20"/>
    <n v="152.76"/>
    <n v="132.41"/>
    <x v="0"/>
    <x v="3"/>
  </r>
  <r>
    <s v="ORD-10503"/>
    <x v="236"/>
    <s v="Aarav Khan"/>
    <x v="0"/>
    <x v="3"/>
    <x v="6"/>
    <x v="5"/>
    <s v="Kids Wear"/>
    <s v="Denim Overalls"/>
    <n v="1"/>
    <n v="665.79"/>
    <n v="599.21"/>
    <n v="10"/>
    <n v="69.319999999999993"/>
    <n v="140.47"/>
    <x v="3"/>
    <x v="0"/>
  </r>
  <r>
    <s v="ORD-10017"/>
    <x v="236"/>
    <s v="Myra Das"/>
    <x v="2"/>
    <x v="3"/>
    <x v="5"/>
    <x v="5"/>
    <s v="Women's Wear"/>
    <s v="Ethnic Kurti"/>
    <n v="1"/>
    <n v="1958.5"/>
    <n v="1958.5"/>
    <n v="0"/>
    <n v="493.18"/>
    <n v="282.86"/>
    <x v="0"/>
    <x v="1"/>
  </r>
  <r>
    <s v="ORD-10375"/>
    <x v="237"/>
    <s v="Saanvi Khan"/>
    <x v="0"/>
    <x v="0"/>
    <x v="4"/>
    <x v="2"/>
    <s v="Fiction"/>
    <s v="The Silent Valley"/>
    <n v="4"/>
    <n v="211.07"/>
    <n v="802.07"/>
    <n v="5"/>
    <n v="73.64"/>
    <n v="113.84"/>
    <x v="1"/>
    <x v="0"/>
  </r>
  <r>
    <s v="ORD-10039"/>
    <x v="238"/>
    <s v="Saanvi Chopra"/>
    <x v="0"/>
    <x v="2"/>
    <x v="2"/>
    <x v="2"/>
    <s v="Comics"/>
    <s v="SuperHero Chronicles"/>
    <n v="3"/>
    <n v="687.7"/>
    <n v="1753.63"/>
    <n v="15"/>
    <n v="162.13"/>
    <n v="115.8"/>
    <x v="4"/>
    <x v="2"/>
  </r>
  <r>
    <s v="ORD-10042"/>
    <x v="238"/>
    <s v="Ayaan Iyer"/>
    <x v="2"/>
    <x v="3"/>
    <x v="6"/>
    <x v="5"/>
    <s v="Men's Wear"/>
    <s v="Slim Fit Jeans"/>
    <n v="1"/>
    <n v="4425.1099999999997"/>
    <n v="3318.83"/>
    <n v="25"/>
    <n v="298.08999999999997"/>
    <n v="195.32"/>
    <x v="3"/>
    <x v="0"/>
  </r>
  <r>
    <s v="ORD-10028"/>
    <x v="239"/>
    <s v="Kabir Desai"/>
    <x v="2"/>
    <x v="0"/>
    <x v="4"/>
    <x v="1"/>
    <s v="Decor"/>
    <s v="Table Lamp"/>
    <n v="1"/>
    <n v="4533.05"/>
    <n v="3626.44"/>
    <n v="20"/>
    <n v="393.22"/>
    <n v="320.19"/>
    <x v="1"/>
    <x v="3"/>
  </r>
  <r>
    <s v="ORD-10359"/>
    <x v="239"/>
    <s v="Vivaan Malhotra"/>
    <x v="2"/>
    <x v="3"/>
    <x v="10"/>
    <x v="3"/>
    <s v="Footwear"/>
    <s v="Casual Sneakers"/>
    <n v="2"/>
    <n v="14621.51"/>
    <n v="29243.02"/>
    <n v="0"/>
    <n v="4747.17"/>
    <n v="259.89999999999998"/>
    <x v="2"/>
    <x v="3"/>
  </r>
  <r>
    <s v="ORD-10067"/>
    <x v="240"/>
    <s v="Rohan Das"/>
    <x v="1"/>
    <x v="0"/>
    <x v="0"/>
    <x v="4"/>
    <s v="Fragrances"/>
    <s v="Floral Mist"/>
    <n v="1"/>
    <n v="1443.46"/>
    <n v="1443.46"/>
    <n v="0"/>
    <n v="502.57"/>
    <n v="342.27"/>
    <x v="3"/>
    <x v="1"/>
  </r>
  <r>
    <s v="ORD-10148"/>
    <x v="240"/>
    <s v="Ayaan Bose"/>
    <x v="0"/>
    <x v="0"/>
    <x v="4"/>
    <x v="0"/>
    <s v="Headphones"/>
    <s v="EchoBuds"/>
    <n v="4"/>
    <n v="12261.24"/>
    <n v="46592.71"/>
    <n v="5"/>
    <n v="3165.26"/>
    <n v="361.96"/>
    <x v="3"/>
    <x v="0"/>
  </r>
  <r>
    <s v="ORD-10137"/>
    <x v="240"/>
    <s v="Riya Das"/>
    <x v="2"/>
    <x v="1"/>
    <x v="13"/>
    <x v="3"/>
    <s v="Outdoor Gear"/>
    <s v="Camping Tent"/>
    <n v="2"/>
    <n v="2649.72"/>
    <n v="4769.5"/>
    <n v="10"/>
    <n v="710.21"/>
    <n v="216.71"/>
    <x v="4"/>
    <x v="0"/>
  </r>
  <r>
    <s v="ORD-10513"/>
    <x v="240"/>
    <s v="Diya Nair"/>
    <x v="2"/>
    <x v="0"/>
    <x v="12"/>
    <x v="5"/>
    <s v="Men's Wear"/>
    <s v="Cotton Kurta"/>
    <n v="1"/>
    <n v="896.98"/>
    <n v="717.58"/>
    <n v="20"/>
    <n v="70.569999999999993"/>
    <n v="124.41"/>
    <x v="3"/>
    <x v="0"/>
  </r>
  <r>
    <s v="ORD-10294"/>
    <x v="241"/>
    <s v="Kabir Chopra"/>
    <x v="2"/>
    <x v="1"/>
    <x v="3"/>
    <x v="1"/>
    <s v="Furniture"/>
    <s v="Study Table"/>
    <n v="1"/>
    <n v="10149.25"/>
    <n v="7611.94"/>
    <n v="25"/>
    <n v="443.12"/>
    <n v="85.74"/>
    <x v="3"/>
    <x v="3"/>
  </r>
  <r>
    <s v="ORD-10942"/>
    <x v="242"/>
    <s v="Simran Singh"/>
    <x v="2"/>
    <x v="2"/>
    <x v="11"/>
    <x v="0"/>
    <s v="Laptops"/>
    <s v="ProBook 14"/>
    <n v="1"/>
    <n v="10862.22"/>
    <n v="9776"/>
    <n v="10"/>
    <n v="249.6"/>
    <n v="168.49"/>
    <x v="3"/>
    <x v="0"/>
  </r>
  <r>
    <s v="ORD-10990"/>
    <x v="242"/>
    <s v="Diya Bose"/>
    <x v="2"/>
    <x v="3"/>
    <x v="6"/>
    <x v="1"/>
    <s v="Decor"/>
    <s v="LED Fairy Lights"/>
    <n v="2"/>
    <n v="1106.46"/>
    <n v="2102.27"/>
    <n v="5"/>
    <n v="282.61"/>
    <n v="54.9"/>
    <x v="1"/>
    <x v="0"/>
  </r>
  <r>
    <s v="ORD-10558"/>
    <x v="242"/>
    <s v="Dhruv Bose"/>
    <x v="2"/>
    <x v="2"/>
    <x v="11"/>
    <x v="4"/>
    <s v="Haircare"/>
    <s v="Hair Mask Deep Repair"/>
    <n v="2"/>
    <n v="1463"/>
    <n v="2340.8000000000002"/>
    <n v="20"/>
    <n v="293.05"/>
    <n v="247.27"/>
    <x v="1"/>
    <x v="0"/>
  </r>
  <r>
    <s v="ORD-10614"/>
    <x v="243"/>
    <s v="Krishna Reddy"/>
    <x v="0"/>
    <x v="1"/>
    <x v="3"/>
    <x v="2"/>
    <s v="Fiction"/>
    <s v="The Silent Valley"/>
    <n v="1"/>
    <n v="608.85"/>
    <n v="517.52"/>
    <n v="15"/>
    <n v="47.19"/>
    <n v="219.94"/>
    <x v="3"/>
    <x v="3"/>
  </r>
  <r>
    <s v="ORD-10074"/>
    <x v="243"/>
    <s v="Kiara Gupta"/>
    <x v="2"/>
    <x v="1"/>
    <x v="13"/>
    <x v="3"/>
    <s v="Apparel"/>
    <s v="Sports T-Shirt"/>
    <n v="5"/>
    <n v="6188.09"/>
    <n v="24752.36"/>
    <n v="20"/>
    <n v="2722.63"/>
    <n v="287.07"/>
    <x v="3"/>
    <x v="1"/>
  </r>
  <r>
    <s v="ORD-10111"/>
    <x v="244"/>
    <s v="Ishaan Reddy"/>
    <x v="2"/>
    <x v="2"/>
    <x v="8"/>
    <x v="0"/>
    <s v="Headphones"/>
    <s v="SoundWave Pro"/>
    <n v="1"/>
    <n v="30270.9"/>
    <n v="25730.26"/>
    <n v="15"/>
    <n v="-1611.81"/>
    <n v="90.2"/>
    <x v="3"/>
    <x v="0"/>
  </r>
  <r>
    <s v="ORD-10604"/>
    <x v="245"/>
    <s v="Raj Sharma"/>
    <x v="2"/>
    <x v="3"/>
    <x v="7"/>
    <x v="5"/>
    <s v="Women's Wear"/>
    <s v="Denim Jacket"/>
    <n v="2"/>
    <n v="4106.97"/>
    <n v="7803.24"/>
    <n v="5"/>
    <n v="1578.79"/>
    <n v="97.44"/>
    <x v="1"/>
    <x v="3"/>
  </r>
  <r>
    <s v="ORD-10497"/>
    <x v="246"/>
    <s v="Rohan Gupta"/>
    <x v="1"/>
    <x v="0"/>
    <x v="12"/>
    <x v="2"/>
    <s v="Non-Fiction"/>
    <s v="Modern Economics"/>
    <n v="2"/>
    <n v="681.58"/>
    <n v="1295"/>
    <n v="5"/>
    <n v="115.08"/>
    <n v="126.41"/>
    <x v="1"/>
    <x v="1"/>
  </r>
  <r>
    <s v="ORD-10952"/>
    <x v="247"/>
    <s v="Karan Khan"/>
    <x v="1"/>
    <x v="3"/>
    <x v="10"/>
    <x v="5"/>
    <s v="Men's Wear"/>
    <s v="Casual Blazer"/>
    <n v="1"/>
    <n v="503.12"/>
    <n v="402.5"/>
    <n v="20"/>
    <n v="35"/>
    <n v="292.56"/>
    <x v="1"/>
    <x v="3"/>
  </r>
  <r>
    <s v="ORD-10216"/>
    <x v="248"/>
    <s v="Saanvi Iyer"/>
    <x v="2"/>
    <x v="3"/>
    <x v="6"/>
    <x v="0"/>
    <s v="Cameras"/>
    <s v="ActionCam 4K"/>
    <n v="5"/>
    <n v="11068.08"/>
    <n v="55340.4"/>
    <n v="0"/>
    <n v="5871.64"/>
    <n v="289.47000000000003"/>
    <x v="4"/>
    <x v="2"/>
  </r>
  <r>
    <s v="ORD-10258"/>
    <x v="248"/>
    <s v="Kabir Chopra"/>
    <x v="0"/>
    <x v="2"/>
    <x v="11"/>
    <x v="0"/>
    <s v="Accessories"/>
    <s v="Phone Case Pro"/>
    <n v="2"/>
    <n v="50954.14"/>
    <n v="86622.04"/>
    <n v="15"/>
    <n v="1534.97"/>
    <n v="79.23"/>
    <x v="2"/>
    <x v="0"/>
  </r>
  <r>
    <s v="ORD-10754"/>
    <x v="248"/>
    <s v="Meera Bose"/>
    <x v="2"/>
    <x v="3"/>
    <x v="7"/>
    <x v="0"/>
    <s v="Accessories"/>
    <s v="FastCharge Cable"/>
    <n v="3"/>
    <n v="30919.68"/>
    <n v="88121.09"/>
    <n v="5"/>
    <n v="8867.0499999999993"/>
    <n v="242.77"/>
    <x v="2"/>
    <x v="2"/>
  </r>
  <r>
    <s v="ORD-10687"/>
    <x v="249"/>
    <s v="Karan Reddy"/>
    <x v="2"/>
    <x v="0"/>
    <x v="4"/>
    <x v="4"/>
    <s v="Fragrances"/>
    <s v="Citrus Eau de Toilette"/>
    <n v="3"/>
    <n v="822.85"/>
    <n v="2468.5500000000002"/>
    <n v="0"/>
    <n v="901.64"/>
    <n v="254.15"/>
    <x v="3"/>
    <x v="2"/>
  </r>
  <r>
    <s v="ORD-10751"/>
    <x v="249"/>
    <s v="Dhruv Chopra"/>
    <x v="2"/>
    <x v="0"/>
    <x v="4"/>
    <x v="0"/>
    <s v="Headphones"/>
    <s v="BassBoost 300"/>
    <n v="2"/>
    <n v="57861.94"/>
    <n v="109937.69"/>
    <n v="5"/>
    <n v="11382.62"/>
    <n v="363.77"/>
    <x v="1"/>
    <x v="0"/>
  </r>
  <r>
    <s v="ORD-10409"/>
    <x v="250"/>
    <s v="Priya Chopra"/>
    <x v="2"/>
    <x v="0"/>
    <x v="12"/>
    <x v="2"/>
    <s v="Non-Fiction"/>
    <s v="History Untold"/>
    <n v="1"/>
    <n v="1071"/>
    <n v="963.9"/>
    <n v="10"/>
    <n v="29.25"/>
    <n v="208.57"/>
    <x v="0"/>
    <x v="3"/>
  </r>
  <r>
    <s v="ORD-10812"/>
    <x v="250"/>
    <s v="Pooja Nair"/>
    <x v="2"/>
    <x v="3"/>
    <x v="5"/>
    <x v="1"/>
    <s v="Decor"/>
    <s v="Ceramic Vase"/>
    <n v="1"/>
    <n v="2263.88"/>
    <n v="2263.88"/>
    <n v="0"/>
    <n v="356.14"/>
    <n v="37.99"/>
    <x v="1"/>
    <x v="3"/>
  </r>
  <r>
    <s v="ORD-10971"/>
    <x v="250"/>
    <s v="Aditya Joshi"/>
    <x v="2"/>
    <x v="0"/>
    <x v="0"/>
    <x v="0"/>
    <s v="Mobiles"/>
    <s v="OnePlus Edge"/>
    <n v="1"/>
    <n v="14456.58"/>
    <n v="14456.58"/>
    <n v="0"/>
    <n v="770.05"/>
    <n v="136.24"/>
    <x v="2"/>
    <x v="2"/>
  </r>
  <r>
    <s v="ORD-10673"/>
    <x v="250"/>
    <s v="Anika Malhotra"/>
    <x v="1"/>
    <x v="2"/>
    <x v="11"/>
    <x v="0"/>
    <s v="Headphones"/>
    <s v="SoundWave Pro"/>
    <n v="1"/>
    <n v="36505.58"/>
    <n v="34680.300000000003"/>
    <n v="5"/>
    <n v="4811.08"/>
    <n v="149.44"/>
    <x v="0"/>
    <x v="0"/>
  </r>
  <r>
    <s v="ORD-10931"/>
    <x v="250"/>
    <s v="Pooja Patel"/>
    <x v="2"/>
    <x v="1"/>
    <x v="3"/>
    <x v="2"/>
    <s v="Fiction"/>
    <s v="Whispering Pines"/>
    <n v="1"/>
    <n v="512.91"/>
    <n v="487.26"/>
    <n v="5"/>
    <n v="55.03"/>
    <n v="54.55"/>
    <x v="1"/>
    <x v="3"/>
  </r>
  <r>
    <s v="ORD-10144"/>
    <x v="251"/>
    <s v="Rohan Mishra"/>
    <x v="2"/>
    <x v="0"/>
    <x v="12"/>
    <x v="1"/>
    <s v="Cookware"/>
    <s v="Non-Stick Pan Set"/>
    <n v="3"/>
    <n v="6947.72"/>
    <n v="16674.53"/>
    <n v="20"/>
    <n v="997.72"/>
    <n v="181.21"/>
    <x v="1"/>
    <x v="1"/>
  </r>
  <r>
    <s v="ORD-10965"/>
    <x v="251"/>
    <s v="Aadhya Nair"/>
    <x v="1"/>
    <x v="3"/>
    <x v="10"/>
    <x v="2"/>
    <s v="Comics"/>
    <s v="Manga Vol. 1"/>
    <n v="2"/>
    <n v="231.05"/>
    <n v="415.89"/>
    <n v="10"/>
    <n v="35.53"/>
    <n v="84.45"/>
    <x v="2"/>
    <x v="1"/>
  </r>
  <r>
    <s v="ORD-10531"/>
    <x v="251"/>
    <s v="Meera Das"/>
    <x v="2"/>
    <x v="3"/>
    <x v="7"/>
    <x v="2"/>
    <s v="Comics"/>
    <s v="SuperHero Chronicles"/>
    <n v="5"/>
    <n v="242.61"/>
    <n v="1031.0899999999999"/>
    <n v="15"/>
    <n v="6.43"/>
    <n v="99.9"/>
    <x v="0"/>
    <x v="0"/>
  </r>
  <r>
    <s v="ORD-10924"/>
    <x v="251"/>
    <s v="Vihaan Rao"/>
    <x v="2"/>
    <x v="0"/>
    <x v="12"/>
    <x v="4"/>
    <s v="Skincare"/>
    <s v="Aloe Moisturizer"/>
    <n v="3"/>
    <n v="1611.37"/>
    <n v="4108.99"/>
    <n v="15"/>
    <n v="936.13"/>
    <n v="347.34"/>
    <x v="4"/>
    <x v="0"/>
  </r>
  <r>
    <s v="ORD-10287"/>
    <x v="252"/>
    <s v="Myra Mishra"/>
    <x v="0"/>
    <x v="0"/>
    <x v="0"/>
    <x v="0"/>
    <s v="Headphones"/>
    <s v="StudioMax"/>
    <n v="2"/>
    <n v="60865.88"/>
    <n v="115645.17"/>
    <n v="5"/>
    <n v="8940.81"/>
    <n v="295.7"/>
    <x v="3"/>
    <x v="2"/>
  </r>
  <r>
    <s v="ORD-10442"/>
    <x v="253"/>
    <s v="Sai Malhotra"/>
    <x v="0"/>
    <x v="3"/>
    <x v="5"/>
    <x v="1"/>
    <s v="Furniture"/>
    <s v="Bookshelf Unit"/>
    <n v="1"/>
    <n v="11675.26"/>
    <n v="8756.44"/>
    <n v="25"/>
    <n v="510.96"/>
    <n v="224.73"/>
    <x v="1"/>
    <x v="0"/>
  </r>
  <r>
    <s v="ORD-10228"/>
    <x v="254"/>
    <s v="Vivaan Agarwal"/>
    <x v="0"/>
    <x v="2"/>
    <x v="2"/>
    <x v="1"/>
    <s v="Appliances"/>
    <s v="Electric Kettle"/>
    <n v="1"/>
    <n v="10196.77"/>
    <n v="9686.93"/>
    <n v="5"/>
    <n v="1278.95"/>
    <n v="132.11000000000001"/>
    <x v="0"/>
    <x v="3"/>
  </r>
  <r>
    <s v="ORD-10116"/>
    <x v="255"/>
    <s v="Pooja Chopra"/>
    <x v="2"/>
    <x v="3"/>
    <x v="6"/>
    <x v="1"/>
    <s v="Decor"/>
    <s v="Wall Art Frame"/>
    <n v="3"/>
    <n v="9802.42"/>
    <n v="27936.9"/>
    <n v="5"/>
    <n v="5639.28"/>
    <n v="375.93"/>
    <x v="0"/>
    <x v="3"/>
  </r>
  <r>
    <s v="ORD-10785"/>
    <x v="256"/>
    <s v="Kabir Reddy"/>
    <x v="1"/>
    <x v="2"/>
    <x v="8"/>
    <x v="2"/>
    <s v="Academic"/>
    <s v="Calculus Made Easy"/>
    <n v="2"/>
    <n v="892.01"/>
    <n v="1516.42"/>
    <n v="15"/>
    <n v="9.92"/>
    <n v="198.12"/>
    <x v="0"/>
    <x v="3"/>
  </r>
  <r>
    <s v="ORD-10483"/>
    <x v="256"/>
    <s v="Dhruv Mishra"/>
    <x v="2"/>
    <x v="3"/>
    <x v="6"/>
    <x v="4"/>
    <s v="Fragrances"/>
    <s v="Floral Mist"/>
    <n v="2"/>
    <n v="1425.15"/>
    <n v="2850.3"/>
    <n v="0"/>
    <n v="687.42"/>
    <n v="114.9"/>
    <x v="4"/>
    <x v="1"/>
  </r>
  <r>
    <s v="ORD-10526"/>
    <x v="257"/>
    <s v="Vivaan Agarwal"/>
    <x v="1"/>
    <x v="0"/>
    <x v="0"/>
    <x v="3"/>
    <s v="Gym Equipment"/>
    <s v="Resistance Bands Set"/>
    <n v="1"/>
    <n v="14669.67"/>
    <n v="12469.22"/>
    <n v="15"/>
    <n v="1460.06"/>
    <n v="200.21"/>
    <x v="3"/>
    <x v="1"/>
  </r>
  <r>
    <s v="ORD-10338"/>
    <x v="257"/>
    <s v="Neha Bose"/>
    <x v="1"/>
    <x v="2"/>
    <x v="2"/>
    <x v="1"/>
    <s v="Decor"/>
    <s v="Table Lamp"/>
    <n v="1"/>
    <n v="6507.39"/>
    <n v="6182.02"/>
    <n v="5"/>
    <n v="880.83"/>
    <n v="65.94"/>
    <x v="3"/>
    <x v="0"/>
  </r>
  <r>
    <s v="ORD-10157"/>
    <x v="257"/>
    <s v="Ira Verma"/>
    <x v="2"/>
    <x v="3"/>
    <x v="6"/>
    <x v="5"/>
    <s v="Men's Wear"/>
    <s v="Classic Shirt"/>
    <n v="2"/>
    <n v="4461.8999999999996"/>
    <n v="7139.04"/>
    <n v="20"/>
    <n v="532.42999999999995"/>
    <n v="341.46"/>
    <x v="1"/>
    <x v="0"/>
  </r>
  <r>
    <s v="ORD-10784"/>
    <x v="257"/>
    <s v="Pooja Agarwal"/>
    <x v="2"/>
    <x v="2"/>
    <x v="11"/>
    <x v="4"/>
    <s v="Makeup"/>
    <s v="Compact Powder"/>
    <n v="1"/>
    <n v="390.29"/>
    <n v="390.29"/>
    <n v="0"/>
    <n v="114.88"/>
    <n v="185.05"/>
    <x v="1"/>
    <x v="2"/>
  </r>
  <r>
    <s v="ORD-10029"/>
    <x v="258"/>
    <s v="Ira Joshi"/>
    <x v="2"/>
    <x v="1"/>
    <x v="13"/>
    <x v="3"/>
    <s v="Apparel"/>
    <s v="Sports Jacket"/>
    <n v="4"/>
    <n v="9838.66"/>
    <n v="39354.639999999999"/>
    <n v="0"/>
    <n v="6158.4"/>
    <n v="245.91"/>
    <x v="1"/>
    <x v="3"/>
  </r>
  <r>
    <s v="ORD-10146"/>
    <x v="258"/>
    <s v="Reyansh Reddy"/>
    <x v="2"/>
    <x v="1"/>
    <x v="3"/>
    <x v="4"/>
    <s v="Fragrances"/>
    <s v="Floral Mist"/>
    <n v="3"/>
    <n v="745.62"/>
    <n v="2013.17"/>
    <n v="10"/>
    <n v="635.1"/>
    <n v="92.57"/>
    <x v="3"/>
    <x v="0"/>
  </r>
  <r>
    <s v="ORD-10591"/>
    <x v="259"/>
    <s v="Ishaan Bose"/>
    <x v="2"/>
    <x v="0"/>
    <x v="4"/>
    <x v="4"/>
    <s v="Skincare"/>
    <s v="Aloe Moisturizer"/>
    <n v="2"/>
    <n v="1393.77"/>
    <n v="2369.41"/>
    <n v="15"/>
    <n v="310.3"/>
    <n v="292.68"/>
    <x v="1"/>
    <x v="0"/>
  </r>
  <r>
    <s v="ORD-10454"/>
    <x v="260"/>
    <s v="Kiara Iyer"/>
    <x v="1"/>
    <x v="1"/>
    <x v="1"/>
    <x v="3"/>
    <s v="Gym Equipment"/>
    <s v="Treadmill Compact"/>
    <n v="1"/>
    <n v="5923.15"/>
    <n v="5034.68"/>
    <n v="15"/>
    <n v="552.46"/>
    <n v="278.2"/>
    <x v="0"/>
    <x v="3"/>
  </r>
  <r>
    <s v="ORD-10018"/>
    <x v="260"/>
    <s v="Reyansh Mehta"/>
    <x v="2"/>
    <x v="1"/>
    <x v="13"/>
    <x v="2"/>
    <s v="Comics"/>
    <s v="Manga Vol. 1"/>
    <n v="1"/>
    <n v="227.75"/>
    <n v="193.59"/>
    <n v="15"/>
    <n v="2.84"/>
    <n v="144.71"/>
    <x v="1"/>
    <x v="0"/>
  </r>
  <r>
    <s v="ORD-10520"/>
    <x v="261"/>
    <s v="Aadhya Iyer"/>
    <x v="2"/>
    <x v="1"/>
    <x v="3"/>
    <x v="0"/>
    <s v="Headphones"/>
    <s v="StudioMax"/>
    <n v="1"/>
    <n v="45120.24"/>
    <n v="31584.17"/>
    <n v="30"/>
    <n v="-677.09"/>
    <n v="149.86000000000001"/>
    <x v="3"/>
    <x v="1"/>
  </r>
  <r>
    <s v="ORD-10560"/>
    <x v="261"/>
    <s v="Meera Mehta"/>
    <x v="1"/>
    <x v="3"/>
    <x v="6"/>
    <x v="5"/>
    <s v="Footwear"/>
    <s v="Running Shoes"/>
    <n v="1"/>
    <n v="3269.76"/>
    <n v="2615.81"/>
    <n v="20"/>
    <n v="365.29"/>
    <n v="46.07"/>
    <x v="3"/>
    <x v="0"/>
  </r>
  <r>
    <s v="ORD-10370"/>
    <x v="262"/>
    <s v="Neha Iyer"/>
    <x v="2"/>
    <x v="0"/>
    <x v="4"/>
    <x v="2"/>
    <s v="Comics"/>
    <s v="Manga Vol. 1"/>
    <n v="1"/>
    <n v="483.41"/>
    <n v="459.24"/>
    <n v="5"/>
    <n v="48.22"/>
    <n v="334.9"/>
    <x v="3"/>
    <x v="3"/>
  </r>
  <r>
    <s v="ORD-10302"/>
    <x v="262"/>
    <s v="Sai Nair"/>
    <x v="2"/>
    <x v="2"/>
    <x v="2"/>
    <x v="5"/>
    <s v="Footwear"/>
    <s v="Formal Loafers"/>
    <n v="3"/>
    <n v="2170.2800000000002"/>
    <n v="6510.84"/>
    <n v="0"/>
    <n v="1386.15"/>
    <n v="224.74"/>
    <x v="1"/>
    <x v="2"/>
  </r>
  <r>
    <s v="ORD-10354"/>
    <x v="262"/>
    <s v="Vivaan Malhotra"/>
    <x v="0"/>
    <x v="1"/>
    <x v="3"/>
    <x v="3"/>
    <s v="Apparel"/>
    <s v="Sports T-Shirt"/>
    <n v="2"/>
    <n v="7042.98"/>
    <n v="11973.07"/>
    <n v="15"/>
    <n v="1816.03"/>
    <n v="105.9"/>
    <x v="1"/>
    <x v="0"/>
  </r>
  <r>
    <s v="ORD-10946"/>
    <x v="263"/>
    <s v="Reyansh Malhotra"/>
    <x v="2"/>
    <x v="2"/>
    <x v="11"/>
    <x v="3"/>
    <s v="Outdoor Gear"/>
    <s v="Camping Tent"/>
    <n v="3"/>
    <n v="13170.71"/>
    <n v="35560.92"/>
    <n v="10"/>
    <n v="6576.37"/>
    <n v="370.7"/>
    <x v="3"/>
    <x v="0"/>
  </r>
  <r>
    <s v="ORD-10954"/>
    <x v="263"/>
    <s v="Rohan Joshi"/>
    <x v="2"/>
    <x v="3"/>
    <x v="7"/>
    <x v="3"/>
    <s v="Apparel"/>
    <s v="Compression Shorts"/>
    <n v="2"/>
    <n v="9600.8700000000008"/>
    <n v="18241.650000000001"/>
    <n v="5"/>
    <n v="1518.68"/>
    <n v="296.01"/>
    <x v="0"/>
    <x v="0"/>
  </r>
  <r>
    <s v="ORD-10802"/>
    <x v="263"/>
    <s v="Meera Verma"/>
    <x v="2"/>
    <x v="0"/>
    <x v="12"/>
    <x v="5"/>
    <s v="Kids Wear"/>
    <s v="School Uniform Set"/>
    <n v="1"/>
    <n v="1405.64"/>
    <n v="1405.64"/>
    <n v="0"/>
    <n v="191.98"/>
    <n v="30.21"/>
    <x v="0"/>
    <x v="2"/>
  </r>
  <r>
    <s v="ORD-10852"/>
    <x v="264"/>
    <s v="Ananya Reddy"/>
    <x v="2"/>
    <x v="2"/>
    <x v="11"/>
    <x v="3"/>
    <s v="Gym Equipment"/>
    <s v="Treadmill Compact"/>
    <n v="2"/>
    <n v="3853.44"/>
    <n v="7706.88"/>
    <n v="0"/>
    <n v="1459.96"/>
    <n v="208.94"/>
    <x v="0"/>
    <x v="3"/>
  </r>
  <r>
    <s v="ORD-10699"/>
    <x v="265"/>
    <s v="Arjun Agarwal"/>
    <x v="2"/>
    <x v="3"/>
    <x v="6"/>
    <x v="5"/>
    <s v="Men's Wear"/>
    <s v="Casual Blazer"/>
    <n v="5"/>
    <n v="4180.91"/>
    <n v="15678.41"/>
    <n v="25"/>
    <n v="1130.79"/>
    <n v="341.69"/>
    <x v="1"/>
    <x v="2"/>
  </r>
  <r>
    <s v="ORD-10035"/>
    <x v="265"/>
    <s v="Kabir Joshi"/>
    <x v="1"/>
    <x v="2"/>
    <x v="9"/>
    <x v="2"/>
    <s v="Non-Fiction"/>
    <s v="Modern Economics"/>
    <n v="2"/>
    <n v="401.54"/>
    <n v="602.30999999999995"/>
    <n v="25"/>
    <n v="-1.05"/>
    <n v="360.41"/>
    <x v="2"/>
    <x v="3"/>
  </r>
  <r>
    <s v="ORD-10118"/>
    <x v="265"/>
    <s v="Kabir Mehta"/>
    <x v="2"/>
    <x v="0"/>
    <x v="12"/>
    <x v="0"/>
    <s v="Mobiles"/>
    <s v="iSmart X2"/>
    <n v="2"/>
    <n v="2072.27"/>
    <n v="3937.31"/>
    <n v="5"/>
    <n v="519.29999999999995"/>
    <n v="69.11"/>
    <x v="3"/>
    <x v="3"/>
  </r>
  <r>
    <s v="ORD-10059"/>
    <x v="266"/>
    <s v="Ananya Reddy"/>
    <x v="1"/>
    <x v="3"/>
    <x v="10"/>
    <x v="1"/>
    <s v="Appliances"/>
    <s v="Air Fryer"/>
    <n v="1"/>
    <n v="4141.59"/>
    <n v="3520.35"/>
    <n v="15"/>
    <n v="396"/>
    <n v="124.88"/>
    <x v="0"/>
    <x v="1"/>
  </r>
  <r>
    <s v="ORD-10200"/>
    <x v="266"/>
    <s v="Raj Bose"/>
    <x v="0"/>
    <x v="1"/>
    <x v="13"/>
    <x v="4"/>
    <s v="Skincare"/>
    <s v="Vitamin C Serum"/>
    <n v="2"/>
    <n v="1035.04"/>
    <n v="1656.06"/>
    <n v="20"/>
    <n v="286.66000000000003"/>
    <n v="55.95"/>
    <x v="4"/>
    <x v="3"/>
  </r>
  <r>
    <s v="ORD-10004"/>
    <x v="266"/>
    <s v="Kabir Singh"/>
    <x v="0"/>
    <x v="0"/>
    <x v="0"/>
    <x v="5"/>
    <s v="Men's Wear"/>
    <s v="Classic Shirt"/>
    <n v="5"/>
    <n v="1063.6600000000001"/>
    <n v="4254.6400000000003"/>
    <n v="20"/>
    <n v="460.39"/>
    <n v="148.69"/>
    <x v="2"/>
    <x v="3"/>
  </r>
  <r>
    <s v="ORD-10800"/>
    <x v="267"/>
    <s v="Myra Mehta"/>
    <x v="0"/>
    <x v="1"/>
    <x v="1"/>
    <x v="5"/>
    <s v="Kids Wear"/>
    <s v="School Uniform Set"/>
    <n v="3"/>
    <n v="4054.74"/>
    <n v="12164.22"/>
    <n v="0"/>
    <n v="2070.3200000000002"/>
    <n v="167.99"/>
    <x v="2"/>
    <x v="0"/>
  </r>
  <r>
    <s v="ORD-10271"/>
    <x v="267"/>
    <s v="Dhruv Das"/>
    <x v="2"/>
    <x v="2"/>
    <x v="9"/>
    <x v="4"/>
    <s v="Fragrances"/>
    <s v="Musk Perfume"/>
    <n v="1"/>
    <n v="917.49"/>
    <n v="779.87"/>
    <n v="15"/>
    <n v="193.54"/>
    <n v="268.67"/>
    <x v="2"/>
    <x v="2"/>
  </r>
  <r>
    <s v="ORD-10009"/>
    <x v="268"/>
    <s v="Neha Khan"/>
    <x v="0"/>
    <x v="0"/>
    <x v="0"/>
    <x v="0"/>
    <s v="Mobiles"/>
    <s v="OnePlus Edge"/>
    <n v="1"/>
    <n v="61312.47"/>
    <n v="58246.85"/>
    <n v="5"/>
    <n v="-1825.22"/>
    <n v="35.11"/>
    <x v="1"/>
    <x v="0"/>
  </r>
  <r>
    <s v="ORD-10124"/>
    <x v="269"/>
    <s v="Diya Desai"/>
    <x v="0"/>
    <x v="2"/>
    <x v="11"/>
    <x v="5"/>
    <s v="Footwear"/>
    <s v="Running Shoes"/>
    <n v="2"/>
    <n v="671.31"/>
    <n v="939.83"/>
    <n v="30"/>
    <n v="79.55"/>
    <n v="298.38"/>
    <x v="1"/>
    <x v="2"/>
  </r>
  <r>
    <s v="ORD-10705"/>
    <x v="269"/>
    <s v="Kiara Das"/>
    <x v="1"/>
    <x v="2"/>
    <x v="11"/>
    <x v="1"/>
    <s v="Furniture"/>
    <s v="Bookshelf Unit"/>
    <n v="1"/>
    <n v="4190.21"/>
    <n v="3980.7"/>
    <n v="5"/>
    <n v="614.20000000000005"/>
    <n v="331.16"/>
    <x v="3"/>
    <x v="0"/>
  </r>
  <r>
    <s v="ORD-10234"/>
    <x v="269"/>
    <s v="Ananya Iyer"/>
    <x v="1"/>
    <x v="1"/>
    <x v="1"/>
    <x v="0"/>
    <s v="Headphones"/>
    <s v="SilentPods"/>
    <n v="3"/>
    <n v="47918.94"/>
    <n v="136568.98000000001"/>
    <n v="5"/>
    <n v="5768.51"/>
    <n v="61.07"/>
    <x v="3"/>
    <x v="3"/>
  </r>
  <r>
    <s v="ORD-10609"/>
    <x v="270"/>
    <s v="Simran Das"/>
    <x v="2"/>
    <x v="2"/>
    <x v="11"/>
    <x v="5"/>
    <s v="Kids Wear"/>
    <s v="School Uniform Set"/>
    <n v="2"/>
    <n v="1453.76"/>
    <n v="2762.14"/>
    <n v="5"/>
    <n v="499.89"/>
    <n v="219.9"/>
    <x v="1"/>
    <x v="2"/>
  </r>
  <r>
    <s v="ORD-10795"/>
    <x v="270"/>
    <s v="Ira Desai"/>
    <x v="1"/>
    <x v="2"/>
    <x v="8"/>
    <x v="4"/>
    <s v="Makeup"/>
    <s v="Eyeliner Pro"/>
    <n v="3"/>
    <n v="1505.77"/>
    <n v="4291.4399999999996"/>
    <n v="5"/>
    <n v="997.5"/>
    <n v="266.32"/>
    <x v="3"/>
    <x v="2"/>
  </r>
  <r>
    <s v="ORD-10373"/>
    <x v="270"/>
    <s v="Aarav Chopra"/>
    <x v="0"/>
    <x v="3"/>
    <x v="6"/>
    <x v="4"/>
    <s v="Haircare"/>
    <s v="Conditioner Pro"/>
    <n v="1"/>
    <n v="200.76"/>
    <n v="180.68"/>
    <n v="10"/>
    <n v="40.19"/>
    <n v="146.74"/>
    <x v="1"/>
    <x v="0"/>
  </r>
  <r>
    <s v="ORD-10817"/>
    <x v="270"/>
    <s v="Meera Mishra"/>
    <x v="2"/>
    <x v="2"/>
    <x v="2"/>
    <x v="0"/>
    <s v="Headphones"/>
    <s v="SoundWave Pro"/>
    <n v="2"/>
    <n v="24543.51"/>
    <n v="39269.620000000003"/>
    <n v="20"/>
    <n v="1417.45"/>
    <n v="182.96"/>
    <x v="3"/>
    <x v="2"/>
  </r>
  <r>
    <s v="ORD-10947"/>
    <x v="270"/>
    <s v="Kabir Nair"/>
    <x v="0"/>
    <x v="2"/>
    <x v="11"/>
    <x v="1"/>
    <s v="Furniture"/>
    <s v="Wooden Chair"/>
    <n v="3"/>
    <n v="8775.9699999999993"/>
    <n v="26327.91"/>
    <n v="0"/>
    <n v="4605.57"/>
    <n v="225.21"/>
    <x v="2"/>
    <x v="2"/>
  </r>
  <r>
    <s v="ORD-10571"/>
    <x v="270"/>
    <s v="Sai Desai"/>
    <x v="0"/>
    <x v="0"/>
    <x v="0"/>
    <x v="5"/>
    <s v="Kids Wear"/>
    <s v="Cartoon T-Shirt"/>
    <n v="1"/>
    <n v="1336.66"/>
    <n v="1269.83"/>
    <n v="5"/>
    <n v="186.76"/>
    <n v="62.61"/>
    <x v="1"/>
    <x v="0"/>
  </r>
  <r>
    <s v="ORD-10280"/>
    <x v="271"/>
    <s v="Simran Gupta"/>
    <x v="0"/>
    <x v="3"/>
    <x v="10"/>
    <x v="2"/>
    <s v="Fiction"/>
    <s v="The Silent Valley"/>
    <n v="5"/>
    <n v="910.5"/>
    <n v="4097.25"/>
    <n v="10"/>
    <n v="455.91"/>
    <n v="329.73"/>
    <x v="2"/>
    <x v="3"/>
  </r>
  <r>
    <s v="ORD-10749"/>
    <x v="271"/>
    <s v="Karan Gupta"/>
    <x v="2"/>
    <x v="1"/>
    <x v="3"/>
    <x v="4"/>
    <s v="Makeup"/>
    <s v="Eyeliner Pro"/>
    <n v="4"/>
    <n v="271.64"/>
    <n v="814.92"/>
    <n v="25"/>
    <n v="92.39"/>
    <n v="253.35"/>
    <x v="1"/>
    <x v="3"/>
  </r>
  <r>
    <s v="ORD-10151"/>
    <x v="271"/>
    <s v="Meera Mishra"/>
    <x v="2"/>
    <x v="3"/>
    <x v="10"/>
    <x v="4"/>
    <s v="Makeup"/>
    <s v="Matte Lipstick"/>
    <n v="3"/>
    <n v="1296.22"/>
    <n v="2916.49"/>
    <n v="25"/>
    <n v="316.32"/>
    <n v="369.76"/>
    <x v="1"/>
    <x v="3"/>
  </r>
  <r>
    <s v="ORD-10867"/>
    <x v="272"/>
    <s v="Sai Khan"/>
    <x v="2"/>
    <x v="2"/>
    <x v="2"/>
    <x v="0"/>
    <s v="Cameras"/>
    <s v="ActionCam 4K"/>
    <n v="1"/>
    <n v="39705.14"/>
    <n v="39705.14"/>
    <n v="0"/>
    <n v="6516.34"/>
    <n v="68.52"/>
    <x v="1"/>
    <x v="2"/>
  </r>
  <r>
    <s v="ORD-10023"/>
    <x v="272"/>
    <s v="Reyansh Khan"/>
    <x v="2"/>
    <x v="2"/>
    <x v="2"/>
    <x v="1"/>
    <s v="Furniture"/>
    <s v="Sofa Set"/>
    <n v="1"/>
    <n v="8643.69"/>
    <n v="6482.77"/>
    <n v="25"/>
    <n v="145.69"/>
    <n v="94.55"/>
    <x v="1"/>
    <x v="3"/>
  </r>
  <r>
    <s v="ORD-10600"/>
    <x v="272"/>
    <s v="Meera Singh"/>
    <x v="2"/>
    <x v="3"/>
    <x v="7"/>
    <x v="4"/>
    <s v="Skincare"/>
    <s v="Sunscreen SPF50"/>
    <n v="1"/>
    <n v="750.07"/>
    <n v="750.07"/>
    <n v="0"/>
    <n v="208.48"/>
    <n v="199.84"/>
    <x v="1"/>
    <x v="0"/>
  </r>
  <r>
    <s v="ORD-10143"/>
    <x v="273"/>
    <s v="Kabir Iyer"/>
    <x v="2"/>
    <x v="3"/>
    <x v="10"/>
    <x v="1"/>
    <s v="Appliances"/>
    <s v="Mixer Grinder"/>
    <n v="2"/>
    <n v="9554.39"/>
    <n v="14331.58"/>
    <n v="25"/>
    <n v="-196.32"/>
    <n v="216.87"/>
    <x v="0"/>
    <x v="1"/>
  </r>
  <r>
    <s v="ORD-10467"/>
    <x v="274"/>
    <s v="Riya Joshi"/>
    <x v="2"/>
    <x v="3"/>
    <x v="7"/>
    <x v="0"/>
    <s v="Accessories"/>
    <s v="PowerBank 20K"/>
    <n v="4"/>
    <n v="58702.69"/>
    <n v="223070.22"/>
    <n v="5"/>
    <n v="803.76"/>
    <n v="156.38"/>
    <x v="1"/>
    <x v="3"/>
  </r>
  <r>
    <s v="ORD-10367"/>
    <x v="275"/>
    <s v="Karan Rao"/>
    <x v="2"/>
    <x v="1"/>
    <x v="3"/>
    <x v="0"/>
    <s v="Headphones"/>
    <s v="SilentPods"/>
    <n v="3"/>
    <n v="26910.14"/>
    <n v="64584.34"/>
    <n v="20"/>
    <n v="440.82"/>
    <n v="170.75"/>
    <x v="1"/>
    <x v="3"/>
  </r>
  <r>
    <s v="ORD-10790"/>
    <x v="275"/>
    <s v="Aditya Verma"/>
    <x v="2"/>
    <x v="0"/>
    <x v="0"/>
    <x v="4"/>
    <s v="Makeup"/>
    <s v="Compact Powder"/>
    <n v="3"/>
    <n v="658.27"/>
    <n v="1974.81"/>
    <n v="0"/>
    <n v="445.12"/>
    <n v="74.39"/>
    <x v="3"/>
    <x v="3"/>
  </r>
  <r>
    <s v="ORD-10632"/>
    <x v="275"/>
    <s v="Anika Das"/>
    <x v="0"/>
    <x v="2"/>
    <x v="11"/>
    <x v="2"/>
    <s v="Academic"/>
    <s v="Calculus Made Easy"/>
    <n v="1"/>
    <n v="721.73"/>
    <n v="721.73"/>
    <n v="0"/>
    <n v="93.63"/>
    <n v="95.43"/>
    <x v="0"/>
    <x v="3"/>
  </r>
  <r>
    <s v="ORD-10755"/>
    <x v="276"/>
    <s v="Raj Mehta"/>
    <x v="2"/>
    <x v="3"/>
    <x v="5"/>
    <x v="2"/>
    <s v="Fiction"/>
    <s v="Whispering Pines"/>
    <n v="3"/>
    <n v="581.75"/>
    <n v="1657.99"/>
    <n v="5"/>
    <n v="299.66000000000003"/>
    <n v="241.18"/>
    <x v="3"/>
    <x v="0"/>
  </r>
  <r>
    <s v="ORD-10476"/>
    <x v="277"/>
    <s v="Kabir Malhotra"/>
    <x v="2"/>
    <x v="2"/>
    <x v="2"/>
    <x v="1"/>
    <s v="Decor"/>
    <s v="Ceramic Vase"/>
    <n v="2"/>
    <n v="9286.35"/>
    <n v="14858.16"/>
    <n v="20"/>
    <n v="508.4"/>
    <n v="297.3"/>
    <x v="1"/>
    <x v="3"/>
  </r>
  <r>
    <s v="ORD-10739"/>
    <x v="277"/>
    <s v="Sai Mishra"/>
    <x v="1"/>
    <x v="3"/>
    <x v="6"/>
    <x v="1"/>
    <s v="Decor"/>
    <s v="Ceramic Vase"/>
    <n v="1"/>
    <n v="3395.48"/>
    <n v="2376.84"/>
    <n v="30"/>
    <n v="-149.94"/>
    <n v="277.77999999999997"/>
    <x v="1"/>
    <x v="3"/>
  </r>
  <r>
    <s v="ORD-10125"/>
    <x v="277"/>
    <s v="Neha Rao"/>
    <x v="1"/>
    <x v="1"/>
    <x v="1"/>
    <x v="3"/>
    <s v="Footwear"/>
    <s v="Sandals"/>
    <n v="1"/>
    <n v="2313.3200000000002"/>
    <n v="1619.32"/>
    <n v="30"/>
    <n v="152.94999999999999"/>
    <n v="98.15"/>
    <x v="3"/>
    <x v="3"/>
  </r>
  <r>
    <s v="ORD-10399"/>
    <x v="278"/>
    <s v="Riya Chopra"/>
    <x v="0"/>
    <x v="1"/>
    <x v="1"/>
    <x v="0"/>
    <s v="Accessories"/>
    <s v="Screen Guard"/>
    <n v="1"/>
    <n v="15530.48"/>
    <n v="13977.43"/>
    <n v="10"/>
    <n v="-171.09"/>
    <n v="170.61"/>
    <x v="0"/>
    <x v="2"/>
  </r>
  <r>
    <s v="ORD-10666"/>
    <x v="279"/>
    <s v="Neha Khan"/>
    <x v="2"/>
    <x v="0"/>
    <x v="0"/>
    <x v="0"/>
    <s v="Headphones"/>
    <s v="SilentPods"/>
    <n v="3"/>
    <n v="18927.009999999998"/>
    <n v="53941.98"/>
    <n v="5"/>
    <n v="5559.86"/>
    <n v="148.41999999999999"/>
    <x v="1"/>
    <x v="1"/>
  </r>
  <r>
    <s v="ORD-10769"/>
    <x v="279"/>
    <s v="Myra Mishra"/>
    <x v="2"/>
    <x v="3"/>
    <x v="6"/>
    <x v="3"/>
    <s v="Gym Equipment"/>
    <s v="Resistance Bands Set"/>
    <n v="3"/>
    <n v="10391.040000000001"/>
    <n v="28055.81"/>
    <n v="10"/>
    <n v="1131.74"/>
    <n v="279.42"/>
    <x v="1"/>
    <x v="0"/>
  </r>
  <r>
    <s v="ORD-10135"/>
    <x v="280"/>
    <s v="Priya Das"/>
    <x v="2"/>
    <x v="3"/>
    <x v="5"/>
    <x v="0"/>
    <s v="Laptops"/>
    <s v="GameForce X"/>
    <n v="1"/>
    <n v="36208.04"/>
    <n v="28966.43"/>
    <n v="20"/>
    <n v="-3687.22"/>
    <n v="316.14999999999998"/>
    <x v="1"/>
    <x v="1"/>
  </r>
  <r>
    <s v="ORD-10494"/>
    <x v="281"/>
    <s v="Diya Rao"/>
    <x v="2"/>
    <x v="0"/>
    <x v="12"/>
    <x v="0"/>
    <s v="Cameras"/>
    <s v="ActionCam 4K"/>
    <n v="2"/>
    <n v="39932.32"/>
    <n v="79864.639999999999"/>
    <n v="0"/>
    <n v="7547.46"/>
    <n v="247.02"/>
    <x v="3"/>
    <x v="3"/>
  </r>
  <r>
    <s v="ORD-10177"/>
    <x v="282"/>
    <s v="Aarav Gupta"/>
    <x v="2"/>
    <x v="2"/>
    <x v="8"/>
    <x v="2"/>
    <s v="Comics"/>
    <s v="SuperHero Chronicles"/>
    <n v="1"/>
    <n v="278.95"/>
    <n v="251.06"/>
    <n v="10"/>
    <n v="14.72"/>
    <n v="89.62"/>
    <x v="0"/>
    <x v="3"/>
  </r>
  <r>
    <s v="ORD-10566"/>
    <x v="283"/>
    <s v="Aadhya Nair"/>
    <x v="2"/>
    <x v="2"/>
    <x v="2"/>
    <x v="0"/>
    <s v="Laptops"/>
    <s v="GameForce X"/>
    <n v="5"/>
    <n v="19700.09"/>
    <n v="98500.45"/>
    <n v="0"/>
    <n v="20777.39"/>
    <n v="270.25"/>
    <x v="3"/>
    <x v="0"/>
  </r>
  <r>
    <s v="ORD-10166"/>
    <x v="284"/>
    <s v="Sai Malhotra"/>
    <x v="2"/>
    <x v="1"/>
    <x v="1"/>
    <x v="3"/>
    <s v="Footwear"/>
    <s v="Sandals"/>
    <n v="2"/>
    <n v="11248.81"/>
    <n v="20247.86"/>
    <n v="10"/>
    <n v="3086"/>
    <n v="55.73"/>
    <x v="2"/>
    <x v="3"/>
  </r>
  <r>
    <s v="ORD-10716"/>
    <x v="285"/>
    <s v="Reyansh Agarwal"/>
    <x v="2"/>
    <x v="0"/>
    <x v="4"/>
    <x v="4"/>
    <s v="Skincare"/>
    <s v="Vitamin C Serum"/>
    <n v="4"/>
    <n v="1515.4"/>
    <n v="6061.6"/>
    <n v="0"/>
    <n v="1526.08"/>
    <n v="390.6"/>
    <x v="1"/>
    <x v="1"/>
  </r>
  <r>
    <s v="ORD-10259"/>
    <x v="286"/>
    <s v="Ananya Singh"/>
    <x v="0"/>
    <x v="1"/>
    <x v="1"/>
    <x v="0"/>
    <s v="Accessories"/>
    <s v="PowerBank 20K"/>
    <n v="2"/>
    <n v="2375.69"/>
    <n v="4276.24"/>
    <n v="10"/>
    <n v="424.71"/>
    <n v="170.49"/>
    <x v="2"/>
    <x v="3"/>
  </r>
  <r>
    <s v="ORD-10708"/>
    <x v="286"/>
    <s v="Navya Das"/>
    <x v="1"/>
    <x v="0"/>
    <x v="4"/>
    <x v="5"/>
    <s v="Men's Wear"/>
    <s v="Casual Blazer"/>
    <n v="4"/>
    <n v="2144.6799999999998"/>
    <n v="8578.7199999999993"/>
    <n v="0"/>
    <n v="1980.75"/>
    <n v="270.37"/>
    <x v="0"/>
    <x v="2"/>
  </r>
  <r>
    <s v="ORD-10400"/>
    <x v="286"/>
    <s v="Rohan Desai"/>
    <x v="1"/>
    <x v="2"/>
    <x v="2"/>
    <x v="0"/>
    <s v="Headphones"/>
    <s v="EchoBuds"/>
    <n v="2"/>
    <n v="60426.66"/>
    <n v="114810.65"/>
    <n v="5"/>
    <n v="-3251.19"/>
    <n v="261.31"/>
    <x v="3"/>
    <x v="2"/>
  </r>
  <r>
    <s v="ORD-10890"/>
    <x v="287"/>
    <s v="Aditya Agarwal"/>
    <x v="2"/>
    <x v="2"/>
    <x v="9"/>
    <x v="3"/>
    <s v="Apparel"/>
    <s v="Track Pants"/>
    <n v="2"/>
    <n v="4590.29"/>
    <n v="7344.46"/>
    <n v="20"/>
    <n v="997.17"/>
    <n v="194.66"/>
    <x v="3"/>
    <x v="3"/>
  </r>
  <r>
    <s v="ORD-10849"/>
    <x v="287"/>
    <s v="Raj Desai"/>
    <x v="2"/>
    <x v="1"/>
    <x v="13"/>
    <x v="5"/>
    <s v="Footwear"/>
    <s v="Formal Loafers"/>
    <n v="1"/>
    <n v="1573.8"/>
    <n v="1573.8"/>
    <n v="0"/>
    <n v="361.22"/>
    <n v="200.1"/>
    <x v="2"/>
    <x v="2"/>
  </r>
  <r>
    <s v="ORD-10101"/>
    <x v="287"/>
    <s v="Diya Mehta"/>
    <x v="2"/>
    <x v="2"/>
    <x v="8"/>
    <x v="2"/>
    <s v="Non-Fiction"/>
    <s v="History Untold"/>
    <n v="3"/>
    <n v="655.75"/>
    <n v="1672.16"/>
    <n v="15"/>
    <n v="223.92"/>
    <n v="139.59"/>
    <x v="1"/>
    <x v="3"/>
  </r>
  <r>
    <s v="ORD-10233"/>
    <x v="288"/>
    <s v="Ananya Nair"/>
    <x v="1"/>
    <x v="1"/>
    <x v="3"/>
    <x v="1"/>
    <s v="Furniture"/>
    <s v="Study Table"/>
    <n v="3"/>
    <n v="11218.04"/>
    <n v="31971.41"/>
    <n v="5"/>
    <n v="4756.8999999999996"/>
    <n v="245.84"/>
    <x v="1"/>
    <x v="3"/>
  </r>
  <r>
    <s v="ORD-10534"/>
    <x v="288"/>
    <s v="Aditya Agarwal"/>
    <x v="2"/>
    <x v="0"/>
    <x v="12"/>
    <x v="5"/>
    <s v="Women's Wear"/>
    <s v="Silk Saree"/>
    <n v="2"/>
    <n v="3277.86"/>
    <n v="6227.93"/>
    <n v="5"/>
    <n v="972.65"/>
    <n v="101.69"/>
    <x v="1"/>
    <x v="3"/>
  </r>
  <r>
    <s v="ORD-10713"/>
    <x v="288"/>
    <s v="Dhruv Singh"/>
    <x v="2"/>
    <x v="1"/>
    <x v="1"/>
    <x v="2"/>
    <s v="Academic"/>
    <s v="Calculus Made Easy"/>
    <n v="1"/>
    <n v="1085.4000000000001"/>
    <n v="759.78"/>
    <n v="30"/>
    <n v="-49.75"/>
    <n v="63.71"/>
    <x v="3"/>
    <x v="1"/>
  </r>
  <r>
    <s v="ORD-10326"/>
    <x v="289"/>
    <s v="Meera Kapoor"/>
    <x v="0"/>
    <x v="0"/>
    <x v="4"/>
    <x v="4"/>
    <s v="Haircare"/>
    <s v="Hair Mask Deep Repair"/>
    <n v="1"/>
    <n v="746.35"/>
    <n v="709.03"/>
    <n v="5"/>
    <n v="118.98"/>
    <n v="149.44"/>
    <x v="1"/>
    <x v="0"/>
  </r>
  <r>
    <s v="ORD-10335"/>
    <x v="290"/>
    <s v="Raj Khan"/>
    <x v="1"/>
    <x v="2"/>
    <x v="11"/>
    <x v="4"/>
    <s v="Haircare"/>
    <s v="Argan Oil Shampoo"/>
    <n v="2"/>
    <n v="1850.56"/>
    <n v="2960.9"/>
    <n v="20"/>
    <n v="520.55999999999995"/>
    <n v="308.42"/>
    <x v="1"/>
    <x v="2"/>
  </r>
  <r>
    <s v="ORD-10509"/>
    <x v="290"/>
    <s v="Ishaan Gupta"/>
    <x v="1"/>
    <x v="1"/>
    <x v="13"/>
    <x v="0"/>
    <s v="Cameras"/>
    <s v="ActionCam 4K"/>
    <n v="3"/>
    <n v="24745.58"/>
    <n v="70524.899999999994"/>
    <n v="5"/>
    <n v="4192.25"/>
    <n v="300.38"/>
    <x v="2"/>
    <x v="0"/>
  </r>
  <r>
    <s v="ORD-10385"/>
    <x v="291"/>
    <s v="Anika Desai"/>
    <x v="2"/>
    <x v="3"/>
    <x v="10"/>
    <x v="2"/>
    <s v="Fiction"/>
    <s v="Mystery of Ashgrove"/>
    <n v="3"/>
    <n v="562.01"/>
    <n v="1517.43"/>
    <n v="10"/>
    <n v="158.68"/>
    <n v="361.71"/>
    <x v="3"/>
    <x v="3"/>
  </r>
  <r>
    <s v="ORD-10046"/>
    <x v="291"/>
    <s v="Karan Bose"/>
    <x v="2"/>
    <x v="0"/>
    <x v="12"/>
    <x v="5"/>
    <s v="Men's Wear"/>
    <s v="Casual Blazer"/>
    <n v="2"/>
    <n v="3109.75"/>
    <n v="5597.55"/>
    <n v="10"/>
    <n v="992.57"/>
    <n v="230.82"/>
    <x v="0"/>
    <x v="0"/>
  </r>
  <r>
    <s v="ORD-10378"/>
    <x v="291"/>
    <s v="Ayaan Iyer"/>
    <x v="2"/>
    <x v="3"/>
    <x v="7"/>
    <x v="2"/>
    <s v="Fiction"/>
    <s v="Beyond the Horizon"/>
    <n v="1"/>
    <n v="597.39"/>
    <n v="597.39"/>
    <n v="0"/>
    <n v="116.86"/>
    <n v="71.83"/>
    <x v="3"/>
    <x v="3"/>
  </r>
  <r>
    <s v="ORD-10949"/>
    <x v="292"/>
    <s v="Myra Nair"/>
    <x v="0"/>
    <x v="3"/>
    <x v="5"/>
    <x v="2"/>
    <s v="Non-Fiction"/>
    <s v="The Growth Mindset"/>
    <n v="3"/>
    <n v="1181.6500000000001"/>
    <n v="2658.71"/>
    <n v="25"/>
    <n v="-89.72"/>
    <n v="200.75"/>
    <x v="1"/>
    <x v="2"/>
  </r>
  <r>
    <s v="ORD-10900"/>
    <x v="293"/>
    <s v="Priya Agarwal"/>
    <x v="1"/>
    <x v="1"/>
    <x v="3"/>
    <x v="5"/>
    <s v="Footwear"/>
    <s v="Running Shoes"/>
    <n v="3"/>
    <n v="830.82"/>
    <n v="1869.35"/>
    <n v="25"/>
    <n v="-66.819999999999993"/>
    <n v="68.91"/>
    <x v="1"/>
    <x v="2"/>
  </r>
  <r>
    <s v="ORD-10440"/>
    <x v="294"/>
    <s v="Simran Mishra"/>
    <x v="2"/>
    <x v="3"/>
    <x v="7"/>
    <x v="0"/>
    <s v="Cameras"/>
    <s v="PixelPro DSLR"/>
    <n v="3"/>
    <n v="54018"/>
    <n v="162054"/>
    <n v="0"/>
    <n v="20385.900000000001"/>
    <n v="312.07"/>
    <x v="3"/>
    <x v="3"/>
  </r>
  <r>
    <s v="ORD-10314"/>
    <x v="295"/>
    <s v="Meera Nair"/>
    <x v="2"/>
    <x v="3"/>
    <x v="6"/>
    <x v="0"/>
    <s v="Laptops"/>
    <s v="GameForce X"/>
    <n v="1"/>
    <n v="32388.41"/>
    <n v="22671.89"/>
    <n v="30"/>
    <n v="-1420.97"/>
    <n v="243.4"/>
    <x v="3"/>
    <x v="2"/>
  </r>
  <r>
    <s v="ORD-10523"/>
    <x v="295"/>
    <s v="Myra Reddy"/>
    <x v="1"/>
    <x v="0"/>
    <x v="0"/>
    <x v="4"/>
    <s v="Fragrances"/>
    <s v="Woody Cologne"/>
    <n v="3"/>
    <n v="1087.51"/>
    <n v="3262.53"/>
    <n v="0"/>
    <n v="984.7"/>
    <n v="92.4"/>
    <x v="1"/>
    <x v="2"/>
  </r>
  <r>
    <s v="ORD-10966"/>
    <x v="295"/>
    <s v="Aditya Iyer"/>
    <x v="2"/>
    <x v="0"/>
    <x v="12"/>
    <x v="5"/>
    <s v="Kids Wear"/>
    <s v="Winter Jacket Jr"/>
    <n v="3"/>
    <n v="497.29"/>
    <n v="1268.0899999999999"/>
    <n v="15"/>
    <n v="159.72"/>
    <n v="356.98"/>
    <x v="4"/>
    <x v="3"/>
  </r>
  <r>
    <s v="ORD-10611"/>
    <x v="296"/>
    <s v="Ira Nair"/>
    <x v="2"/>
    <x v="1"/>
    <x v="13"/>
    <x v="3"/>
    <s v="Apparel"/>
    <s v="Sports Jacket"/>
    <n v="1"/>
    <n v="13500.93"/>
    <n v="12150.84"/>
    <n v="10"/>
    <n v="1191.58"/>
    <n v="348.39"/>
    <x v="0"/>
    <x v="3"/>
  </r>
  <r>
    <s v="ORD-10573"/>
    <x v="296"/>
    <s v="Ira Das"/>
    <x v="2"/>
    <x v="0"/>
    <x v="4"/>
    <x v="3"/>
    <s v="Outdoor Gear"/>
    <s v="Camping Tent"/>
    <n v="1"/>
    <n v="8727"/>
    <n v="8727"/>
    <n v="0"/>
    <n v="925.25"/>
    <n v="329.62"/>
    <x v="3"/>
    <x v="3"/>
  </r>
  <r>
    <s v="ORD-10930"/>
    <x v="297"/>
    <s v="Ishaan Nair"/>
    <x v="2"/>
    <x v="0"/>
    <x v="4"/>
    <x v="3"/>
    <s v="Outdoor Gear"/>
    <s v="Hiking Backpack"/>
    <n v="1"/>
    <n v="2114.5500000000002"/>
    <n v="1585.91"/>
    <n v="25"/>
    <n v="-35.770000000000003"/>
    <n v="217.05"/>
    <x v="1"/>
    <x v="3"/>
  </r>
  <r>
    <s v="ORD-10235"/>
    <x v="297"/>
    <s v="Ishaan Mehta"/>
    <x v="2"/>
    <x v="0"/>
    <x v="4"/>
    <x v="3"/>
    <s v="Outdoor Gear"/>
    <s v="Trekking Pole"/>
    <n v="2"/>
    <n v="5545.21"/>
    <n v="8317.82"/>
    <n v="25"/>
    <n v="-2.54"/>
    <n v="119.75"/>
    <x v="2"/>
    <x v="3"/>
  </r>
  <r>
    <s v="ORD-10992"/>
    <x v="297"/>
    <s v="Raj Chopra"/>
    <x v="2"/>
    <x v="3"/>
    <x v="10"/>
    <x v="4"/>
    <s v="Skincare"/>
    <s v="Aloe Moisturizer"/>
    <n v="1"/>
    <n v="1337.4"/>
    <n v="1337.4"/>
    <n v="0"/>
    <n v="337.59"/>
    <n v="68.94"/>
    <x v="1"/>
    <x v="3"/>
  </r>
  <r>
    <s v="ORD-10601"/>
    <x v="298"/>
    <s v="Dhruv Agarwal"/>
    <x v="1"/>
    <x v="0"/>
    <x v="0"/>
    <x v="3"/>
    <s v="Apparel"/>
    <s v="Track Pants"/>
    <n v="5"/>
    <n v="9793.26"/>
    <n v="41621.360000000001"/>
    <n v="15"/>
    <n v="7638.19"/>
    <n v="155.59"/>
    <x v="3"/>
    <x v="2"/>
  </r>
  <r>
    <s v="ORD-10391"/>
    <x v="299"/>
    <s v="Ira Agarwal"/>
    <x v="2"/>
    <x v="1"/>
    <x v="13"/>
    <x v="2"/>
    <s v="Comics"/>
    <s v="SuperHero Chronicles"/>
    <n v="4"/>
    <n v="224.82"/>
    <n v="854.32"/>
    <n v="5"/>
    <n v="68.239999999999995"/>
    <n v="169.89"/>
    <x v="3"/>
    <x v="2"/>
  </r>
  <r>
    <s v="ORD-10001"/>
    <x v="300"/>
    <s v="Kabir Desai"/>
    <x v="2"/>
    <x v="0"/>
    <x v="4"/>
    <x v="5"/>
    <s v="Women's Wear"/>
    <s v="Floral Dress"/>
    <n v="1"/>
    <n v="4293"/>
    <n v="4293"/>
    <n v="0"/>
    <n v="1083.49"/>
    <n v="79.930000000000007"/>
    <x v="1"/>
    <x v="3"/>
  </r>
  <r>
    <s v="ORD-10415"/>
    <x v="301"/>
    <s v="Pooja Mehta"/>
    <x v="1"/>
    <x v="3"/>
    <x v="5"/>
    <x v="3"/>
    <s v="Apparel"/>
    <s v="Sports T-Shirt"/>
    <n v="1"/>
    <n v="5740.33"/>
    <n v="4879.28"/>
    <n v="15"/>
    <n v="320.2"/>
    <n v="127.79"/>
    <x v="0"/>
    <x v="0"/>
  </r>
  <r>
    <s v="ORD-10747"/>
    <x v="301"/>
    <s v="Rohan Mehta"/>
    <x v="2"/>
    <x v="1"/>
    <x v="3"/>
    <x v="0"/>
    <s v="Headphones"/>
    <s v="StudioMax"/>
    <n v="3"/>
    <n v="53193.15"/>
    <n v="151600.48000000001"/>
    <n v="5"/>
    <n v="16013.77"/>
    <n v="120.07"/>
    <x v="2"/>
    <x v="1"/>
  </r>
  <r>
    <s v="ORD-10484"/>
    <x v="301"/>
    <s v="Kiara Reddy"/>
    <x v="2"/>
    <x v="2"/>
    <x v="8"/>
    <x v="0"/>
    <s v="Headphones"/>
    <s v="BassBoost 300"/>
    <n v="2"/>
    <n v="35696.559999999998"/>
    <n v="67823.460000000006"/>
    <n v="5"/>
    <n v="11839.55"/>
    <n v="75.89"/>
    <x v="0"/>
    <x v="2"/>
  </r>
  <r>
    <s v="ORD-10841"/>
    <x v="302"/>
    <s v="Arjun Khan"/>
    <x v="1"/>
    <x v="0"/>
    <x v="0"/>
    <x v="0"/>
    <s v="Cameras"/>
    <s v="SnapLite Mini"/>
    <n v="1"/>
    <n v="28222.36"/>
    <n v="25400.12"/>
    <n v="10"/>
    <n v="129.69999999999999"/>
    <n v="76.180000000000007"/>
    <x v="3"/>
    <x v="2"/>
  </r>
  <r>
    <s v="ORD-10980"/>
    <x v="303"/>
    <s v="Saanvi Rao"/>
    <x v="2"/>
    <x v="2"/>
    <x v="8"/>
    <x v="5"/>
    <s v="Kids Wear"/>
    <s v="School Uniform Set"/>
    <n v="2"/>
    <n v="4286.95"/>
    <n v="7716.51"/>
    <n v="10"/>
    <n v="1478.91"/>
    <n v="326.47000000000003"/>
    <x v="0"/>
    <x v="3"/>
  </r>
  <r>
    <s v="ORD-10343"/>
    <x v="303"/>
    <s v="Arjun Desai"/>
    <x v="2"/>
    <x v="1"/>
    <x v="13"/>
    <x v="4"/>
    <s v="Makeup"/>
    <s v="Compact Powder"/>
    <n v="2"/>
    <n v="1549.2"/>
    <n v="2788.56"/>
    <n v="10"/>
    <n v="686.59"/>
    <n v="321.10000000000002"/>
    <x v="3"/>
    <x v="3"/>
  </r>
  <r>
    <s v="ORD-10774"/>
    <x v="303"/>
    <s v="Vihaan Sharma"/>
    <x v="2"/>
    <x v="3"/>
    <x v="10"/>
    <x v="2"/>
    <s v="Academic"/>
    <s v="Calculus Made Easy"/>
    <n v="2"/>
    <n v="1077.06"/>
    <n v="1938.71"/>
    <n v="10"/>
    <n v="160.04"/>
    <n v="255.89"/>
    <x v="1"/>
    <x v="1"/>
  </r>
  <r>
    <s v="ORD-10239"/>
    <x v="304"/>
    <s v="Ananya Khan"/>
    <x v="1"/>
    <x v="1"/>
    <x v="3"/>
    <x v="0"/>
    <s v="Headphones"/>
    <s v="BassBoost 300"/>
    <n v="1"/>
    <n v="57611.89"/>
    <n v="57611.89"/>
    <n v="0"/>
    <n v="8156.53"/>
    <n v="346.54"/>
    <x v="0"/>
    <x v="2"/>
  </r>
  <r>
    <s v="ORD-10521"/>
    <x v="304"/>
    <s v="Anika Chopra"/>
    <x v="2"/>
    <x v="0"/>
    <x v="12"/>
    <x v="1"/>
    <s v="Decor"/>
    <s v="Ceramic Vase"/>
    <n v="1"/>
    <n v="2321.29"/>
    <n v="1973.1"/>
    <n v="15"/>
    <n v="137.69999999999999"/>
    <n v="273.81"/>
    <x v="3"/>
    <x v="1"/>
  </r>
  <r>
    <s v="ORD-10644"/>
    <x v="305"/>
    <s v="Pooja Joshi"/>
    <x v="1"/>
    <x v="1"/>
    <x v="13"/>
    <x v="4"/>
    <s v="Haircare"/>
    <s v="Hair Growth Serum"/>
    <n v="3"/>
    <n v="818.75"/>
    <n v="2087.81"/>
    <n v="15"/>
    <n v="420.55"/>
    <n v="225.63"/>
    <x v="1"/>
    <x v="3"/>
  </r>
  <r>
    <s v="ORD-10702"/>
    <x v="306"/>
    <s v="Kabir Reddy"/>
    <x v="2"/>
    <x v="0"/>
    <x v="0"/>
    <x v="1"/>
    <s v="Furniture"/>
    <s v="Bookshelf Unit"/>
    <n v="5"/>
    <n v="5542.36"/>
    <n v="27711.8"/>
    <n v="0"/>
    <n v="4139.8100000000004"/>
    <n v="267.08"/>
    <x v="2"/>
    <x v="0"/>
  </r>
  <r>
    <s v="ORD-10090"/>
    <x v="307"/>
    <s v="Sai Malhotra"/>
    <x v="2"/>
    <x v="2"/>
    <x v="8"/>
    <x v="2"/>
    <s v="Comics"/>
    <s v="Graphic Tales"/>
    <n v="1"/>
    <n v="1100.6500000000001"/>
    <n v="825.49"/>
    <n v="25"/>
    <n v="-34.78"/>
    <n v="59.21"/>
    <x v="3"/>
    <x v="2"/>
  </r>
  <r>
    <s v="ORD-10824"/>
    <x v="308"/>
    <s v="Aditya Malhotra"/>
    <x v="1"/>
    <x v="0"/>
    <x v="0"/>
    <x v="4"/>
    <s v="Skincare"/>
    <s v="Vitamin C Serum"/>
    <n v="4"/>
    <n v="2465.15"/>
    <n v="8874.5400000000009"/>
    <n v="10"/>
    <n v="1384.71"/>
    <n v="375.48"/>
    <x v="3"/>
    <x v="3"/>
  </r>
  <r>
    <s v="ORD-10851"/>
    <x v="309"/>
    <s v="Anika Das"/>
    <x v="2"/>
    <x v="0"/>
    <x v="0"/>
    <x v="3"/>
    <s v="Outdoor Gear"/>
    <s v="Hiking Backpack"/>
    <n v="1"/>
    <n v="9421.85"/>
    <n v="9421.85"/>
    <n v="0"/>
    <n v="2138.16"/>
    <n v="300.36"/>
    <x v="1"/>
    <x v="1"/>
  </r>
  <r>
    <s v="ORD-10164"/>
    <x v="309"/>
    <s v="Priya Das"/>
    <x v="0"/>
    <x v="0"/>
    <x v="0"/>
    <x v="2"/>
    <s v="Comics"/>
    <s v="SuperHero Chronicles"/>
    <n v="1"/>
    <n v="325.07"/>
    <n v="325.07"/>
    <n v="0"/>
    <n v="72.040000000000006"/>
    <n v="311.16000000000003"/>
    <x v="0"/>
    <x v="0"/>
  </r>
  <r>
    <s v="ORD-10679"/>
    <x v="310"/>
    <s v="Myra Desai"/>
    <x v="2"/>
    <x v="1"/>
    <x v="1"/>
    <x v="1"/>
    <s v="Cookware"/>
    <s v="Cookware Combo"/>
    <n v="2"/>
    <n v="578.58000000000004"/>
    <n v="1157.1600000000001"/>
    <n v="0"/>
    <n v="119.7"/>
    <n v="189.08"/>
    <x v="4"/>
    <x v="2"/>
  </r>
  <r>
    <s v="ORD-10718"/>
    <x v="310"/>
    <s v="Ananya Rao"/>
    <x v="1"/>
    <x v="1"/>
    <x v="1"/>
    <x v="1"/>
    <s v="Furniture"/>
    <s v="Wooden Chair"/>
    <n v="2"/>
    <n v="2762.54"/>
    <n v="4972.57"/>
    <n v="10"/>
    <n v="17.239999999999998"/>
    <n v="149.82"/>
    <x v="4"/>
    <x v="0"/>
  </r>
  <r>
    <s v="ORD-10411"/>
    <x v="310"/>
    <s v="Ananya Patel"/>
    <x v="1"/>
    <x v="2"/>
    <x v="11"/>
    <x v="2"/>
    <s v="Comics"/>
    <s v="SuperHero Chronicles"/>
    <n v="2"/>
    <n v="441.8"/>
    <n v="751.06"/>
    <n v="15"/>
    <n v="54.26"/>
    <n v="255.42"/>
    <x v="0"/>
    <x v="2"/>
  </r>
  <r>
    <s v="ORD-10617"/>
    <x v="311"/>
    <s v="Vivaan Agarwal"/>
    <x v="2"/>
    <x v="3"/>
    <x v="10"/>
    <x v="3"/>
    <s v="Apparel"/>
    <s v="Sports Jacket"/>
    <n v="3"/>
    <n v="14517.32"/>
    <n v="37019.17"/>
    <n v="15"/>
    <n v="6015.59"/>
    <n v="307.39"/>
    <x v="2"/>
    <x v="3"/>
  </r>
  <r>
    <s v="ORD-10561"/>
    <x v="311"/>
    <s v="Karan Chopra"/>
    <x v="0"/>
    <x v="3"/>
    <x v="10"/>
    <x v="2"/>
    <s v="Academic"/>
    <s v="Physics Fundamentals"/>
    <n v="2"/>
    <n v="895.62"/>
    <n v="1522.55"/>
    <n v="15"/>
    <n v="7.49"/>
    <n v="321.29000000000002"/>
    <x v="3"/>
    <x v="2"/>
  </r>
  <r>
    <s v="ORD-10622"/>
    <x v="312"/>
    <s v="Saanvi Joshi"/>
    <x v="0"/>
    <x v="1"/>
    <x v="3"/>
    <x v="1"/>
    <s v="Cookware"/>
    <s v="Cookware Combo"/>
    <n v="1"/>
    <n v="10777.86"/>
    <n v="9700.07"/>
    <n v="10"/>
    <n v="1532.98"/>
    <n v="30.14"/>
    <x v="2"/>
    <x v="0"/>
  </r>
  <r>
    <s v="ORD-10653"/>
    <x v="313"/>
    <s v="Vihaan Iyer"/>
    <x v="2"/>
    <x v="0"/>
    <x v="12"/>
    <x v="3"/>
    <s v="Outdoor Gear"/>
    <s v="Trekking Pole"/>
    <n v="3"/>
    <n v="5980.8"/>
    <n v="14353.92"/>
    <n v="20"/>
    <n v="1105.04"/>
    <n v="135.19"/>
    <x v="1"/>
    <x v="1"/>
  </r>
  <r>
    <s v="ORD-10577"/>
    <x v="313"/>
    <s v="Navya Patel"/>
    <x v="0"/>
    <x v="0"/>
    <x v="0"/>
    <x v="4"/>
    <s v="Fragrances"/>
    <s v="Musk Perfume"/>
    <n v="2"/>
    <n v="1815.84"/>
    <n v="3086.93"/>
    <n v="15"/>
    <n v="491.18"/>
    <n v="295.18"/>
    <x v="3"/>
    <x v="0"/>
  </r>
  <r>
    <s v="ORD-10091"/>
    <x v="314"/>
    <s v="Myra Agarwal"/>
    <x v="2"/>
    <x v="3"/>
    <x v="5"/>
    <x v="1"/>
    <s v="Appliances"/>
    <s v="Microwave Oven"/>
    <n v="1"/>
    <n v="11498.89"/>
    <n v="9774.06"/>
    <n v="15"/>
    <n v="781.82"/>
    <n v="187.77"/>
    <x v="1"/>
    <x v="3"/>
  </r>
  <r>
    <s v="ORD-10581"/>
    <x v="314"/>
    <s v="Ananya Mehta"/>
    <x v="2"/>
    <x v="1"/>
    <x v="3"/>
    <x v="5"/>
    <s v="Women's Wear"/>
    <s v="Silk Saree"/>
    <n v="2"/>
    <n v="3523.78"/>
    <n v="7047.56"/>
    <n v="0"/>
    <n v="1985.69"/>
    <n v="317.11"/>
    <x v="0"/>
    <x v="0"/>
  </r>
  <r>
    <s v="ORD-10565"/>
    <x v="315"/>
    <s v="Sai Rao"/>
    <x v="2"/>
    <x v="3"/>
    <x v="10"/>
    <x v="0"/>
    <s v="Headphones"/>
    <s v="EchoBuds"/>
    <n v="2"/>
    <n v="36587.14"/>
    <n v="69515.570000000007"/>
    <n v="5"/>
    <n v="6344.35"/>
    <n v="193.22"/>
    <x v="1"/>
    <x v="1"/>
  </r>
  <r>
    <s v="ORD-10348"/>
    <x v="316"/>
    <s v="Sai Reddy"/>
    <x v="2"/>
    <x v="3"/>
    <x v="6"/>
    <x v="0"/>
    <s v="Accessories"/>
    <s v="FastCharge Cable"/>
    <n v="1"/>
    <n v="64442.13"/>
    <n v="61220.02"/>
    <n v="5"/>
    <n v="9302.74"/>
    <n v="71.09"/>
    <x v="1"/>
    <x v="0"/>
  </r>
  <r>
    <s v="ORD-10269"/>
    <x v="316"/>
    <s v="Dhruv Sharma"/>
    <x v="2"/>
    <x v="0"/>
    <x v="12"/>
    <x v="3"/>
    <s v="Outdoor Gear"/>
    <s v="Hiking Backpack"/>
    <n v="2"/>
    <n v="4353.25"/>
    <n v="7400.52"/>
    <n v="15"/>
    <n v="1054.6500000000001"/>
    <n v="179.31"/>
    <x v="1"/>
    <x v="3"/>
  </r>
  <r>
    <s v="ORD-10360"/>
    <x v="317"/>
    <s v="Anika Verma"/>
    <x v="0"/>
    <x v="1"/>
    <x v="13"/>
    <x v="3"/>
    <s v="Gym Equipment"/>
    <s v="Resistance Bands Set"/>
    <n v="3"/>
    <n v="11806.71"/>
    <n v="35420.129999999997"/>
    <n v="0"/>
    <n v="8481.91"/>
    <n v="286.8"/>
    <x v="1"/>
    <x v="3"/>
  </r>
  <r>
    <s v="ORD-10264"/>
    <x v="317"/>
    <s v="Aadhya Rao"/>
    <x v="2"/>
    <x v="2"/>
    <x v="8"/>
    <x v="0"/>
    <s v="Laptops"/>
    <s v="WorkStation Pro"/>
    <n v="5"/>
    <n v="2768.65"/>
    <n v="13151.09"/>
    <n v="5"/>
    <n v="2177.0300000000002"/>
    <n v="97.08"/>
    <x v="1"/>
    <x v="0"/>
  </r>
  <r>
    <s v="ORD-10005"/>
    <x v="317"/>
    <s v="Kabir Khan"/>
    <x v="0"/>
    <x v="0"/>
    <x v="4"/>
    <x v="1"/>
    <s v="Decor"/>
    <s v="LED Fairy Lights"/>
    <n v="2"/>
    <n v="7495.18"/>
    <n v="14990.36"/>
    <n v="0"/>
    <n v="870.11"/>
    <n v="59.93"/>
    <x v="3"/>
    <x v="3"/>
  </r>
  <r>
    <s v="ORD-10757"/>
    <x v="318"/>
    <s v="Meera Verma"/>
    <x v="2"/>
    <x v="2"/>
    <x v="9"/>
    <x v="5"/>
    <s v="Kids Wear"/>
    <s v="Cartoon T-Shirt"/>
    <n v="3"/>
    <n v="4149.7299999999996"/>
    <n v="12449.19"/>
    <n v="0"/>
    <n v="2096.61"/>
    <n v="102.45"/>
    <x v="2"/>
    <x v="0"/>
  </r>
  <r>
    <s v="ORD-10176"/>
    <x v="318"/>
    <s v="Ananya Malhotra"/>
    <x v="2"/>
    <x v="2"/>
    <x v="8"/>
    <x v="3"/>
    <s v="Outdoor Gear"/>
    <s v="Trekking Pole"/>
    <n v="1"/>
    <n v="14038.48"/>
    <n v="13336.56"/>
    <n v="5"/>
    <n v="3135.32"/>
    <n v="326.18"/>
    <x v="0"/>
    <x v="0"/>
  </r>
  <r>
    <s v="ORD-10908"/>
    <x v="318"/>
    <s v="Krishna Agarwal"/>
    <x v="0"/>
    <x v="2"/>
    <x v="2"/>
    <x v="5"/>
    <s v="Women's Wear"/>
    <s v="Silk Saree"/>
    <n v="3"/>
    <n v="2157.94"/>
    <n v="5826.44"/>
    <n v="10"/>
    <n v="600.79999999999995"/>
    <n v="73.59"/>
    <x v="0"/>
    <x v="3"/>
  </r>
  <r>
    <s v="ORD-10406"/>
    <x v="319"/>
    <s v="Sai Gupta"/>
    <x v="2"/>
    <x v="0"/>
    <x v="12"/>
    <x v="5"/>
    <s v="Kids Wear"/>
    <s v="Denim Overalls"/>
    <n v="4"/>
    <n v="2424.58"/>
    <n v="8728.49"/>
    <n v="10"/>
    <n v="1515.86"/>
    <n v="344.02"/>
    <x v="1"/>
    <x v="0"/>
  </r>
  <r>
    <s v="ORD-10405"/>
    <x v="320"/>
    <s v="Arjun Nair"/>
    <x v="2"/>
    <x v="0"/>
    <x v="12"/>
    <x v="3"/>
    <s v="Gym Equipment"/>
    <s v="Resistance Bands Set"/>
    <n v="1"/>
    <n v="1931.38"/>
    <n v="1738.24"/>
    <n v="10"/>
    <n v="191.02"/>
    <n v="338.84"/>
    <x v="3"/>
    <x v="0"/>
  </r>
  <r>
    <s v="ORD-10002"/>
    <x v="321"/>
    <s v="Priya Sharma"/>
    <x v="0"/>
    <x v="2"/>
    <x v="8"/>
    <x v="5"/>
    <s v="Footwear"/>
    <s v="Casual Sneakers"/>
    <n v="1"/>
    <n v="719.89"/>
    <n v="683.9"/>
    <n v="5"/>
    <n v="182.02"/>
    <n v="176.96"/>
    <x v="1"/>
    <x v="0"/>
  </r>
  <r>
    <s v="ORD-10185"/>
    <x v="322"/>
    <s v="Krishna Singh"/>
    <x v="2"/>
    <x v="0"/>
    <x v="12"/>
    <x v="0"/>
    <s v="Mobiles"/>
    <s v="Galaxy Note Lite"/>
    <n v="2"/>
    <n v="34068.080000000002"/>
    <n v="61322.54"/>
    <n v="10"/>
    <n v="2339.34"/>
    <n v="223.34"/>
    <x v="3"/>
    <x v="3"/>
  </r>
  <r>
    <s v="ORD-10093"/>
    <x v="322"/>
    <s v="Arjun Kapoor"/>
    <x v="2"/>
    <x v="3"/>
    <x v="5"/>
    <x v="2"/>
    <s v="Comics"/>
    <s v="Manga Vol. 1"/>
    <n v="1"/>
    <n v="939.99"/>
    <n v="845.99"/>
    <n v="10"/>
    <n v="102.54"/>
    <n v="59.19"/>
    <x v="3"/>
    <x v="3"/>
  </r>
  <r>
    <s v="ORD-10051"/>
    <x v="323"/>
    <s v="Krishna Verma"/>
    <x v="1"/>
    <x v="2"/>
    <x v="2"/>
    <x v="0"/>
    <s v="Accessories"/>
    <s v="PowerBank 20K"/>
    <n v="2"/>
    <n v="18119.91"/>
    <n v="30803.85"/>
    <n v="15"/>
    <n v="1661.36"/>
    <n v="246.96"/>
    <x v="1"/>
    <x v="2"/>
  </r>
  <r>
    <s v="ORD-10062"/>
    <x v="324"/>
    <s v="Meera Mehta"/>
    <x v="2"/>
    <x v="3"/>
    <x v="10"/>
    <x v="0"/>
    <s v="Laptops"/>
    <s v="UltraSlim 15"/>
    <n v="1"/>
    <n v="2961.95"/>
    <n v="2369.56"/>
    <n v="20"/>
    <n v="29.78"/>
    <n v="215.24"/>
    <x v="2"/>
    <x v="0"/>
  </r>
  <r>
    <s v="ORD-10811"/>
    <x v="324"/>
    <s v="Ayaan Desai"/>
    <x v="2"/>
    <x v="3"/>
    <x v="7"/>
    <x v="3"/>
    <s v="Apparel"/>
    <s v="Sports T-Shirt"/>
    <n v="2"/>
    <n v="9525.6200000000008"/>
    <n v="19051.240000000002"/>
    <n v="0"/>
    <n v="4498.9399999999996"/>
    <n v="342.08"/>
    <x v="1"/>
    <x v="0"/>
  </r>
  <r>
    <s v="ORD-10041"/>
    <x v="325"/>
    <s v="Myra Sharma"/>
    <x v="0"/>
    <x v="1"/>
    <x v="13"/>
    <x v="2"/>
    <s v="Academic"/>
    <s v="Data Science Basics"/>
    <n v="1"/>
    <n v="369.53"/>
    <n v="277.14999999999998"/>
    <n v="25"/>
    <n v="25.95"/>
    <n v="103.14"/>
    <x v="1"/>
    <x v="0"/>
  </r>
  <r>
    <s v="ORD-10069"/>
    <x v="326"/>
    <s v="Meera Mishra"/>
    <x v="2"/>
    <x v="3"/>
    <x v="10"/>
    <x v="4"/>
    <s v="Haircare"/>
    <s v="Hair Mask Deep Repair"/>
    <n v="2"/>
    <n v="2414.09"/>
    <n v="4586.7700000000004"/>
    <n v="5"/>
    <n v="1262.51"/>
    <n v="175.86"/>
    <x v="1"/>
    <x v="0"/>
  </r>
  <r>
    <s v="ORD-10652"/>
    <x v="326"/>
    <s v="Ishaan Nair"/>
    <x v="1"/>
    <x v="2"/>
    <x v="9"/>
    <x v="5"/>
    <s v="Footwear"/>
    <s v="Sandals"/>
    <n v="2"/>
    <n v="984.75"/>
    <n v="1871.02"/>
    <n v="5"/>
    <n v="154.97999999999999"/>
    <n v="296.58999999999997"/>
    <x v="3"/>
    <x v="1"/>
  </r>
  <r>
    <s v="ORD-10119"/>
    <x v="327"/>
    <s v="Aditya Kapoor"/>
    <x v="2"/>
    <x v="0"/>
    <x v="0"/>
    <x v="2"/>
    <s v="Academic"/>
    <s v="Data Science Basics"/>
    <n v="3"/>
    <n v="1003.55"/>
    <n v="2559.0500000000002"/>
    <n v="15"/>
    <n v="347.55"/>
    <n v="362.33"/>
    <x v="2"/>
    <x v="0"/>
  </r>
  <r>
    <s v="ORD-10425"/>
    <x v="327"/>
    <s v="Riya Malhotra"/>
    <x v="2"/>
    <x v="1"/>
    <x v="1"/>
    <x v="3"/>
    <s v="Outdoor Gear"/>
    <s v="Hiking Backpack"/>
    <n v="1"/>
    <n v="11127.46"/>
    <n v="8901.9699999999993"/>
    <n v="20"/>
    <n v="256.29000000000002"/>
    <n v="233.58"/>
    <x v="1"/>
    <x v="3"/>
  </r>
  <r>
    <s v="ORD-10356"/>
    <x v="328"/>
    <s v="Anika Iyer"/>
    <x v="2"/>
    <x v="1"/>
    <x v="13"/>
    <x v="4"/>
    <s v="Haircare"/>
    <s v="Argan Oil Shampoo"/>
    <n v="3"/>
    <n v="1787.01"/>
    <n v="4824.93"/>
    <n v="10"/>
    <n v="909.76"/>
    <n v="124.3"/>
    <x v="3"/>
    <x v="2"/>
  </r>
  <r>
    <s v="ORD-10189"/>
    <x v="328"/>
    <s v="Aarav Patel"/>
    <x v="2"/>
    <x v="2"/>
    <x v="8"/>
    <x v="4"/>
    <s v="Fragrances"/>
    <s v="Woody Cologne"/>
    <n v="3"/>
    <n v="1285.75"/>
    <n v="3085.8"/>
    <n v="20"/>
    <n v="383.74"/>
    <n v="308.17"/>
    <x v="1"/>
    <x v="0"/>
  </r>
  <r>
    <s v="ORD-10489"/>
    <x v="328"/>
    <s v="Vihaan Verma"/>
    <x v="1"/>
    <x v="1"/>
    <x v="13"/>
    <x v="5"/>
    <s v="Women's Wear"/>
    <s v="Floral Dress"/>
    <n v="2"/>
    <n v="3820.24"/>
    <n v="7640.48"/>
    <n v="0"/>
    <n v="1467.69"/>
    <n v="130.69"/>
    <x v="1"/>
    <x v="3"/>
  </r>
  <r>
    <s v="ORD-10012"/>
    <x v="328"/>
    <s v="Reyansh Desai"/>
    <x v="0"/>
    <x v="1"/>
    <x v="1"/>
    <x v="5"/>
    <s v="Kids Wear"/>
    <s v="School Uniform Set"/>
    <n v="2"/>
    <n v="4372.26"/>
    <n v="7432.84"/>
    <n v="15"/>
    <n v="1372.1"/>
    <n v="293.04000000000002"/>
    <x v="0"/>
    <x v="3"/>
  </r>
  <r>
    <s v="ORD-10300"/>
    <x v="329"/>
    <s v="Ishaan Bose"/>
    <x v="2"/>
    <x v="3"/>
    <x v="7"/>
    <x v="3"/>
    <s v="Apparel"/>
    <s v="Sports T-Shirt"/>
    <n v="3"/>
    <n v="2982.36"/>
    <n v="8947.08"/>
    <n v="0"/>
    <n v="2406.81"/>
    <n v="136.01"/>
    <x v="1"/>
    <x v="0"/>
  </r>
  <r>
    <s v="ORD-10219"/>
    <x v="329"/>
    <s v="Ayaan Desai"/>
    <x v="2"/>
    <x v="2"/>
    <x v="11"/>
    <x v="0"/>
    <s v="Cameras"/>
    <s v="ClickShot X1"/>
    <n v="3"/>
    <n v="1535.19"/>
    <n v="3684.46"/>
    <n v="20"/>
    <n v="-130.38999999999999"/>
    <n v="318.38"/>
    <x v="2"/>
    <x v="0"/>
  </r>
  <r>
    <s v="ORD-10737"/>
    <x v="330"/>
    <s v="Vihaan Patel"/>
    <x v="1"/>
    <x v="1"/>
    <x v="3"/>
    <x v="5"/>
    <s v="Footwear"/>
    <s v="Sandals"/>
    <n v="4"/>
    <n v="2475.63"/>
    <n v="9407.39"/>
    <n v="5"/>
    <n v="1980.14"/>
    <n v="273.55"/>
    <x v="4"/>
    <x v="3"/>
  </r>
  <r>
    <s v="ORD-10816"/>
    <x v="331"/>
    <s v="Karan Mehta"/>
    <x v="2"/>
    <x v="0"/>
    <x v="0"/>
    <x v="2"/>
    <s v="Fiction"/>
    <s v="Whispering Pines"/>
    <n v="1"/>
    <n v="398.78"/>
    <n v="338.96"/>
    <n v="15"/>
    <n v="9.43"/>
    <n v="246.77"/>
    <x v="0"/>
    <x v="3"/>
  </r>
  <r>
    <s v="ORD-10969"/>
    <x v="331"/>
    <s v="Karan Sharma"/>
    <x v="0"/>
    <x v="0"/>
    <x v="4"/>
    <x v="3"/>
    <s v="Apparel"/>
    <s v="Compression Shorts"/>
    <n v="2"/>
    <n v="675.5"/>
    <n v="1148.3499999999999"/>
    <n v="15"/>
    <n v="129.32"/>
    <n v="353.21"/>
    <x v="2"/>
    <x v="1"/>
  </r>
  <r>
    <s v="ORD-10424"/>
    <x v="331"/>
    <s v="Aditya Iyer"/>
    <x v="0"/>
    <x v="2"/>
    <x v="8"/>
    <x v="5"/>
    <s v="Men's Wear"/>
    <s v="Casual Blazer"/>
    <n v="3"/>
    <n v="672.12"/>
    <n v="1613.09"/>
    <n v="20"/>
    <n v="136.86000000000001"/>
    <n v="130.6"/>
    <x v="4"/>
    <x v="3"/>
  </r>
  <r>
    <s v="ORD-10266"/>
    <x v="332"/>
    <s v="Ishaan Bose"/>
    <x v="0"/>
    <x v="0"/>
    <x v="4"/>
    <x v="0"/>
    <s v="Mobiles"/>
    <s v="iSmart X2"/>
    <n v="2"/>
    <n v="18657.38"/>
    <n v="35449.019999999997"/>
    <n v="5"/>
    <n v="3777.48"/>
    <n v="364.08"/>
    <x v="2"/>
    <x v="1"/>
  </r>
  <r>
    <s v="ORD-10874"/>
    <x v="333"/>
    <s v="Priya Malhotra"/>
    <x v="2"/>
    <x v="0"/>
    <x v="4"/>
    <x v="0"/>
    <s v="Headphones"/>
    <s v="SoundWave Pro"/>
    <n v="1"/>
    <n v="3028.02"/>
    <n v="3028.02"/>
    <n v="0"/>
    <n v="286.72000000000003"/>
    <n v="216.64"/>
    <x v="1"/>
    <x v="2"/>
  </r>
  <r>
    <s v="ORD-10379"/>
    <x v="333"/>
    <s v="Navya Iyer"/>
    <x v="2"/>
    <x v="2"/>
    <x v="8"/>
    <x v="1"/>
    <s v="Decor"/>
    <s v="Table Lamp"/>
    <n v="1"/>
    <n v="4666.01"/>
    <n v="4199.41"/>
    <n v="10"/>
    <n v="757.53"/>
    <n v="264.76"/>
    <x v="4"/>
    <x v="2"/>
  </r>
  <r>
    <s v="ORD-10473"/>
    <x v="333"/>
    <s v="Aarav Reddy"/>
    <x v="0"/>
    <x v="0"/>
    <x v="12"/>
    <x v="5"/>
    <s v="Footwear"/>
    <s v="Formal Loafers"/>
    <n v="2"/>
    <n v="3182.57"/>
    <n v="4455.6000000000004"/>
    <n v="30"/>
    <n v="88.65"/>
    <n v="312.85000000000002"/>
    <x v="3"/>
    <x v="3"/>
  </r>
  <r>
    <s v="ORD-10261"/>
    <x v="334"/>
    <s v="Krishna Mishra"/>
    <x v="2"/>
    <x v="2"/>
    <x v="2"/>
    <x v="2"/>
    <s v="Academic"/>
    <s v="Calculus Made Easy"/>
    <n v="3"/>
    <n v="221.23"/>
    <n v="597.32000000000005"/>
    <n v="10"/>
    <n v="85.82"/>
    <n v="81.55"/>
    <x v="2"/>
    <x v="3"/>
  </r>
  <r>
    <s v="ORD-10222"/>
    <x v="335"/>
    <s v="Ananya Bose"/>
    <x v="2"/>
    <x v="0"/>
    <x v="12"/>
    <x v="1"/>
    <s v="Appliances"/>
    <s v="Air Fryer"/>
    <n v="1"/>
    <n v="8430.41"/>
    <n v="8430.41"/>
    <n v="0"/>
    <n v="2059.61"/>
    <n v="301.74"/>
    <x v="4"/>
    <x v="3"/>
  </r>
  <r>
    <s v="ORD-10529"/>
    <x v="335"/>
    <s v="Kiara Kapoor"/>
    <x v="2"/>
    <x v="3"/>
    <x v="7"/>
    <x v="4"/>
    <s v="Haircare"/>
    <s v="Hair Mask Deep Repair"/>
    <n v="2"/>
    <n v="2121.6"/>
    <n v="4031.04"/>
    <n v="5"/>
    <n v="724.83"/>
    <n v="196.68"/>
    <x v="4"/>
    <x v="2"/>
  </r>
  <r>
    <s v="ORD-10008"/>
    <x v="335"/>
    <s v="Aditya Verma"/>
    <x v="1"/>
    <x v="1"/>
    <x v="13"/>
    <x v="5"/>
    <s v="Women's Wear"/>
    <s v="Ethnic Kurti"/>
    <n v="1"/>
    <n v="2851.69"/>
    <n v="2851.69"/>
    <n v="0"/>
    <n v="622.42999999999995"/>
    <n v="84.57"/>
    <x v="3"/>
    <x v="3"/>
  </r>
  <r>
    <s v="ORD-10970"/>
    <x v="336"/>
    <s v="Ayaan Mishra"/>
    <x v="0"/>
    <x v="1"/>
    <x v="13"/>
    <x v="4"/>
    <s v="Makeup"/>
    <s v="Eyeliner Pro"/>
    <n v="2"/>
    <n v="1104.24"/>
    <n v="2098.06"/>
    <n v="5"/>
    <n v="576"/>
    <n v="120.82"/>
    <x v="4"/>
    <x v="1"/>
  </r>
  <r>
    <s v="ORD-10585"/>
    <x v="337"/>
    <s v="Rohan Sharma"/>
    <x v="2"/>
    <x v="1"/>
    <x v="13"/>
    <x v="4"/>
    <s v="Skincare"/>
    <s v="Sunscreen SPF50"/>
    <n v="1"/>
    <n v="1276.75"/>
    <n v="1276.75"/>
    <n v="0"/>
    <n v="305.89999999999998"/>
    <n v="43.76"/>
    <x v="1"/>
    <x v="3"/>
  </r>
  <r>
    <s v="ORD-10071"/>
    <x v="337"/>
    <s v="Simran Kapoor"/>
    <x v="2"/>
    <x v="0"/>
    <x v="0"/>
    <x v="1"/>
    <s v="Decor"/>
    <s v="Wall Art Frame"/>
    <n v="2"/>
    <n v="11241.52"/>
    <n v="19110.580000000002"/>
    <n v="15"/>
    <n v="1978.96"/>
    <n v="255.28"/>
    <x v="3"/>
    <x v="0"/>
  </r>
  <r>
    <s v="ORD-10663"/>
    <x v="338"/>
    <s v="Riya Malhotra"/>
    <x v="2"/>
    <x v="2"/>
    <x v="2"/>
    <x v="5"/>
    <s v="Women's Wear"/>
    <s v="Silk Saree"/>
    <n v="2"/>
    <n v="3178.86"/>
    <n v="6039.83"/>
    <n v="5"/>
    <n v="1017.04"/>
    <n v="164.65"/>
    <x v="3"/>
    <x v="0"/>
  </r>
  <r>
    <s v="ORD-10598"/>
    <x v="338"/>
    <s v="Neha Gupta"/>
    <x v="2"/>
    <x v="0"/>
    <x v="12"/>
    <x v="4"/>
    <s v="Skincare"/>
    <s v="Aloe Moisturizer"/>
    <n v="2"/>
    <n v="2355.9699999999998"/>
    <n v="4711.9399999999996"/>
    <n v="0"/>
    <n v="1225.69"/>
    <n v="238.05"/>
    <x v="1"/>
    <x v="3"/>
  </r>
  <r>
    <s v="ORD-10229"/>
    <x v="339"/>
    <s v="Rohan Joshi"/>
    <x v="2"/>
    <x v="0"/>
    <x v="12"/>
    <x v="5"/>
    <s v="Footwear"/>
    <s v="Formal Loafers"/>
    <n v="5"/>
    <n v="3007.1"/>
    <n v="13531.95"/>
    <n v="10"/>
    <n v="1303.08"/>
    <n v="269.42"/>
    <x v="1"/>
    <x v="3"/>
  </r>
  <r>
    <s v="ORD-10788"/>
    <x v="339"/>
    <s v="Rohan Mishra"/>
    <x v="2"/>
    <x v="3"/>
    <x v="6"/>
    <x v="3"/>
    <s v="Outdoor Gear"/>
    <s v="Water Bottle Steel"/>
    <n v="2"/>
    <n v="12397.88"/>
    <n v="21076.400000000001"/>
    <n v="15"/>
    <n v="3410"/>
    <n v="63.23"/>
    <x v="1"/>
    <x v="2"/>
  </r>
  <r>
    <s v="ORD-10364"/>
    <x v="339"/>
    <s v="Ira Sharma"/>
    <x v="2"/>
    <x v="1"/>
    <x v="3"/>
    <x v="3"/>
    <s v="Gym Equipment"/>
    <s v="Resistance Bands Set"/>
    <n v="5"/>
    <n v="7691.89"/>
    <n v="36536.480000000003"/>
    <n v="5"/>
    <n v="8772.5400000000009"/>
    <n v="217.1"/>
    <x v="0"/>
    <x v="0"/>
  </r>
  <r>
    <s v="ORD-10964"/>
    <x v="340"/>
    <s v="Simran Singh"/>
    <x v="2"/>
    <x v="2"/>
    <x v="2"/>
    <x v="0"/>
    <s v="Cameras"/>
    <s v="PixelPro DSLR"/>
    <n v="1"/>
    <n v="38791.89"/>
    <n v="34912.699999999997"/>
    <n v="10"/>
    <n v="2437.6"/>
    <n v="175.37"/>
    <x v="1"/>
    <x v="0"/>
  </r>
  <r>
    <s v="ORD-10376"/>
    <x v="341"/>
    <s v="Myra Agarwal"/>
    <x v="2"/>
    <x v="1"/>
    <x v="1"/>
    <x v="3"/>
    <s v="Gym Equipment"/>
    <s v="Resistance Bands Set"/>
    <n v="1"/>
    <n v="1830.32"/>
    <n v="1647.29"/>
    <n v="10"/>
    <n v="196.77"/>
    <n v="251.49"/>
    <x v="3"/>
    <x v="1"/>
  </r>
  <r>
    <s v="ORD-10871"/>
    <x v="341"/>
    <s v="Myra Chopra"/>
    <x v="2"/>
    <x v="3"/>
    <x v="7"/>
    <x v="0"/>
    <s v="Laptops"/>
    <s v="UltraSlim 15"/>
    <n v="4"/>
    <n v="26280.03"/>
    <n v="105120.12"/>
    <n v="0"/>
    <n v="16024.02"/>
    <n v="127.17"/>
    <x v="0"/>
    <x v="0"/>
  </r>
  <r>
    <s v="ORD-10490"/>
    <x v="341"/>
    <s v="Kabir Joshi"/>
    <x v="0"/>
    <x v="0"/>
    <x v="0"/>
    <x v="4"/>
    <s v="Skincare"/>
    <s v="Vitamin C Serum"/>
    <n v="3"/>
    <n v="2168.1"/>
    <n v="6504.3"/>
    <n v="0"/>
    <n v="1270.9000000000001"/>
    <n v="226.86"/>
    <x v="3"/>
    <x v="3"/>
  </r>
  <r>
    <s v="ORD-10618"/>
    <x v="342"/>
    <s v="Ananya Patel"/>
    <x v="0"/>
    <x v="3"/>
    <x v="5"/>
    <x v="2"/>
    <s v="Fiction"/>
    <s v="The Silent Valley"/>
    <n v="1"/>
    <n v="393.64"/>
    <n v="295.23"/>
    <n v="25"/>
    <n v="-4.6900000000000004"/>
    <n v="176.64"/>
    <x v="1"/>
    <x v="2"/>
  </r>
  <r>
    <s v="ORD-10808"/>
    <x v="343"/>
    <s v="Navya Verma"/>
    <x v="0"/>
    <x v="2"/>
    <x v="11"/>
    <x v="2"/>
    <s v="Non-Fiction"/>
    <s v="Modern Economics"/>
    <n v="1"/>
    <n v="567.76"/>
    <n v="482.6"/>
    <n v="15"/>
    <n v="31.84"/>
    <n v="294.82"/>
    <x v="2"/>
    <x v="2"/>
  </r>
  <r>
    <s v="ORD-10393"/>
    <x v="344"/>
    <s v="Kiara Mishra"/>
    <x v="2"/>
    <x v="2"/>
    <x v="11"/>
    <x v="3"/>
    <s v="Apparel"/>
    <s v="Track Pants"/>
    <n v="1"/>
    <n v="3063.12"/>
    <n v="2603.65"/>
    <n v="15"/>
    <n v="440.76"/>
    <n v="114.81"/>
    <x v="0"/>
    <x v="2"/>
  </r>
  <r>
    <s v="ORD-10217"/>
    <x v="345"/>
    <s v="Simran Gupta"/>
    <x v="0"/>
    <x v="2"/>
    <x v="8"/>
    <x v="3"/>
    <s v="Apparel"/>
    <s v="Compression Shorts"/>
    <n v="1"/>
    <n v="5395.22"/>
    <n v="4585.9399999999996"/>
    <n v="15"/>
    <n v="264.63"/>
    <n v="255.58"/>
    <x v="1"/>
    <x v="0"/>
  </r>
  <r>
    <s v="ORD-10579"/>
    <x v="346"/>
    <s v="Aadhya Rao"/>
    <x v="2"/>
    <x v="1"/>
    <x v="1"/>
    <x v="3"/>
    <s v="Gym Equipment"/>
    <s v="Resistance Bands Set"/>
    <n v="2"/>
    <n v="14367.12"/>
    <n v="25860.82"/>
    <n v="10"/>
    <n v="-42.05"/>
    <n v="191.46"/>
    <x v="0"/>
    <x v="2"/>
  </r>
  <r>
    <s v="ORD-10836"/>
    <x v="347"/>
    <s v="Karan Rao"/>
    <x v="2"/>
    <x v="2"/>
    <x v="9"/>
    <x v="1"/>
    <s v="Decor"/>
    <s v="LED Fairy Lights"/>
    <n v="3"/>
    <n v="3345.68"/>
    <n v="9535.19"/>
    <n v="5"/>
    <n v="2036.89"/>
    <n v="309.60000000000002"/>
    <x v="0"/>
    <x v="3"/>
  </r>
  <r>
    <s v="ORD-10689"/>
    <x v="347"/>
    <s v="Karan Malhotra"/>
    <x v="2"/>
    <x v="2"/>
    <x v="11"/>
    <x v="2"/>
    <s v="Academic"/>
    <s v="Calculus Made Easy"/>
    <n v="2"/>
    <n v="1030.42"/>
    <n v="1545.63"/>
    <n v="25"/>
    <n v="38.619999999999997"/>
    <n v="343.47"/>
    <x v="1"/>
    <x v="3"/>
  </r>
  <r>
    <s v="ORD-10163"/>
    <x v="347"/>
    <s v="Dhruv Agarwal"/>
    <x v="0"/>
    <x v="2"/>
    <x v="9"/>
    <x v="3"/>
    <s v="Footwear"/>
    <s v="Formal Loafers"/>
    <n v="1"/>
    <n v="8141.71"/>
    <n v="8141.71"/>
    <n v="0"/>
    <n v="696.5"/>
    <n v="136.5"/>
    <x v="0"/>
    <x v="0"/>
  </r>
  <r>
    <s v="ORD-10105"/>
    <x v="348"/>
    <s v="Karan Agarwal"/>
    <x v="2"/>
    <x v="0"/>
    <x v="4"/>
    <x v="4"/>
    <s v="Skincare"/>
    <s v="Sunscreen SPF50"/>
    <n v="1"/>
    <n v="1062.2"/>
    <n v="1062.2"/>
    <n v="0"/>
    <n v="334.07"/>
    <n v="101.55"/>
    <x v="4"/>
    <x v="2"/>
  </r>
  <r>
    <s v="ORD-10060"/>
    <x v="349"/>
    <s v="Aadhya Verma"/>
    <x v="2"/>
    <x v="0"/>
    <x v="4"/>
    <x v="2"/>
    <s v="Fiction"/>
    <s v="Whispering Pines"/>
    <n v="1"/>
    <n v="155.44"/>
    <n v="132.12"/>
    <n v="15"/>
    <n v="19.68"/>
    <n v="230.93"/>
    <x v="3"/>
    <x v="2"/>
  </r>
  <r>
    <s v="ORD-10010"/>
    <x v="350"/>
    <s v="Diya Nair"/>
    <x v="2"/>
    <x v="0"/>
    <x v="0"/>
    <x v="4"/>
    <s v="Haircare"/>
    <s v="Hair Growth Serum"/>
    <n v="3"/>
    <n v="2116.35"/>
    <n v="5714.15"/>
    <n v="10"/>
    <n v="1576.94"/>
    <n v="115.48"/>
    <x v="1"/>
    <x v="0"/>
  </r>
  <r>
    <s v="ORD-10346"/>
    <x v="350"/>
    <s v="Simran Kapoor"/>
    <x v="2"/>
    <x v="1"/>
    <x v="13"/>
    <x v="5"/>
    <s v="Women's Wear"/>
    <s v="Ethnic Kurti"/>
    <n v="1"/>
    <n v="545.51"/>
    <n v="490.96"/>
    <n v="10"/>
    <n v="49.34"/>
    <n v="75.37"/>
    <x v="3"/>
    <x v="2"/>
  </r>
  <r>
    <s v="ORD-10047"/>
    <x v="351"/>
    <s v="Karan Agarwal"/>
    <x v="0"/>
    <x v="2"/>
    <x v="2"/>
    <x v="1"/>
    <s v="Decor"/>
    <s v="Ceramic Vase"/>
    <n v="1"/>
    <n v="11305.55"/>
    <n v="11305.55"/>
    <n v="0"/>
    <n v="1954.17"/>
    <n v="173.5"/>
    <x v="2"/>
    <x v="0"/>
  </r>
  <r>
    <s v="ORD-10913"/>
    <x v="352"/>
    <s v="Riya Agarwal"/>
    <x v="0"/>
    <x v="3"/>
    <x v="10"/>
    <x v="0"/>
    <s v="Cameras"/>
    <s v="PixelPro DSLR"/>
    <n v="5"/>
    <n v="36218.080000000002"/>
    <n v="172035.88"/>
    <n v="5"/>
    <n v="24241.919999999998"/>
    <n v="214.39"/>
    <x v="0"/>
    <x v="0"/>
  </r>
  <r>
    <s v="ORD-10109"/>
    <x v="353"/>
    <s v="Ayaan Kapoor"/>
    <x v="1"/>
    <x v="3"/>
    <x v="10"/>
    <x v="0"/>
    <s v="Cameras"/>
    <s v="ActionCam 4K"/>
    <n v="1"/>
    <n v="41238.21"/>
    <n v="41238.21"/>
    <n v="0"/>
    <n v="5922.47"/>
    <n v="44.54"/>
    <x v="2"/>
    <x v="2"/>
  </r>
  <r>
    <s v="ORD-10743"/>
    <x v="354"/>
    <s v="Kiara Agarwal"/>
    <x v="2"/>
    <x v="2"/>
    <x v="9"/>
    <x v="3"/>
    <s v="Gym Equipment"/>
    <s v="Adjustable Dumbbells"/>
    <n v="1"/>
    <n v="2307.98"/>
    <n v="2192.58"/>
    <n v="5"/>
    <n v="173.41"/>
    <n v="336.72"/>
    <x v="1"/>
    <x v="0"/>
  </r>
  <r>
    <s v="ORD-10358"/>
    <x v="355"/>
    <s v="Anika Gupta"/>
    <x v="2"/>
    <x v="1"/>
    <x v="1"/>
    <x v="1"/>
    <s v="Cookware"/>
    <s v="Non-Stick Pan Set"/>
    <n v="4"/>
    <n v="11155.26"/>
    <n v="44621.04"/>
    <n v="0"/>
    <n v="10789.58"/>
    <n v="150.09"/>
    <x v="1"/>
    <x v="0"/>
  </r>
  <r>
    <s v="ORD-10076"/>
    <x v="356"/>
    <s v="Meera Mehta"/>
    <x v="0"/>
    <x v="0"/>
    <x v="0"/>
    <x v="5"/>
    <s v="Men's Wear"/>
    <s v="Cotton Kurta"/>
    <n v="1"/>
    <n v="2886.57"/>
    <n v="2886.57"/>
    <n v="0"/>
    <n v="744.15"/>
    <n v="332.05"/>
    <x v="1"/>
    <x v="1"/>
  </r>
  <r>
    <s v="ORD-10098"/>
    <x v="357"/>
    <s v="Aditya Das"/>
    <x v="2"/>
    <x v="0"/>
    <x v="0"/>
    <x v="1"/>
    <s v="Furniture"/>
    <s v="Bookshelf Unit"/>
    <n v="1"/>
    <n v="6354.58"/>
    <n v="6036.85"/>
    <n v="5"/>
    <n v="967.05"/>
    <n v="104.63"/>
    <x v="1"/>
    <x v="3"/>
  </r>
  <r>
    <s v="ORD-10901"/>
    <x v="358"/>
    <s v="Aditya Rao"/>
    <x v="1"/>
    <x v="3"/>
    <x v="10"/>
    <x v="4"/>
    <s v="Fragrances"/>
    <s v="Woody Cologne"/>
    <n v="4"/>
    <n v="387.68"/>
    <n v="1395.65"/>
    <n v="10"/>
    <n v="232.32"/>
    <n v="250.41"/>
    <x v="3"/>
    <x v="3"/>
  </r>
  <r>
    <s v="ORD-10167"/>
    <x v="358"/>
    <s v="Aadhya Iyer"/>
    <x v="1"/>
    <x v="3"/>
    <x v="5"/>
    <x v="3"/>
    <s v="Gym Equipment"/>
    <s v="Adjustable Dumbbells"/>
    <n v="1"/>
    <n v="7586.83"/>
    <n v="6448.81"/>
    <n v="15"/>
    <n v="578.37"/>
    <n v="201.67"/>
    <x v="1"/>
    <x v="3"/>
  </r>
  <r>
    <s v="ORD-10272"/>
    <x v="359"/>
    <s v="Rohan Singh"/>
    <x v="2"/>
    <x v="3"/>
    <x v="5"/>
    <x v="3"/>
    <s v="Gym Equipment"/>
    <s v="Resistance Bands Set"/>
    <n v="5"/>
    <n v="8594.2900000000009"/>
    <n v="40822.879999999997"/>
    <n v="5"/>
    <n v="5042.99"/>
    <n v="240.89"/>
    <x v="1"/>
    <x v="2"/>
  </r>
  <r>
    <s v="ORD-10586"/>
    <x v="360"/>
    <s v="Aadhya Das"/>
    <x v="0"/>
    <x v="2"/>
    <x v="11"/>
    <x v="3"/>
    <s v="Apparel"/>
    <s v="Compression Shorts"/>
    <n v="1"/>
    <n v="1201.05"/>
    <n v="1201.05"/>
    <n v="0"/>
    <n v="249.48"/>
    <n v="65.680000000000007"/>
    <x v="4"/>
    <x v="0"/>
  </r>
  <r>
    <s v="ORD-10741"/>
    <x v="361"/>
    <s v="Aarav Rao"/>
    <x v="2"/>
    <x v="2"/>
    <x v="2"/>
    <x v="5"/>
    <s v="Men's Wear"/>
    <s v="Classic Shirt"/>
    <n v="3"/>
    <n v="1149.47"/>
    <n v="3448.41"/>
    <n v="0"/>
    <n v="570.78"/>
    <n v="128.77000000000001"/>
    <x v="3"/>
    <x v="3"/>
  </r>
  <r>
    <s v="ORD-10595"/>
    <x v="361"/>
    <s v="Pooja Iyer"/>
    <x v="1"/>
    <x v="2"/>
    <x v="2"/>
    <x v="5"/>
    <s v="Men's Wear"/>
    <s v="Casual Blazer"/>
    <n v="5"/>
    <n v="2685.99"/>
    <n v="10743.96"/>
    <n v="20"/>
    <n v="1391.89"/>
    <n v="371.36"/>
    <x v="1"/>
    <x v="0"/>
  </r>
  <r>
    <s v="ORD-10402"/>
    <x v="362"/>
    <s v="Anika Sharma"/>
    <x v="0"/>
    <x v="0"/>
    <x v="4"/>
    <x v="5"/>
    <s v="Men's Wear"/>
    <s v="Cotton Kurta"/>
    <n v="4"/>
    <n v="2971.5"/>
    <n v="11886"/>
    <n v="0"/>
    <n v="2400.86"/>
    <n v="145.74"/>
    <x v="0"/>
    <x v="3"/>
  </r>
  <r>
    <s v="ORD-10349"/>
    <x v="363"/>
    <s v="Diya Bose"/>
    <x v="0"/>
    <x v="2"/>
    <x v="2"/>
    <x v="2"/>
    <s v="Academic"/>
    <s v="Physics Fundamentals"/>
    <n v="1"/>
    <n v="783.38"/>
    <n v="783.38"/>
    <n v="0"/>
    <n v="144.19"/>
    <n v="277.24"/>
    <x v="4"/>
    <x v="0"/>
  </r>
  <r>
    <s v="ORD-10986"/>
    <x v="364"/>
    <s v="Vivaan Bose"/>
    <x v="2"/>
    <x v="1"/>
    <x v="13"/>
    <x v="4"/>
    <s v="Skincare"/>
    <s v="Face Wash Gel"/>
    <n v="2"/>
    <n v="1890.56"/>
    <n v="3781.12"/>
    <n v="0"/>
    <n v="1290.58"/>
    <n v="240.23"/>
    <x v="1"/>
    <x v="0"/>
  </r>
  <r>
    <s v="ORD-10255"/>
    <x v="365"/>
    <s v="Pooja Sharma"/>
    <x v="2"/>
    <x v="2"/>
    <x v="2"/>
    <x v="3"/>
    <s v="Footwear"/>
    <s v="Running Shoes"/>
    <n v="1"/>
    <n v="425.38"/>
    <n v="425.38"/>
    <n v="0"/>
    <n v="73.55"/>
    <n v="320.77999999999997"/>
    <x v="4"/>
    <x v="0"/>
  </r>
  <r>
    <s v="ORD-10590"/>
    <x v="366"/>
    <s v="Myra Chopra"/>
    <x v="1"/>
    <x v="2"/>
    <x v="11"/>
    <x v="2"/>
    <s v="Non-Fiction"/>
    <s v="The Growth Mindset"/>
    <n v="1"/>
    <n v="911.1"/>
    <n v="865.54"/>
    <n v="5"/>
    <n v="-0.43"/>
    <n v="310.85000000000002"/>
    <x v="4"/>
    <x v="0"/>
  </r>
  <r>
    <s v="ORD-10368"/>
    <x v="367"/>
    <s v="Navya Mishra"/>
    <x v="2"/>
    <x v="1"/>
    <x v="3"/>
    <x v="1"/>
    <s v="Cookware"/>
    <s v="Steel Kadai"/>
    <n v="2"/>
    <n v="7071.89"/>
    <n v="14143.78"/>
    <n v="0"/>
    <n v="1910.49"/>
    <n v="198.39"/>
    <x v="1"/>
    <x v="2"/>
  </r>
  <r>
    <s v="ORD-10759"/>
    <x v="367"/>
    <s v="Neha Das"/>
    <x v="2"/>
    <x v="1"/>
    <x v="1"/>
    <x v="2"/>
    <s v="Academic"/>
    <s v="Calculus Made Easy"/>
    <n v="1"/>
    <n v="222.79"/>
    <n v="211.65"/>
    <n v="5"/>
    <n v="39.64"/>
    <n v="246.36"/>
    <x v="1"/>
    <x v="3"/>
  </r>
  <r>
    <s v="ORD-10223"/>
    <x v="367"/>
    <s v="Vihaan Desai"/>
    <x v="2"/>
    <x v="2"/>
    <x v="8"/>
    <x v="2"/>
    <s v="Academic"/>
    <s v="Physics Fundamentals"/>
    <n v="3"/>
    <n v="1098.53"/>
    <n v="2966.03"/>
    <n v="10"/>
    <n v="467.87"/>
    <n v="76.510000000000005"/>
    <x v="3"/>
    <x v="2"/>
  </r>
  <r>
    <s v="ORD-10224"/>
    <x v="368"/>
    <s v="Simran Chopra"/>
    <x v="2"/>
    <x v="0"/>
    <x v="0"/>
    <x v="3"/>
    <s v="Gym Equipment"/>
    <s v="Yoga Mat Pro"/>
    <n v="2"/>
    <n v="927.6"/>
    <n v="1298.6400000000001"/>
    <n v="30"/>
    <n v="92.76"/>
    <n v="270.77999999999997"/>
    <x v="0"/>
    <x v="0"/>
  </r>
  <r>
    <s v="ORD-10842"/>
    <x v="369"/>
    <s v="Simran Agarwal"/>
    <x v="1"/>
    <x v="2"/>
    <x v="9"/>
    <x v="3"/>
    <s v="Footwear"/>
    <s v="Formal Loafers"/>
    <n v="3"/>
    <n v="1123.01"/>
    <n v="3200.58"/>
    <n v="5"/>
    <n v="665.28"/>
    <n v="281.44"/>
    <x v="3"/>
    <x v="0"/>
  </r>
  <r>
    <s v="ORD-10021"/>
    <x v="370"/>
    <s v="Navya Patel"/>
    <x v="2"/>
    <x v="1"/>
    <x v="1"/>
    <x v="4"/>
    <s v="Skincare"/>
    <s v="Vitamin C Serum"/>
    <n v="1"/>
    <n v="1286.0899999999999"/>
    <n v="1221.79"/>
    <n v="5"/>
    <n v="327.54000000000002"/>
    <n v="273.45"/>
    <x v="1"/>
    <x v="0"/>
  </r>
  <r>
    <s v="ORD-10199"/>
    <x v="371"/>
    <s v="Kiara Gupta"/>
    <x v="0"/>
    <x v="2"/>
    <x v="2"/>
    <x v="3"/>
    <s v="Footwear"/>
    <s v="Sandals"/>
    <n v="4"/>
    <n v="9768.86"/>
    <n v="39075.440000000002"/>
    <n v="0"/>
    <n v="8845.48"/>
    <n v="274.92"/>
    <x v="3"/>
    <x v="0"/>
  </r>
  <r>
    <s v="ORD-10555"/>
    <x v="372"/>
    <s v="Diya Mehta"/>
    <x v="2"/>
    <x v="3"/>
    <x v="10"/>
    <x v="1"/>
    <s v="Furniture"/>
    <s v="Study Table"/>
    <n v="3"/>
    <n v="8989.52"/>
    <n v="22923.279999999999"/>
    <n v="15"/>
    <n v="2546.0700000000002"/>
    <n v="306.06"/>
    <x v="3"/>
    <x v="2"/>
  </r>
  <r>
    <s v="ORD-10989"/>
    <x v="373"/>
    <s v="Ira Verma"/>
    <x v="0"/>
    <x v="0"/>
    <x v="12"/>
    <x v="3"/>
    <s v="Outdoor Gear"/>
    <s v="Trekking Pole"/>
    <n v="2"/>
    <n v="1687.67"/>
    <n v="2362.7399999999998"/>
    <n v="30"/>
    <n v="-32.94"/>
    <n v="86.15"/>
    <x v="4"/>
    <x v="2"/>
  </r>
  <r>
    <s v="ORD-10753"/>
    <x v="373"/>
    <s v="Myra Verma"/>
    <x v="1"/>
    <x v="0"/>
    <x v="4"/>
    <x v="5"/>
    <s v="Men's Wear"/>
    <s v="Cotton Kurta"/>
    <n v="1"/>
    <n v="698.66"/>
    <n v="698.66"/>
    <n v="0"/>
    <n v="180.14"/>
    <n v="304.57"/>
    <x v="1"/>
    <x v="0"/>
  </r>
  <r>
    <s v="ORD-10796"/>
    <x v="374"/>
    <s v="Vivaan Agarwal"/>
    <x v="2"/>
    <x v="0"/>
    <x v="4"/>
    <x v="0"/>
    <s v="Cameras"/>
    <s v="PixelPro DSLR"/>
    <n v="1"/>
    <n v="60682.19"/>
    <n v="48545.75"/>
    <n v="20"/>
    <n v="5545.56"/>
    <n v="267.31"/>
    <x v="0"/>
    <x v="2"/>
  </r>
  <r>
    <s v="ORD-10642"/>
    <x v="374"/>
    <s v="Kabir Patel"/>
    <x v="2"/>
    <x v="2"/>
    <x v="2"/>
    <x v="2"/>
    <s v="Comics"/>
    <s v="Comic Universe"/>
    <n v="2"/>
    <n v="381.51"/>
    <n v="572.26"/>
    <n v="25"/>
    <n v="-32.49"/>
    <n v="288.99"/>
    <x v="0"/>
    <x v="3"/>
  </r>
  <r>
    <s v="ORD-10504"/>
    <x v="374"/>
    <s v="Karan Rao"/>
    <x v="1"/>
    <x v="3"/>
    <x v="7"/>
    <x v="4"/>
    <s v="Makeup"/>
    <s v="Matte Lipstick"/>
    <n v="2"/>
    <n v="1335.16"/>
    <n v="2136.2600000000002"/>
    <n v="20"/>
    <n v="370.5"/>
    <n v="269.72000000000003"/>
    <x v="0"/>
    <x v="2"/>
  </r>
  <r>
    <s v="ORD-10943"/>
    <x v="374"/>
    <s v="Vihaan Khan"/>
    <x v="0"/>
    <x v="2"/>
    <x v="8"/>
    <x v="4"/>
    <s v="Makeup"/>
    <s v="Compact Powder"/>
    <n v="2"/>
    <n v="2361.0100000000002"/>
    <n v="4485.92"/>
    <n v="5"/>
    <n v="1234.8800000000001"/>
    <n v="310.10000000000002"/>
    <x v="2"/>
    <x v="0"/>
  </r>
  <r>
    <s v="ORD-10633"/>
    <x v="375"/>
    <s v="Krishna Agarwal"/>
    <x v="2"/>
    <x v="1"/>
    <x v="3"/>
    <x v="1"/>
    <s v="Cookware"/>
    <s v="Pressure Cooker"/>
    <n v="2"/>
    <n v="3830.06"/>
    <n v="7277.11"/>
    <n v="5"/>
    <n v="935.07"/>
    <n v="248.53"/>
    <x v="3"/>
    <x v="1"/>
  </r>
  <r>
    <s v="ORD-10457"/>
    <x v="376"/>
    <s v="Raj Mishra"/>
    <x v="1"/>
    <x v="0"/>
    <x v="4"/>
    <x v="4"/>
    <s v="Skincare"/>
    <s v="Face Wash Gel"/>
    <n v="2"/>
    <n v="1229.49"/>
    <n v="2090.13"/>
    <n v="15"/>
    <n v="268.70999999999998"/>
    <n v="241.31"/>
    <x v="4"/>
    <x v="0"/>
  </r>
  <r>
    <s v="ORD-10967"/>
    <x v="377"/>
    <s v="Raj Malhotra"/>
    <x v="0"/>
    <x v="1"/>
    <x v="1"/>
    <x v="1"/>
    <s v="Cookware"/>
    <s v="Pressure Cooker"/>
    <n v="2"/>
    <n v="6834.89"/>
    <n v="12302.8"/>
    <n v="10"/>
    <n v="2185.96"/>
    <n v="176.45"/>
    <x v="2"/>
    <x v="3"/>
  </r>
  <r>
    <s v="ORD-10730"/>
    <x v="378"/>
    <s v="Myra Das"/>
    <x v="2"/>
    <x v="0"/>
    <x v="4"/>
    <x v="5"/>
    <s v="Kids Wear"/>
    <s v="School Uniform Set"/>
    <n v="3"/>
    <n v="4454.71"/>
    <n v="9354.89"/>
    <n v="30"/>
    <n v="473.02"/>
    <n v="134.1"/>
    <x v="0"/>
    <x v="2"/>
  </r>
  <r>
    <s v="ORD-10254"/>
    <x v="378"/>
    <s v="Aarav Kapoor"/>
    <x v="2"/>
    <x v="0"/>
    <x v="0"/>
    <x v="3"/>
    <s v="Gym Equipment"/>
    <s v="Resistance Bands Set"/>
    <n v="3"/>
    <n v="13122.51"/>
    <n v="33462.400000000001"/>
    <n v="15"/>
    <n v="4766.2299999999996"/>
    <n v="69.36"/>
    <x v="1"/>
    <x v="0"/>
  </r>
  <r>
    <s v="ORD-10114"/>
    <x v="379"/>
    <s v="Ananya Nair"/>
    <x v="1"/>
    <x v="0"/>
    <x v="4"/>
    <x v="0"/>
    <s v="Headphones"/>
    <s v="StudioMax"/>
    <n v="2"/>
    <n v="6061.58"/>
    <n v="8486.2099999999991"/>
    <n v="30"/>
    <n v="-1312.22"/>
    <n v="345.97"/>
    <x v="3"/>
    <x v="0"/>
  </r>
  <r>
    <s v="ORD-10456"/>
    <x v="380"/>
    <s v="Diya Bose"/>
    <x v="0"/>
    <x v="3"/>
    <x v="7"/>
    <x v="0"/>
    <s v="Mobiles"/>
    <s v="Nova 5G"/>
    <n v="1"/>
    <n v="13694.64"/>
    <n v="13694.64"/>
    <n v="0"/>
    <n v="885.15"/>
    <n v="317.02999999999997"/>
    <x v="3"/>
    <x v="0"/>
  </r>
  <r>
    <s v="ORD-10895"/>
    <x v="380"/>
    <s v="Aadhya Agarwal"/>
    <x v="2"/>
    <x v="1"/>
    <x v="1"/>
    <x v="2"/>
    <s v="Academic"/>
    <s v="Statistics Handbook"/>
    <n v="3"/>
    <n v="370.83"/>
    <n v="1001.24"/>
    <n v="10"/>
    <n v="51.43"/>
    <n v="336.98"/>
    <x v="3"/>
    <x v="3"/>
  </r>
  <r>
    <s v="ORD-10613"/>
    <x v="381"/>
    <s v="Krishna Patel"/>
    <x v="2"/>
    <x v="3"/>
    <x v="7"/>
    <x v="2"/>
    <s v="Comics"/>
    <s v="Manga Vol. 1"/>
    <n v="2"/>
    <n v="577.01"/>
    <n v="1154.02"/>
    <n v="0"/>
    <n v="174.89"/>
    <n v="115.12"/>
    <x v="3"/>
    <x v="2"/>
  </r>
  <r>
    <s v="ORD-10569"/>
    <x v="382"/>
    <s v="Aditya Joshi"/>
    <x v="2"/>
    <x v="2"/>
    <x v="2"/>
    <x v="4"/>
    <s v="Fragrances"/>
    <s v="Woody Cologne"/>
    <n v="5"/>
    <n v="930.45"/>
    <n v="4419.6400000000003"/>
    <n v="5"/>
    <n v="1104.96"/>
    <n v="104.99"/>
    <x v="2"/>
    <x v="2"/>
  </r>
  <r>
    <s v="ORD-10187"/>
    <x v="382"/>
    <s v="Kiara Bose"/>
    <x v="2"/>
    <x v="2"/>
    <x v="8"/>
    <x v="1"/>
    <s v="Appliances"/>
    <s v="Mixer Grinder"/>
    <n v="1"/>
    <n v="3875.31"/>
    <n v="3100.25"/>
    <n v="20"/>
    <n v="51.02"/>
    <n v="166.57"/>
    <x v="1"/>
    <x v="2"/>
  </r>
  <r>
    <s v="ORD-10734"/>
    <x v="382"/>
    <s v="Diya Malhotra"/>
    <x v="1"/>
    <x v="1"/>
    <x v="1"/>
    <x v="2"/>
    <s v="Comics"/>
    <s v="Comic Universe"/>
    <n v="1"/>
    <n v="541.9"/>
    <n v="379.33"/>
    <n v="30"/>
    <n v="0.97"/>
    <n v="232.24"/>
    <x v="0"/>
    <x v="1"/>
  </r>
  <r>
    <s v="ORD-10647"/>
    <x v="383"/>
    <s v="Meera Kapoor"/>
    <x v="0"/>
    <x v="2"/>
    <x v="9"/>
    <x v="3"/>
    <s v="Apparel"/>
    <s v="Sports Jacket"/>
    <n v="3"/>
    <n v="5759.96"/>
    <n v="12095.92"/>
    <n v="30"/>
    <n v="896.27"/>
    <n v="207.75"/>
    <x v="0"/>
    <x v="0"/>
  </r>
  <r>
    <s v="ORD-10024"/>
    <x v="384"/>
    <s v="Raj Bose"/>
    <x v="0"/>
    <x v="0"/>
    <x v="4"/>
    <x v="3"/>
    <s v="Apparel"/>
    <s v="Track Pants"/>
    <n v="1"/>
    <n v="8601.99"/>
    <n v="8601.99"/>
    <n v="0"/>
    <n v="1305.1099999999999"/>
    <n v="252.57"/>
    <x v="1"/>
    <x v="2"/>
  </r>
  <r>
    <s v="ORD-10057"/>
    <x v="385"/>
    <s v="Aditya Agarwal"/>
    <x v="2"/>
    <x v="1"/>
    <x v="13"/>
    <x v="4"/>
    <s v="Fragrances"/>
    <s v="Woody Cologne"/>
    <n v="1"/>
    <n v="1800.87"/>
    <n v="1710.83"/>
    <n v="5"/>
    <n v="352.1"/>
    <n v="226.8"/>
    <x v="1"/>
    <x v="0"/>
  </r>
  <r>
    <s v="ORD-10240"/>
    <x v="386"/>
    <s v="Ira Rao"/>
    <x v="2"/>
    <x v="1"/>
    <x v="1"/>
    <x v="0"/>
    <s v="Cameras"/>
    <s v="PixelPro DSLR"/>
    <n v="1"/>
    <n v="26820.82"/>
    <n v="26820.82"/>
    <n v="0"/>
    <n v="2960.5"/>
    <n v="298.10000000000002"/>
    <x v="1"/>
    <x v="3"/>
  </r>
  <r>
    <s v="ORD-10766"/>
    <x v="386"/>
    <s v="Saanvi Kapoor"/>
    <x v="2"/>
    <x v="3"/>
    <x v="5"/>
    <x v="1"/>
    <s v="Furniture"/>
    <s v="Bookshelf Unit"/>
    <n v="3"/>
    <n v="8486.7800000000007"/>
    <n v="20368.27"/>
    <n v="20"/>
    <n v="1886.5"/>
    <n v="267.56"/>
    <x v="1"/>
    <x v="0"/>
  </r>
  <r>
    <s v="ORD-10498"/>
    <x v="387"/>
    <s v="Krishna Gupta"/>
    <x v="0"/>
    <x v="2"/>
    <x v="9"/>
    <x v="3"/>
    <s v="Gym Equipment"/>
    <s v="Resistance Bands Set"/>
    <n v="2"/>
    <n v="7272.03"/>
    <n v="13816.86"/>
    <n v="5"/>
    <n v="2483.31"/>
    <n v="59.61"/>
    <x v="0"/>
    <x v="0"/>
  </r>
  <r>
    <s v="ORD-10608"/>
    <x v="387"/>
    <s v="Ananya Rao"/>
    <x v="2"/>
    <x v="3"/>
    <x v="7"/>
    <x v="4"/>
    <s v="Skincare"/>
    <s v="Aloe Moisturizer"/>
    <n v="5"/>
    <n v="2382.86"/>
    <n v="11914.3"/>
    <n v="0"/>
    <n v="2907.49"/>
    <n v="397.94"/>
    <x v="0"/>
    <x v="2"/>
  </r>
  <r>
    <s v="ORD-10740"/>
    <x v="388"/>
    <s v="Anika Nair"/>
    <x v="2"/>
    <x v="1"/>
    <x v="1"/>
    <x v="5"/>
    <s v="Footwear"/>
    <s v="Casual Sneakers"/>
    <n v="1"/>
    <n v="957.2"/>
    <n v="765.76"/>
    <n v="20"/>
    <n v="152.76"/>
    <n v="181.65"/>
    <x v="3"/>
    <x v="3"/>
  </r>
  <r>
    <s v="ORD-10026"/>
    <x v="388"/>
    <s v="Aarav Nair"/>
    <x v="0"/>
    <x v="2"/>
    <x v="11"/>
    <x v="5"/>
    <s v="Women's Wear"/>
    <s v="Ethnic Kurti"/>
    <n v="1"/>
    <n v="2960.3"/>
    <n v="2220.23"/>
    <n v="25"/>
    <n v="99.72"/>
    <n v="308.87"/>
    <x v="4"/>
    <x v="2"/>
  </r>
  <r>
    <s v="ORD-10381"/>
    <x v="388"/>
    <s v="Raj Khan"/>
    <x v="2"/>
    <x v="0"/>
    <x v="12"/>
    <x v="2"/>
    <s v="Academic"/>
    <s v="Physics Fundamentals"/>
    <n v="1"/>
    <n v="655.41"/>
    <n v="655.41"/>
    <n v="0"/>
    <n v="80.41"/>
    <n v="201.3"/>
    <x v="1"/>
    <x v="1"/>
  </r>
  <r>
    <s v="ORD-10321"/>
    <x v="389"/>
    <s v="Ishaan Mishra"/>
    <x v="2"/>
    <x v="1"/>
    <x v="3"/>
    <x v="1"/>
    <s v="Appliances"/>
    <s v="Air Fryer"/>
    <n v="2"/>
    <n v="11735.22"/>
    <n v="19949.87"/>
    <n v="15"/>
    <n v="2798.11"/>
    <n v="295.36"/>
    <x v="2"/>
    <x v="3"/>
  </r>
  <r>
    <s v="ORD-10549"/>
    <x v="389"/>
    <s v="Aarav Bose"/>
    <x v="2"/>
    <x v="1"/>
    <x v="13"/>
    <x v="2"/>
    <s v="Comics"/>
    <s v="Graphic Tales"/>
    <n v="1"/>
    <n v="1077.6400000000001"/>
    <n v="862.11"/>
    <n v="20"/>
    <n v="51.45"/>
    <n v="230.51"/>
    <x v="2"/>
    <x v="0"/>
  </r>
  <r>
    <s v="ORD-10853"/>
    <x v="389"/>
    <s v="Riya Mehta"/>
    <x v="2"/>
    <x v="3"/>
    <x v="6"/>
    <x v="1"/>
    <s v="Decor"/>
    <s v="Table Lamp"/>
    <n v="3"/>
    <n v="11286.39"/>
    <n v="25394.38"/>
    <n v="25"/>
    <n v="17.100000000000001"/>
    <n v="173.49"/>
    <x v="3"/>
    <x v="3"/>
  </r>
  <r>
    <s v="ORD-10162"/>
    <x v="389"/>
    <s v="Reyansh Mishra"/>
    <x v="0"/>
    <x v="0"/>
    <x v="12"/>
    <x v="3"/>
    <s v="Gym Equipment"/>
    <s v="Adjustable Dumbbells"/>
    <n v="2"/>
    <n v="7714.85"/>
    <n v="13886.73"/>
    <n v="10"/>
    <n v="2149.35"/>
    <n v="119.31"/>
    <x v="2"/>
    <x v="0"/>
  </r>
  <r>
    <s v="ORD-10524"/>
    <x v="390"/>
    <s v="Anika Mishra"/>
    <x v="2"/>
    <x v="2"/>
    <x v="2"/>
    <x v="4"/>
    <s v="Haircare"/>
    <s v="Argan Oil Shampoo"/>
    <n v="4"/>
    <n v="1593.29"/>
    <n v="6373.16"/>
    <n v="0"/>
    <n v="2207.13"/>
    <n v="191.67"/>
    <x v="3"/>
    <x v="0"/>
  </r>
  <r>
    <s v="ORD-10446"/>
    <x v="391"/>
    <s v="Myra Nair"/>
    <x v="2"/>
    <x v="3"/>
    <x v="6"/>
    <x v="0"/>
    <s v="Laptops"/>
    <s v="UltraSlim 15"/>
    <n v="4"/>
    <n v="28546.63"/>
    <n v="114186.52"/>
    <n v="0"/>
    <n v="9323.17"/>
    <n v="120.11"/>
    <x v="0"/>
    <x v="0"/>
  </r>
  <r>
    <s v="ORD-10629"/>
    <x v="392"/>
    <s v="Navya Iyer"/>
    <x v="0"/>
    <x v="1"/>
    <x v="13"/>
    <x v="0"/>
    <s v="Headphones"/>
    <s v="StudioMax"/>
    <n v="1"/>
    <n v="38307.5"/>
    <n v="36392.120000000003"/>
    <n v="5"/>
    <n v="6143.79"/>
    <n v="195.34"/>
    <x v="0"/>
    <x v="0"/>
  </r>
  <r>
    <s v="ORD-10953"/>
    <x v="392"/>
    <s v="Aditya Agarwal"/>
    <x v="1"/>
    <x v="2"/>
    <x v="8"/>
    <x v="1"/>
    <s v="Furniture"/>
    <s v="Wooden Chair"/>
    <n v="3"/>
    <n v="2713.17"/>
    <n v="8139.51"/>
    <n v="0"/>
    <n v="1475.75"/>
    <n v="81.790000000000006"/>
    <x v="4"/>
    <x v="3"/>
  </r>
  <r>
    <s v="ORD-10436"/>
    <x v="393"/>
    <s v="Kabir Patel"/>
    <x v="2"/>
    <x v="2"/>
    <x v="11"/>
    <x v="4"/>
    <s v="Skincare"/>
    <s v="Face Wash Gel"/>
    <n v="1"/>
    <n v="350.34"/>
    <n v="350.34"/>
    <n v="0"/>
    <n v="64.17"/>
    <n v="186.02"/>
    <x v="3"/>
    <x v="3"/>
  </r>
  <r>
    <s v="ORD-10887"/>
    <x v="393"/>
    <s v="Raj Khan"/>
    <x v="0"/>
    <x v="0"/>
    <x v="12"/>
    <x v="2"/>
    <s v="Fiction"/>
    <s v="Mystery of Ashgrove"/>
    <n v="3"/>
    <n v="1068.8699999999999"/>
    <n v="3206.61"/>
    <n v="0"/>
    <n v="410.67"/>
    <n v="234.59"/>
    <x v="2"/>
    <x v="1"/>
  </r>
  <r>
    <s v="ORD-10542"/>
    <x v="393"/>
    <s v="Simran Malhotra"/>
    <x v="0"/>
    <x v="0"/>
    <x v="0"/>
    <x v="3"/>
    <s v="Footwear"/>
    <s v="Sandals"/>
    <n v="3"/>
    <n v="2529.86"/>
    <n v="6071.66"/>
    <n v="20"/>
    <n v="508.71"/>
    <n v="208.06"/>
    <x v="3"/>
    <x v="0"/>
  </r>
  <r>
    <s v="ORD-10859"/>
    <x v="394"/>
    <s v="Ira Desai"/>
    <x v="1"/>
    <x v="1"/>
    <x v="1"/>
    <x v="1"/>
    <s v="Appliances"/>
    <s v="Electric Kettle"/>
    <n v="4"/>
    <n v="11237.93"/>
    <n v="44951.72"/>
    <n v="0"/>
    <n v="8597.61"/>
    <n v="276.54000000000002"/>
    <x v="0"/>
    <x v="1"/>
  </r>
  <r>
    <s v="ORD-10410"/>
    <x v="395"/>
    <s v="Saanvi Reddy"/>
    <x v="2"/>
    <x v="0"/>
    <x v="0"/>
    <x v="4"/>
    <s v="Haircare"/>
    <s v="Argan Oil Shampoo"/>
    <n v="2"/>
    <n v="767.36"/>
    <n v="1304.51"/>
    <n v="15"/>
    <n v="232.67"/>
    <n v="277.47000000000003"/>
    <x v="3"/>
    <x v="3"/>
  </r>
  <r>
    <s v="ORD-10237"/>
    <x v="396"/>
    <s v="Reyansh Singh"/>
    <x v="0"/>
    <x v="3"/>
    <x v="7"/>
    <x v="2"/>
    <s v="Fiction"/>
    <s v="Beyond the Horizon"/>
    <n v="1"/>
    <n v="264.94"/>
    <n v="225.2"/>
    <n v="15"/>
    <n v="2.78"/>
    <n v="336.05"/>
    <x v="3"/>
    <x v="0"/>
  </r>
  <r>
    <s v="ORD-10772"/>
    <x v="397"/>
    <s v="Reyansh Gupta"/>
    <x v="2"/>
    <x v="1"/>
    <x v="3"/>
    <x v="5"/>
    <s v="Footwear"/>
    <s v="Casual Sneakers"/>
    <n v="4"/>
    <n v="2789.93"/>
    <n v="10043.75"/>
    <n v="10"/>
    <n v="1877.58"/>
    <n v="188.58"/>
    <x v="2"/>
    <x v="2"/>
  </r>
  <r>
    <s v="ORD-10096"/>
    <x v="398"/>
    <s v="Anika Reddy"/>
    <x v="2"/>
    <x v="0"/>
    <x v="4"/>
    <x v="1"/>
    <s v="Furniture"/>
    <s v="Wooden Chair"/>
    <n v="1"/>
    <n v="8381.15"/>
    <n v="7123.98"/>
    <n v="15"/>
    <n v="927.48"/>
    <n v="297.83"/>
    <x v="0"/>
    <x v="1"/>
  </r>
  <r>
    <s v="ORD-10281"/>
    <x v="398"/>
    <s v="Dhruv Malhotra"/>
    <x v="0"/>
    <x v="3"/>
    <x v="6"/>
    <x v="2"/>
    <s v="Academic"/>
    <s v="Physics Fundamentals"/>
    <n v="1"/>
    <n v="1186"/>
    <n v="1008.1"/>
    <n v="15"/>
    <n v="60.3"/>
    <n v="227.81"/>
    <x v="1"/>
    <x v="0"/>
  </r>
  <r>
    <s v="ORD-10319"/>
    <x v="398"/>
    <s v="Reyansh Sharma"/>
    <x v="0"/>
    <x v="2"/>
    <x v="9"/>
    <x v="1"/>
    <s v="Appliances"/>
    <s v="Air Fryer"/>
    <n v="3"/>
    <n v="1712.07"/>
    <n v="4622.59"/>
    <n v="10"/>
    <n v="697.56"/>
    <n v="324.58999999999997"/>
    <x v="1"/>
    <x v="0"/>
  </r>
  <r>
    <s v="ORD-10256"/>
    <x v="399"/>
    <s v="Kiara Mehta"/>
    <x v="0"/>
    <x v="1"/>
    <x v="13"/>
    <x v="2"/>
    <s v="Academic"/>
    <s v="Statistics Handbook"/>
    <n v="3"/>
    <n v="682.84"/>
    <n v="1946.09"/>
    <n v="5"/>
    <n v="295.7"/>
    <n v="62.04"/>
    <x v="1"/>
    <x v="3"/>
  </r>
  <r>
    <s v="ORD-10982"/>
    <x v="399"/>
    <s v="Simran Rao"/>
    <x v="0"/>
    <x v="0"/>
    <x v="12"/>
    <x v="5"/>
    <s v="Kids Wear"/>
    <s v="Cartoon T-Shirt"/>
    <n v="2"/>
    <n v="2793.88"/>
    <n v="5587.76"/>
    <n v="0"/>
    <n v="901.34"/>
    <n v="229.19"/>
    <x v="0"/>
    <x v="3"/>
  </r>
  <r>
    <s v="ORD-10847"/>
    <x v="400"/>
    <s v="Rohan Singh"/>
    <x v="2"/>
    <x v="2"/>
    <x v="8"/>
    <x v="4"/>
    <s v="Fragrances"/>
    <s v="Floral Mist"/>
    <n v="2"/>
    <n v="2299.65"/>
    <n v="4139.37"/>
    <n v="10"/>
    <n v="643.72"/>
    <n v="89.67"/>
    <x v="2"/>
    <x v="1"/>
  </r>
  <r>
    <s v="ORD-10665"/>
    <x v="401"/>
    <s v="Saanvi Sharma"/>
    <x v="1"/>
    <x v="2"/>
    <x v="8"/>
    <x v="5"/>
    <s v="Kids Wear"/>
    <s v="School Uniform Set"/>
    <n v="1"/>
    <n v="788"/>
    <n v="748.6"/>
    <n v="5"/>
    <n v="167.37"/>
    <n v="222.35"/>
    <x v="3"/>
    <x v="3"/>
  </r>
  <r>
    <s v="ORD-10659"/>
    <x v="402"/>
    <s v="Anika Mishra"/>
    <x v="2"/>
    <x v="3"/>
    <x v="10"/>
    <x v="4"/>
    <s v="Fragrances"/>
    <s v="Citrus Eau de Toilette"/>
    <n v="3"/>
    <n v="1644.38"/>
    <n v="4193.17"/>
    <n v="15"/>
    <n v="657.74"/>
    <n v="119.81"/>
    <x v="4"/>
    <x v="0"/>
  </r>
  <r>
    <s v="ORD-10619"/>
    <x v="403"/>
    <s v="Meera Desai"/>
    <x v="2"/>
    <x v="3"/>
    <x v="7"/>
    <x v="1"/>
    <s v="Furniture"/>
    <s v="Study Table"/>
    <n v="1"/>
    <n v="6954.99"/>
    <n v="6954.99"/>
    <n v="0"/>
    <n v="1249.69"/>
    <n v="33.869999999999997"/>
    <x v="1"/>
    <x v="0"/>
  </r>
  <r>
    <s v="ORD-10380"/>
    <x v="404"/>
    <s v="Aditya Desai"/>
    <x v="2"/>
    <x v="2"/>
    <x v="8"/>
    <x v="5"/>
    <s v="Women's Wear"/>
    <s v="Denim Jacket"/>
    <n v="2"/>
    <n v="4348.05"/>
    <n v="8696.1"/>
    <n v="0"/>
    <n v="1775.46"/>
    <n v="124.55"/>
    <x v="4"/>
    <x v="0"/>
  </r>
  <r>
    <s v="ORD-10083"/>
    <x v="405"/>
    <s v="Myra Kapoor"/>
    <x v="2"/>
    <x v="0"/>
    <x v="12"/>
    <x v="3"/>
    <s v="Gym Equipment"/>
    <s v="Adjustable Dumbbells"/>
    <n v="1"/>
    <n v="5340.15"/>
    <n v="4539.13"/>
    <n v="15"/>
    <n v="492.85"/>
    <n v="251.72"/>
    <x v="0"/>
    <x v="2"/>
  </r>
  <r>
    <s v="ORD-10427"/>
    <x v="405"/>
    <s v="Krishna Khan"/>
    <x v="1"/>
    <x v="0"/>
    <x v="12"/>
    <x v="4"/>
    <s v="Makeup"/>
    <s v="Eyeliner Pro"/>
    <n v="1"/>
    <n v="1551.87"/>
    <n v="1396.68"/>
    <n v="10"/>
    <n v="273.13"/>
    <n v="137.04"/>
    <x v="3"/>
    <x v="3"/>
  </r>
  <r>
    <s v="ORD-10195"/>
    <x v="406"/>
    <s v="Neha Bose"/>
    <x v="2"/>
    <x v="3"/>
    <x v="7"/>
    <x v="4"/>
    <s v="Makeup"/>
    <s v="Matte Lipstick"/>
    <n v="5"/>
    <n v="747.82"/>
    <n v="3739.1"/>
    <n v="0"/>
    <n v="1002.02"/>
    <n v="321.13"/>
    <x v="4"/>
    <x v="2"/>
  </r>
  <r>
    <s v="ORD-10809"/>
    <x v="407"/>
    <s v="Raj Agarwal"/>
    <x v="2"/>
    <x v="0"/>
    <x v="0"/>
    <x v="5"/>
    <s v="Men's Wear"/>
    <s v="Casual Blazer"/>
    <n v="1"/>
    <n v="1158.68"/>
    <n v="984.88"/>
    <n v="15"/>
    <n v="134.99"/>
    <n v="226.84"/>
    <x v="3"/>
    <x v="0"/>
  </r>
  <r>
    <s v="ORD-10150"/>
    <x v="407"/>
    <s v="Kiara Agarwal"/>
    <x v="2"/>
    <x v="2"/>
    <x v="11"/>
    <x v="5"/>
    <s v="Footwear"/>
    <s v="Formal Loafers"/>
    <n v="2"/>
    <n v="1017.73"/>
    <n v="1526.6"/>
    <n v="25"/>
    <n v="117.95"/>
    <n v="258.97000000000003"/>
    <x v="4"/>
    <x v="2"/>
  </r>
  <r>
    <s v="ORD-10081"/>
    <x v="408"/>
    <s v="Vihaan Sharma"/>
    <x v="2"/>
    <x v="2"/>
    <x v="11"/>
    <x v="4"/>
    <s v="Makeup"/>
    <s v="Foundation Stick"/>
    <n v="1"/>
    <n v="1067.7"/>
    <n v="907.54"/>
    <n v="15"/>
    <n v="177.44"/>
    <n v="137.69999999999999"/>
    <x v="3"/>
    <x v="0"/>
  </r>
  <r>
    <s v="ORD-10055"/>
    <x v="408"/>
    <s v="Aditya Singh"/>
    <x v="1"/>
    <x v="2"/>
    <x v="2"/>
    <x v="3"/>
    <s v="Apparel"/>
    <s v="Sports Jacket"/>
    <n v="3"/>
    <n v="14467.03"/>
    <n v="39060.980000000003"/>
    <n v="10"/>
    <n v="4584.8599999999997"/>
    <n v="183.23"/>
    <x v="3"/>
    <x v="1"/>
  </r>
  <r>
    <s v="ORD-10377"/>
    <x v="409"/>
    <s v="Raj Nair"/>
    <x v="2"/>
    <x v="2"/>
    <x v="2"/>
    <x v="1"/>
    <s v="Appliances"/>
    <s v="Microwave Oven"/>
    <n v="2"/>
    <n v="6309.3"/>
    <n v="11987.67"/>
    <n v="5"/>
    <n v="878.52"/>
    <n v="244.65"/>
    <x v="0"/>
    <x v="1"/>
  </r>
  <r>
    <s v="ORD-10861"/>
    <x v="410"/>
    <s v="Pooja Das"/>
    <x v="1"/>
    <x v="0"/>
    <x v="12"/>
    <x v="3"/>
    <s v="Gym Equipment"/>
    <s v="Adjustable Dumbbells"/>
    <n v="2"/>
    <n v="12428.51"/>
    <n v="22371.32"/>
    <n v="10"/>
    <n v="3393.76"/>
    <n v="217.89"/>
    <x v="3"/>
    <x v="2"/>
  </r>
  <r>
    <s v="ORD-10678"/>
    <x v="410"/>
    <s v="Reyansh Mehta"/>
    <x v="2"/>
    <x v="1"/>
    <x v="3"/>
    <x v="1"/>
    <s v="Furniture"/>
    <s v="Wooden Chair"/>
    <n v="1"/>
    <n v="4733.24"/>
    <n v="4023.25"/>
    <n v="15"/>
    <n v="417.77"/>
    <n v="46.16"/>
    <x v="2"/>
    <x v="0"/>
  </r>
  <r>
    <s v="ORD-10478"/>
    <x v="411"/>
    <s v="Diya Mehta"/>
    <x v="0"/>
    <x v="3"/>
    <x v="5"/>
    <x v="5"/>
    <s v="Men's Wear"/>
    <s v="Cotton Kurta"/>
    <n v="1"/>
    <n v="1902.77"/>
    <n v="1807.63"/>
    <n v="5"/>
    <n v="402.23"/>
    <n v="71.23"/>
    <x v="2"/>
    <x v="3"/>
  </r>
  <r>
    <s v="ORD-10854"/>
    <x v="411"/>
    <s v="Sai Khan"/>
    <x v="0"/>
    <x v="2"/>
    <x v="9"/>
    <x v="3"/>
    <s v="Outdoor Gear"/>
    <s v="Water Bottle Steel"/>
    <n v="1"/>
    <n v="10331.82"/>
    <n v="9298.64"/>
    <n v="10"/>
    <n v="1406.05"/>
    <n v="330.86"/>
    <x v="3"/>
    <x v="3"/>
  </r>
  <r>
    <s v="ORD-10460"/>
    <x v="412"/>
    <s v="Anika Sharma"/>
    <x v="2"/>
    <x v="3"/>
    <x v="6"/>
    <x v="2"/>
    <s v="Non-Fiction"/>
    <s v="The Growth Mindset"/>
    <n v="5"/>
    <n v="612.34"/>
    <n v="2755.53"/>
    <n v="10"/>
    <n v="138.53"/>
    <n v="286.89999999999998"/>
    <x v="1"/>
    <x v="0"/>
  </r>
  <r>
    <s v="ORD-10145"/>
    <x v="412"/>
    <s v="Meera Mehta"/>
    <x v="1"/>
    <x v="2"/>
    <x v="9"/>
    <x v="2"/>
    <s v="Comics"/>
    <s v="Manga Vol. 1"/>
    <n v="1"/>
    <n v="531.24"/>
    <n v="478.12"/>
    <n v="10"/>
    <n v="65.17"/>
    <n v="143.94999999999999"/>
    <x v="1"/>
    <x v="1"/>
  </r>
  <r>
    <s v="ORD-10711"/>
    <x v="413"/>
    <s v="Neha Nair"/>
    <x v="2"/>
    <x v="3"/>
    <x v="5"/>
    <x v="4"/>
    <s v="Fragrances"/>
    <s v="Musk Perfume"/>
    <n v="1"/>
    <n v="2184.84"/>
    <n v="1966.36"/>
    <n v="10"/>
    <n v="576.30999999999995"/>
    <n v="124.97"/>
    <x v="2"/>
    <x v="3"/>
  </r>
  <r>
    <s v="ORD-10681"/>
    <x v="414"/>
    <s v="Myra Gupta"/>
    <x v="0"/>
    <x v="3"/>
    <x v="10"/>
    <x v="2"/>
    <s v="Academic"/>
    <s v="Calculus Made Easy"/>
    <n v="1"/>
    <n v="926.38"/>
    <n v="926.38"/>
    <n v="0"/>
    <n v="168.89"/>
    <n v="189.37"/>
    <x v="3"/>
    <x v="0"/>
  </r>
  <r>
    <s v="ORD-10434"/>
    <x v="414"/>
    <s v="Myra Rao"/>
    <x v="2"/>
    <x v="0"/>
    <x v="12"/>
    <x v="4"/>
    <s v="Skincare"/>
    <s v="Face Wash Gel"/>
    <n v="2"/>
    <n v="849.03"/>
    <n v="1358.45"/>
    <n v="20"/>
    <n v="149.47999999999999"/>
    <n v="128.75"/>
    <x v="1"/>
    <x v="0"/>
  </r>
  <r>
    <s v="ORD-10572"/>
    <x v="415"/>
    <s v="Rohan Khan"/>
    <x v="1"/>
    <x v="1"/>
    <x v="3"/>
    <x v="4"/>
    <s v="Makeup"/>
    <s v="Eyeliner Pro"/>
    <n v="2"/>
    <n v="821.9"/>
    <n v="1561.61"/>
    <n v="5"/>
    <n v="478.29"/>
    <n v="314.67"/>
    <x v="3"/>
    <x v="0"/>
  </r>
  <r>
    <s v="ORD-10428"/>
    <x v="415"/>
    <s v="Navya Sharma"/>
    <x v="0"/>
    <x v="2"/>
    <x v="2"/>
    <x v="3"/>
    <s v="Outdoor Gear"/>
    <s v="Water Bottle Steel"/>
    <n v="3"/>
    <n v="704.41"/>
    <n v="2113.23"/>
    <n v="0"/>
    <n v="304.35000000000002"/>
    <n v="326.14"/>
    <x v="1"/>
    <x v="0"/>
  </r>
  <r>
    <s v="ORD-10027"/>
    <x v="416"/>
    <s v="Reyansh Bose"/>
    <x v="2"/>
    <x v="3"/>
    <x v="10"/>
    <x v="0"/>
    <s v="Cameras"/>
    <s v="PixelPro DSLR"/>
    <n v="3"/>
    <n v="13103.17"/>
    <n v="31447.61"/>
    <n v="20"/>
    <n v="-476.31"/>
    <n v="318.38"/>
    <x v="1"/>
    <x v="3"/>
  </r>
  <r>
    <s v="ORD-10309"/>
    <x v="416"/>
    <s v="Diya Singh"/>
    <x v="2"/>
    <x v="2"/>
    <x v="8"/>
    <x v="5"/>
    <s v="Men's Wear"/>
    <s v="Casual Blazer"/>
    <n v="1"/>
    <n v="2567.6"/>
    <n v="1925.7"/>
    <n v="25"/>
    <n v="103.83"/>
    <n v="46.54"/>
    <x v="0"/>
    <x v="3"/>
  </r>
  <r>
    <s v="ORD-10862"/>
    <x v="416"/>
    <s v="Aditya Rao"/>
    <x v="1"/>
    <x v="3"/>
    <x v="6"/>
    <x v="3"/>
    <s v="Outdoor Gear"/>
    <s v="Hiking Backpack"/>
    <n v="1"/>
    <n v="5902.94"/>
    <n v="5607.79"/>
    <n v="5"/>
    <n v="883.64"/>
    <n v="322.82"/>
    <x v="3"/>
    <x v="0"/>
  </r>
  <r>
    <s v="ORD-10746"/>
    <x v="417"/>
    <s v="Pooja Malhotra"/>
    <x v="2"/>
    <x v="3"/>
    <x v="5"/>
    <x v="4"/>
    <s v="Haircare"/>
    <s v="Hair Growth Serum"/>
    <n v="1"/>
    <n v="703.05"/>
    <n v="667.9"/>
    <n v="5"/>
    <n v="115.84"/>
    <n v="220.5"/>
    <x v="1"/>
    <x v="2"/>
  </r>
  <r>
    <s v="ORD-10214"/>
    <x v="418"/>
    <s v="Priya Rao"/>
    <x v="2"/>
    <x v="0"/>
    <x v="0"/>
    <x v="0"/>
    <s v="Mobiles"/>
    <s v="iSmart X2"/>
    <n v="1"/>
    <n v="62070.75"/>
    <n v="52760.14"/>
    <n v="15"/>
    <n v="-4098.34"/>
    <n v="73.2"/>
    <x v="3"/>
    <x v="0"/>
  </r>
  <r>
    <s v="ORD-10710"/>
    <x v="419"/>
    <s v="Kabir Mishra"/>
    <x v="2"/>
    <x v="3"/>
    <x v="10"/>
    <x v="1"/>
    <s v="Cookware"/>
    <s v="Non-Stick Pan Set"/>
    <n v="3"/>
    <n v="1763.6"/>
    <n v="4232.6400000000003"/>
    <n v="20"/>
    <n v="118.75"/>
    <n v="112.89"/>
    <x v="1"/>
    <x v="3"/>
  </r>
  <r>
    <s v="ORD-10834"/>
    <x v="420"/>
    <s v="Simran Singh"/>
    <x v="1"/>
    <x v="0"/>
    <x v="12"/>
    <x v="4"/>
    <s v="Haircare"/>
    <s v="Conditioner Pro"/>
    <n v="2"/>
    <n v="304.07"/>
    <n v="547.33000000000004"/>
    <n v="10"/>
    <n v="157.96"/>
    <n v="114.73"/>
    <x v="3"/>
    <x v="3"/>
  </r>
  <r>
    <s v="ORD-10084"/>
    <x v="421"/>
    <s v="Saanvi Agarwal"/>
    <x v="2"/>
    <x v="2"/>
    <x v="9"/>
    <x v="5"/>
    <s v="Kids Wear"/>
    <s v="Winter Jacket Jr"/>
    <n v="2"/>
    <n v="2941.56"/>
    <n v="5294.81"/>
    <n v="10"/>
    <n v="392.76"/>
    <n v="325.79000000000002"/>
    <x v="1"/>
    <x v="2"/>
  </r>
  <r>
    <s v="ORD-10525"/>
    <x v="422"/>
    <s v="Diya Mishra"/>
    <x v="1"/>
    <x v="0"/>
    <x v="0"/>
    <x v="3"/>
    <s v="Gym Equipment"/>
    <s v="Treadmill Compact"/>
    <n v="1"/>
    <n v="8850.25"/>
    <n v="8407.74"/>
    <n v="5"/>
    <n v="1034.92"/>
    <n v="83.56"/>
    <x v="1"/>
    <x v="3"/>
  </r>
  <r>
    <s v="ORD-10637"/>
    <x v="422"/>
    <s v="Reyansh Verma"/>
    <x v="0"/>
    <x v="2"/>
    <x v="9"/>
    <x v="2"/>
    <s v="Non-Fiction"/>
    <s v="The Growth Mindset"/>
    <n v="3"/>
    <n v="596.49"/>
    <n v="1789.47"/>
    <n v="0"/>
    <n v="330.18"/>
    <n v="77.48"/>
    <x v="2"/>
    <x v="2"/>
  </r>
  <r>
    <s v="ORD-10723"/>
    <x v="423"/>
    <s v="Riya Das"/>
    <x v="2"/>
    <x v="1"/>
    <x v="13"/>
    <x v="2"/>
    <s v="Non-Fiction"/>
    <s v="Mind Over Matter"/>
    <n v="3"/>
    <n v="383"/>
    <n v="1091.55"/>
    <n v="5"/>
    <n v="165.66"/>
    <n v="294.02"/>
    <x v="2"/>
    <x v="2"/>
  </r>
  <r>
    <s v="ORD-10329"/>
    <x v="423"/>
    <s v="Navya Nair"/>
    <x v="2"/>
    <x v="1"/>
    <x v="1"/>
    <x v="3"/>
    <s v="Apparel"/>
    <s v="Sports T-Shirt"/>
    <n v="1"/>
    <n v="12271.68"/>
    <n v="9817.34"/>
    <n v="20"/>
    <n v="-15.06"/>
    <n v="182.54"/>
    <x v="1"/>
    <x v="1"/>
  </r>
  <r>
    <s v="ORD-10512"/>
    <x v="423"/>
    <s v="Pooja Agarwal"/>
    <x v="0"/>
    <x v="3"/>
    <x v="5"/>
    <x v="5"/>
    <s v="Women's Wear"/>
    <s v="Silk Saree"/>
    <n v="3"/>
    <n v="4090.3"/>
    <n v="11657.35"/>
    <n v="5"/>
    <n v="2029.93"/>
    <n v="81.260000000000005"/>
    <x v="3"/>
    <x v="2"/>
  </r>
  <r>
    <s v="ORD-10305"/>
    <x v="424"/>
    <s v="Karan Das"/>
    <x v="2"/>
    <x v="1"/>
    <x v="13"/>
    <x v="1"/>
    <s v="Furniture"/>
    <s v="Sofa Set"/>
    <n v="1"/>
    <n v="2369.19"/>
    <n v="2250.73"/>
    <n v="5"/>
    <n v="101.83"/>
    <n v="295.24"/>
    <x v="3"/>
    <x v="0"/>
  </r>
  <r>
    <s v="ORD-10141"/>
    <x v="425"/>
    <s v="Vivaan Mehta"/>
    <x v="1"/>
    <x v="1"/>
    <x v="13"/>
    <x v="1"/>
    <s v="Furniture"/>
    <s v="Sofa Set"/>
    <n v="1"/>
    <n v="4776.5"/>
    <n v="3582.38"/>
    <n v="25"/>
    <n v="-8.34"/>
    <n v="68.319999999999993"/>
    <x v="3"/>
    <x v="2"/>
  </r>
  <r>
    <s v="ORD-10488"/>
    <x v="426"/>
    <s v="Kabir Agarwal"/>
    <x v="1"/>
    <x v="0"/>
    <x v="0"/>
    <x v="2"/>
    <s v="Academic"/>
    <s v="Physics Fundamentals"/>
    <n v="5"/>
    <n v="344.6"/>
    <n v="1550.7"/>
    <n v="10"/>
    <n v="201.16"/>
    <n v="115.27"/>
    <x v="1"/>
    <x v="3"/>
  </r>
  <r>
    <s v="ORD-10435"/>
    <x v="426"/>
    <s v="Vivaan Gupta"/>
    <x v="2"/>
    <x v="0"/>
    <x v="12"/>
    <x v="3"/>
    <s v="Apparel"/>
    <s v="Sports Jacket"/>
    <n v="3"/>
    <n v="14631.33"/>
    <n v="41699.29"/>
    <n v="5"/>
    <n v="4859.53"/>
    <n v="330.33"/>
    <x v="4"/>
    <x v="2"/>
  </r>
  <r>
    <s v="ORD-10562"/>
    <x v="426"/>
    <s v="Priya Agarwal"/>
    <x v="0"/>
    <x v="1"/>
    <x v="3"/>
    <x v="3"/>
    <s v="Apparel"/>
    <s v="Sports T-Shirt"/>
    <n v="1"/>
    <n v="6284.75"/>
    <n v="6284.75"/>
    <n v="0"/>
    <n v="1456.9"/>
    <n v="319.95999999999998"/>
    <x v="0"/>
    <x v="3"/>
  </r>
  <r>
    <s v="ORD-10308"/>
    <x v="426"/>
    <s v="Kiara Nair"/>
    <x v="2"/>
    <x v="3"/>
    <x v="6"/>
    <x v="4"/>
    <s v="Haircare"/>
    <s v="Hair Growth Serum"/>
    <n v="4"/>
    <n v="2053.04"/>
    <n v="6980.34"/>
    <n v="15"/>
    <n v="1752.94"/>
    <n v="262.31"/>
    <x v="2"/>
    <x v="2"/>
  </r>
  <r>
    <s v="ORD-10095"/>
    <x v="427"/>
    <s v="Aditya Rao"/>
    <x v="1"/>
    <x v="0"/>
    <x v="4"/>
    <x v="4"/>
    <s v="Fragrances"/>
    <s v="Floral Mist"/>
    <n v="1"/>
    <n v="1215.52"/>
    <n v="1093.97"/>
    <n v="10"/>
    <n v="223.77"/>
    <n v="67.459999999999994"/>
    <x v="3"/>
    <x v="3"/>
  </r>
  <r>
    <s v="ORD-10246"/>
    <x v="428"/>
    <s v="Arjun Verma"/>
    <x v="2"/>
    <x v="1"/>
    <x v="3"/>
    <x v="5"/>
    <s v="Women's Wear"/>
    <s v="Silk Saree"/>
    <n v="5"/>
    <n v="843.96"/>
    <n v="4008.81"/>
    <n v="5"/>
    <n v="987.31"/>
    <n v="374.4"/>
    <x v="2"/>
    <x v="3"/>
  </r>
  <r>
    <s v="ORD-10286"/>
    <x v="428"/>
    <s v="Dhruv Desai"/>
    <x v="0"/>
    <x v="2"/>
    <x v="11"/>
    <x v="2"/>
    <s v="Academic"/>
    <s v="Calculus Made Easy"/>
    <n v="1"/>
    <n v="183.17"/>
    <n v="164.85"/>
    <n v="10"/>
    <n v="15.93"/>
    <n v="329.59"/>
    <x v="0"/>
    <x v="0"/>
  </r>
  <r>
    <s v="ORD-10299"/>
    <x v="429"/>
    <s v="Aarav Kapoor"/>
    <x v="0"/>
    <x v="1"/>
    <x v="1"/>
    <x v="2"/>
    <s v="Comics"/>
    <s v="Graphic Tales"/>
    <n v="2"/>
    <n v="371.2"/>
    <n v="668.16"/>
    <n v="10"/>
    <n v="109.46"/>
    <n v="279.60000000000002"/>
    <x v="3"/>
    <x v="2"/>
  </r>
  <r>
    <s v="ORD-10783"/>
    <x v="429"/>
    <s v="Reyansh Reddy"/>
    <x v="2"/>
    <x v="2"/>
    <x v="9"/>
    <x v="4"/>
    <s v="Skincare"/>
    <s v="Aloe Moisturizer"/>
    <n v="3"/>
    <n v="895.7"/>
    <n v="2552.7399999999998"/>
    <n v="5"/>
    <n v="663.62"/>
    <n v="84.47"/>
    <x v="1"/>
    <x v="0"/>
  </r>
  <r>
    <s v="ORD-10906"/>
    <x v="430"/>
    <s v="Pooja Patel"/>
    <x v="0"/>
    <x v="0"/>
    <x v="12"/>
    <x v="1"/>
    <s v="Furniture"/>
    <s v="Wooden Chair"/>
    <n v="1"/>
    <n v="8494.86"/>
    <n v="8494.86"/>
    <n v="0"/>
    <n v="1217.67"/>
    <n v="318.08"/>
    <x v="0"/>
    <x v="3"/>
  </r>
  <r>
    <s v="ORD-10040"/>
    <x v="431"/>
    <s v="Rohan Rao"/>
    <x v="2"/>
    <x v="3"/>
    <x v="10"/>
    <x v="4"/>
    <s v="Skincare"/>
    <s v="Vitamin C Serum"/>
    <n v="2"/>
    <n v="1390.83"/>
    <n v="2781.66"/>
    <n v="0"/>
    <n v="608.78"/>
    <n v="313.07"/>
    <x v="0"/>
    <x v="0"/>
  </r>
  <r>
    <s v="ORD-10474"/>
    <x v="431"/>
    <s v="Diya Joshi"/>
    <x v="0"/>
    <x v="1"/>
    <x v="13"/>
    <x v="3"/>
    <s v="Footwear"/>
    <s v="Running Shoes"/>
    <n v="1"/>
    <n v="9768.2199999999993"/>
    <n v="9279.81"/>
    <n v="5"/>
    <n v="1820.82"/>
    <n v="252.13"/>
    <x v="3"/>
    <x v="0"/>
  </r>
  <r>
    <s v="ORD-10050"/>
    <x v="431"/>
    <s v="Raj Mishra"/>
    <x v="1"/>
    <x v="2"/>
    <x v="11"/>
    <x v="5"/>
    <s v="Footwear"/>
    <s v="Casual Sneakers"/>
    <n v="2"/>
    <n v="2686.9"/>
    <n v="5105.1099999999997"/>
    <n v="5"/>
    <n v="782.47"/>
    <n v="74.98"/>
    <x v="1"/>
    <x v="0"/>
  </r>
  <r>
    <s v="ORD-10182"/>
    <x v="431"/>
    <s v="Priya Mehta"/>
    <x v="1"/>
    <x v="3"/>
    <x v="10"/>
    <x v="3"/>
    <s v="Outdoor Gear"/>
    <s v="Trekking Pole"/>
    <n v="1"/>
    <n v="3640.46"/>
    <n v="2912.37"/>
    <n v="20"/>
    <n v="-172.5"/>
    <n v="174.78"/>
    <x v="4"/>
    <x v="3"/>
  </r>
  <r>
    <s v="ORD-10352"/>
    <x v="432"/>
    <s v="Diya Verma"/>
    <x v="1"/>
    <x v="3"/>
    <x v="7"/>
    <x v="2"/>
    <s v="Academic"/>
    <s v="Statistics Handbook"/>
    <n v="1"/>
    <n v="853.08"/>
    <n v="853.08"/>
    <n v="0"/>
    <n v="61.78"/>
    <n v="52.38"/>
    <x v="3"/>
    <x v="0"/>
  </r>
  <r>
    <s v="ORD-10877"/>
    <x v="432"/>
    <s v="Navya Gupta"/>
    <x v="2"/>
    <x v="0"/>
    <x v="12"/>
    <x v="3"/>
    <s v="Footwear"/>
    <s v="Sandals"/>
    <n v="2"/>
    <n v="1256.6300000000001"/>
    <n v="1759.28"/>
    <n v="30"/>
    <n v="248.86"/>
    <n v="285.45999999999998"/>
    <x v="1"/>
    <x v="2"/>
  </r>
  <r>
    <s v="ORD-10192"/>
    <x v="433"/>
    <s v="Rohan Desai"/>
    <x v="0"/>
    <x v="2"/>
    <x v="8"/>
    <x v="2"/>
    <s v="Non-Fiction"/>
    <s v="Modern Economics"/>
    <n v="2"/>
    <n v="541.97"/>
    <n v="758.76"/>
    <n v="30"/>
    <n v="-36.85"/>
    <n v="131.63999999999999"/>
    <x v="3"/>
    <x v="3"/>
  </r>
  <r>
    <s v="ORD-10770"/>
    <x v="433"/>
    <s v="Ishaan Chopra"/>
    <x v="2"/>
    <x v="2"/>
    <x v="11"/>
    <x v="5"/>
    <s v="Men's Wear"/>
    <s v="Classic Shirt"/>
    <n v="3"/>
    <n v="2983.94"/>
    <n v="6266.27"/>
    <n v="30"/>
    <n v="-391.75"/>
    <n v="365.13"/>
    <x v="1"/>
    <x v="3"/>
  </r>
  <r>
    <s v="ORD-10798"/>
    <x v="433"/>
    <s v="Ananya Rao"/>
    <x v="2"/>
    <x v="1"/>
    <x v="13"/>
    <x v="3"/>
    <s v="Gym Equipment"/>
    <s v="Adjustable Dumbbells"/>
    <n v="1"/>
    <n v="3028.57"/>
    <n v="2574.2800000000002"/>
    <n v="15"/>
    <n v="320.61"/>
    <n v="294.23"/>
    <x v="1"/>
    <x v="3"/>
  </r>
  <r>
    <s v="ORD-10323"/>
    <x v="434"/>
    <s v="Meera Kapoor"/>
    <x v="0"/>
    <x v="0"/>
    <x v="4"/>
    <x v="4"/>
    <s v="Skincare"/>
    <s v="Face Wash Gel"/>
    <n v="2"/>
    <n v="1735.46"/>
    <n v="2950.28"/>
    <n v="15"/>
    <n v="648.67999999999995"/>
    <n v="300.3"/>
    <x v="3"/>
    <x v="1"/>
  </r>
  <r>
    <s v="ORD-10938"/>
    <x v="434"/>
    <s v="Pooja Desai"/>
    <x v="2"/>
    <x v="3"/>
    <x v="5"/>
    <x v="2"/>
    <s v="Comics"/>
    <s v="Comic Universe"/>
    <n v="3"/>
    <n v="369.27"/>
    <n v="886.25"/>
    <n v="20"/>
    <n v="10.56"/>
    <n v="78.739999999999995"/>
    <x v="1"/>
    <x v="3"/>
  </r>
  <r>
    <s v="ORD-10732"/>
    <x v="434"/>
    <s v="Simran Iyer"/>
    <x v="0"/>
    <x v="0"/>
    <x v="0"/>
    <x v="3"/>
    <s v="Gym Equipment"/>
    <s v="Treadmill Compact"/>
    <n v="2"/>
    <n v="7151.09"/>
    <n v="12871.96"/>
    <n v="10"/>
    <n v="855.4"/>
    <n v="276.27999999999997"/>
    <x v="1"/>
    <x v="2"/>
  </r>
  <r>
    <s v="ORD-10209"/>
    <x v="435"/>
    <s v="Saanvi Mishra"/>
    <x v="2"/>
    <x v="3"/>
    <x v="5"/>
    <x v="1"/>
    <s v="Decor"/>
    <s v="LED Fairy Lights"/>
    <n v="2"/>
    <n v="8893.34"/>
    <n v="17786.68"/>
    <n v="0"/>
    <n v="3834.47"/>
    <n v="203.17"/>
    <x v="3"/>
    <x v="1"/>
  </r>
  <r>
    <s v="ORD-10265"/>
    <x v="435"/>
    <s v="Kabir Sharma"/>
    <x v="0"/>
    <x v="3"/>
    <x v="7"/>
    <x v="4"/>
    <s v="Haircare"/>
    <s v="Argan Oil Shampoo"/>
    <n v="1"/>
    <n v="1055.22"/>
    <n v="896.94"/>
    <n v="15"/>
    <n v="144.96"/>
    <n v="30.33"/>
    <x v="0"/>
    <x v="0"/>
  </r>
  <r>
    <s v="ORD-10530"/>
    <x v="435"/>
    <s v="Anika Chopra"/>
    <x v="1"/>
    <x v="1"/>
    <x v="1"/>
    <x v="2"/>
    <s v="Fiction"/>
    <s v="The Silent Valley"/>
    <n v="2"/>
    <n v="783.09"/>
    <n v="1409.56"/>
    <n v="10"/>
    <n v="24.44"/>
    <n v="309.55"/>
    <x v="3"/>
    <x v="1"/>
  </r>
  <r>
    <s v="ORD-10994"/>
    <x v="435"/>
    <s v="Arjun Mehta"/>
    <x v="0"/>
    <x v="2"/>
    <x v="8"/>
    <x v="4"/>
    <s v="Makeup"/>
    <s v="Foundation Stick"/>
    <n v="1"/>
    <n v="1556.2"/>
    <n v="1089.3399999999999"/>
    <n v="30"/>
    <n v="61.99"/>
    <n v="51.56"/>
    <x v="2"/>
    <x v="2"/>
  </r>
  <r>
    <s v="ORD-10466"/>
    <x v="435"/>
    <s v="Karan Verma"/>
    <x v="2"/>
    <x v="1"/>
    <x v="13"/>
    <x v="3"/>
    <s v="Gym Equipment"/>
    <s v="Treadmill Compact"/>
    <n v="2"/>
    <n v="10755.06"/>
    <n v="20434.61"/>
    <n v="5"/>
    <n v="4083.29"/>
    <n v="145.59"/>
    <x v="0"/>
    <x v="2"/>
  </r>
  <r>
    <s v="ORD-10554"/>
    <x v="436"/>
    <s v="Simran Malhotra"/>
    <x v="2"/>
    <x v="0"/>
    <x v="0"/>
    <x v="2"/>
    <s v="Fiction"/>
    <s v="The Silent Valley"/>
    <n v="2"/>
    <n v="196.37"/>
    <n v="392.74"/>
    <n v="0"/>
    <n v="68.989999999999995"/>
    <n v="154.37"/>
    <x v="4"/>
    <x v="1"/>
  </r>
  <r>
    <s v="ORD-10351"/>
    <x v="437"/>
    <s v="Myra Kapoor"/>
    <x v="0"/>
    <x v="3"/>
    <x v="6"/>
    <x v="2"/>
    <s v="Fiction"/>
    <s v="Mystery of Ashgrove"/>
    <n v="1"/>
    <n v="535.29999999999995"/>
    <n v="508.53"/>
    <n v="5"/>
    <n v="90.57"/>
    <n v="171.57"/>
    <x v="3"/>
    <x v="0"/>
  </r>
  <r>
    <s v="ORD-10499"/>
    <x v="437"/>
    <s v="Aadhya Kapoor"/>
    <x v="2"/>
    <x v="0"/>
    <x v="12"/>
    <x v="3"/>
    <s v="Apparel"/>
    <s v="Track Pants"/>
    <n v="2"/>
    <n v="3849.25"/>
    <n v="6543.72"/>
    <n v="15"/>
    <n v="-98.75"/>
    <n v="196.35"/>
    <x v="3"/>
    <x v="2"/>
  </r>
  <r>
    <s v="ORD-10112"/>
    <x v="437"/>
    <s v="Aadhya Sharma"/>
    <x v="0"/>
    <x v="3"/>
    <x v="6"/>
    <x v="3"/>
    <s v="Outdoor Gear"/>
    <s v="Water Bottle Steel"/>
    <n v="1"/>
    <n v="5526.61"/>
    <n v="5250.28"/>
    <n v="5"/>
    <n v="1098.3599999999999"/>
    <n v="216.77"/>
    <x v="3"/>
    <x v="0"/>
  </r>
  <r>
    <s v="ORD-10099"/>
    <x v="437"/>
    <s v="Aditya Gupta"/>
    <x v="0"/>
    <x v="1"/>
    <x v="3"/>
    <x v="0"/>
    <s v="Headphones"/>
    <s v="SilentPods"/>
    <n v="2"/>
    <n v="25078.48"/>
    <n v="45141.26"/>
    <n v="10"/>
    <n v="4411.1000000000004"/>
    <n v="348.12"/>
    <x v="3"/>
    <x v="2"/>
  </r>
  <r>
    <s v="ORD-10461"/>
    <x v="438"/>
    <s v="Simran Joshi"/>
    <x v="0"/>
    <x v="0"/>
    <x v="4"/>
    <x v="0"/>
    <s v="Mobiles"/>
    <s v="Pixel Nano"/>
    <n v="1"/>
    <n v="52469.91"/>
    <n v="49846.41"/>
    <n v="5"/>
    <n v="4788.4799999999996"/>
    <n v="163.68"/>
    <x v="3"/>
    <x v="0"/>
  </r>
  <r>
    <s v="ORD-10582"/>
    <x v="438"/>
    <s v="Ananya Verma"/>
    <x v="1"/>
    <x v="0"/>
    <x v="4"/>
    <x v="0"/>
    <s v="Cameras"/>
    <s v="PixelPro DSLR"/>
    <n v="2"/>
    <n v="43139.15"/>
    <n v="86278.3"/>
    <n v="0"/>
    <n v="7246.98"/>
    <n v="196.13"/>
    <x v="1"/>
    <x v="3"/>
  </r>
  <r>
    <s v="ORD-10782"/>
    <x v="439"/>
    <s v="Rohan Mehta"/>
    <x v="0"/>
    <x v="1"/>
    <x v="3"/>
    <x v="5"/>
    <s v="Women's Wear"/>
    <s v="Denim Jacket"/>
    <n v="4"/>
    <n v="1377.14"/>
    <n v="4406.8500000000004"/>
    <n v="20"/>
    <n v="334.03"/>
    <n v="188.7"/>
    <x v="3"/>
    <x v="0"/>
  </r>
  <r>
    <s v="ORD-10638"/>
    <x v="439"/>
    <s v="Saanvi Reddy"/>
    <x v="2"/>
    <x v="3"/>
    <x v="6"/>
    <x v="0"/>
    <s v="Headphones"/>
    <s v="BassBoost 300"/>
    <n v="1"/>
    <n v="13995.74"/>
    <n v="12596.17"/>
    <n v="10"/>
    <n v="-1107.44"/>
    <n v="95.15"/>
    <x v="3"/>
    <x v="3"/>
  </r>
  <r>
    <s v="ORD-10587"/>
    <x v="439"/>
    <s v="Riya Desai"/>
    <x v="0"/>
    <x v="1"/>
    <x v="1"/>
    <x v="3"/>
    <s v="Apparel"/>
    <s v="Compression Shorts"/>
    <n v="1"/>
    <n v="8316.75"/>
    <n v="7900.91"/>
    <n v="5"/>
    <n v="1461.03"/>
    <n v="107.4"/>
    <x v="0"/>
    <x v="3"/>
  </r>
  <r>
    <s v="ORD-10680"/>
    <x v="439"/>
    <s v="Arjun Iyer"/>
    <x v="2"/>
    <x v="1"/>
    <x v="3"/>
    <x v="0"/>
    <s v="Mobiles"/>
    <s v="Galaxy Note Lite"/>
    <n v="1"/>
    <n v="26658.45"/>
    <n v="22659.68"/>
    <n v="15"/>
    <n v="809.24"/>
    <n v="298.74"/>
    <x v="1"/>
    <x v="2"/>
  </r>
  <r>
    <s v="ORD-10742"/>
    <x v="439"/>
    <s v="Ayaan Singh"/>
    <x v="2"/>
    <x v="2"/>
    <x v="8"/>
    <x v="3"/>
    <s v="Apparel"/>
    <s v="Track Pants"/>
    <n v="2"/>
    <n v="7778.42"/>
    <n v="15556.84"/>
    <n v="0"/>
    <n v="2500.9499999999998"/>
    <n v="105.13"/>
    <x v="4"/>
    <x v="2"/>
  </r>
  <r>
    <s v="ORD-10645"/>
    <x v="440"/>
    <s v="Kabir Desai"/>
    <x v="2"/>
    <x v="1"/>
    <x v="3"/>
    <x v="2"/>
    <s v="Fiction"/>
    <s v="Whispering Pines"/>
    <n v="1"/>
    <n v="809.86"/>
    <n v="688.38"/>
    <n v="15"/>
    <n v="-35.82"/>
    <n v="333.75"/>
    <x v="3"/>
    <x v="0"/>
  </r>
  <r>
    <s v="ORD-10761"/>
    <x v="440"/>
    <s v="Pooja Joshi"/>
    <x v="2"/>
    <x v="0"/>
    <x v="12"/>
    <x v="3"/>
    <s v="Footwear"/>
    <s v="Formal Loafers"/>
    <n v="1"/>
    <n v="13961.89"/>
    <n v="10471.42"/>
    <n v="25"/>
    <n v="716.06"/>
    <n v="97.72"/>
    <x v="0"/>
    <x v="3"/>
  </r>
  <r>
    <s v="ORD-10392"/>
    <x v="440"/>
    <s v="Arjun Verma"/>
    <x v="0"/>
    <x v="2"/>
    <x v="11"/>
    <x v="0"/>
    <s v="Headphones"/>
    <s v="BassBoost 300"/>
    <n v="3"/>
    <n v="63133.85"/>
    <n v="179931.47"/>
    <n v="5"/>
    <n v="24280.05"/>
    <n v="361.54"/>
    <x v="2"/>
    <x v="0"/>
  </r>
  <r>
    <s v="ORD-10927"/>
    <x v="441"/>
    <s v="Anika Rao"/>
    <x v="1"/>
    <x v="0"/>
    <x v="4"/>
    <x v="5"/>
    <s v="Kids Wear"/>
    <s v="School Uniform Set"/>
    <n v="1"/>
    <n v="1806.21"/>
    <n v="1715.9"/>
    <n v="5"/>
    <n v="293.92"/>
    <n v="275.29000000000002"/>
    <x v="3"/>
    <x v="3"/>
  </r>
  <r>
    <s v="ORD-10578"/>
    <x v="441"/>
    <s v="Reyansh Sharma"/>
    <x v="1"/>
    <x v="3"/>
    <x v="6"/>
    <x v="1"/>
    <s v="Furniture"/>
    <s v="Sofa Set"/>
    <n v="2"/>
    <n v="11993.81"/>
    <n v="21588.86"/>
    <n v="10"/>
    <n v="2249.48"/>
    <n v="78.540000000000006"/>
    <x v="1"/>
    <x v="3"/>
  </r>
  <r>
    <s v="ORD-10920"/>
    <x v="442"/>
    <s v="Ira Joshi"/>
    <x v="2"/>
    <x v="0"/>
    <x v="0"/>
    <x v="4"/>
    <s v="Haircare"/>
    <s v="Hair Growth Serum"/>
    <n v="1"/>
    <n v="1749.51"/>
    <n v="1749.51"/>
    <n v="0"/>
    <n v="489.84"/>
    <n v="275.60000000000002"/>
    <x v="1"/>
    <x v="2"/>
  </r>
  <r>
    <s v="ORD-10846"/>
    <x v="442"/>
    <s v="Ishaan Chopra"/>
    <x v="1"/>
    <x v="2"/>
    <x v="9"/>
    <x v="2"/>
    <s v="Academic"/>
    <s v="Physics Fundamentals"/>
    <n v="1"/>
    <n v="238.92"/>
    <n v="203.08"/>
    <n v="15"/>
    <n v="-2"/>
    <n v="179.34"/>
    <x v="3"/>
    <x v="2"/>
  </r>
  <r>
    <s v="ORD-10371"/>
    <x v="442"/>
    <s v="Kabir Mishra"/>
    <x v="2"/>
    <x v="2"/>
    <x v="9"/>
    <x v="1"/>
    <s v="Appliances"/>
    <s v="Air Fryer"/>
    <n v="2"/>
    <n v="4663.3999999999996"/>
    <n v="8860.4599999999991"/>
    <n v="5"/>
    <n v="1554.02"/>
    <n v="183.4"/>
    <x v="0"/>
    <x v="0"/>
  </r>
  <r>
    <s v="ORD-10372"/>
    <x v="442"/>
    <s v="Ira Iyer"/>
    <x v="2"/>
    <x v="3"/>
    <x v="7"/>
    <x v="5"/>
    <s v="Kids Wear"/>
    <s v="School Uniform Set"/>
    <n v="4"/>
    <n v="4233.09"/>
    <n v="16932.36"/>
    <n v="0"/>
    <n v="3770.83"/>
    <n v="355.35"/>
    <x v="3"/>
    <x v="0"/>
  </r>
  <r>
    <s v="ORD-10361"/>
    <x v="443"/>
    <s v="Riya Nair"/>
    <x v="0"/>
    <x v="2"/>
    <x v="8"/>
    <x v="5"/>
    <s v="Women's Wear"/>
    <s v="Silk Saree"/>
    <n v="2"/>
    <n v="794.13"/>
    <n v="1350.02"/>
    <n v="15"/>
    <n v="129.46"/>
    <n v="166.89"/>
    <x v="4"/>
    <x v="3"/>
  </r>
  <r>
    <s v="ORD-10025"/>
    <x v="444"/>
    <s v="Diya Verma"/>
    <x v="1"/>
    <x v="2"/>
    <x v="8"/>
    <x v="5"/>
    <s v="Men's Wear"/>
    <s v="Casual Blazer"/>
    <n v="1"/>
    <n v="3473.31"/>
    <n v="3473.31"/>
    <n v="0"/>
    <n v="623.72"/>
    <n v="327.5"/>
    <x v="1"/>
    <x v="2"/>
  </r>
  <r>
    <s v="ORD-10848"/>
    <x v="444"/>
    <s v="Arjun Sharma"/>
    <x v="2"/>
    <x v="3"/>
    <x v="10"/>
    <x v="3"/>
    <s v="Gym Equipment"/>
    <s v="Treadmill Compact"/>
    <n v="3"/>
    <n v="12416.09"/>
    <n v="37248.269999999997"/>
    <n v="0"/>
    <n v="7946.89"/>
    <n v="183.08"/>
    <x v="0"/>
    <x v="1"/>
  </r>
  <r>
    <s v="ORD-10451"/>
    <x v="444"/>
    <s v="Riya Das"/>
    <x v="1"/>
    <x v="2"/>
    <x v="9"/>
    <x v="2"/>
    <s v="Comics"/>
    <s v="Manga Vol. 1"/>
    <n v="1"/>
    <n v="365.13"/>
    <n v="310.36"/>
    <n v="15"/>
    <n v="13.03"/>
    <n v="174.4"/>
    <x v="3"/>
    <x v="0"/>
  </r>
  <r>
    <s v="ORD-10345"/>
    <x v="444"/>
    <s v="Neha Das"/>
    <x v="2"/>
    <x v="0"/>
    <x v="12"/>
    <x v="2"/>
    <s v="Fiction"/>
    <s v="Whispering Pines"/>
    <n v="3"/>
    <n v="391.76"/>
    <n v="998.99"/>
    <n v="15"/>
    <n v="87.85"/>
    <n v="142.19999999999999"/>
    <x v="3"/>
    <x v="2"/>
  </r>
  <r>
    <s v="ORD-10904"/>
    <x v="445"/>
    <s v="Priya Bose"/>
    <x v="0"/>
    <x v="0"/>
    <x v="12"/>
    <x v="3"/>
    <s v="Footwear"/>
    <s v="Casual Sneakers"/>
    <n v="2"/>
    <n v="2217.67"/>
    <n v="3991.81"/>
    <n v="10"/>
    <n v="558.95000000000005"/>
    <n v="301.07"/>
    <x v="4"/>
    <x v="0"/>
  </r>
  <r>
    <s v="ORD-10508"/>
    <x v="445"/>
    <s v="Krishna Desai"/>
    <x v="2"/>
    <x v="3"/>
    <x v="5"/>
    <x v="3"/>
    <s v="Gym Equipment"/>
    <s v="Yoga Mat Pro"/>
    <n v="2"/>
    <n v="2027.24"/>
    <n v="3446.31"/>
    <n v="15"/>
    <n v="471.31"/>
    <n v="167.83"/>
    <x v="2"/>
    <x v="3"/>
  </r>
  <r>
    <s v="ORD-10517"/>
    <x v="445"/>
    <s v="Diya Mishra"/>
    <x v="0"/>
    <x v="0"/>
    <x v="12"/>
    <x v="5"/>
    <s v="Footwear"/>
    <s v="Formal Loafers"/>
    <n v="2"/>
    <n v="1996.37"/>
    <n v="3992.74"/>
    <n v="0"/>
    <n v="894.59"/>
    <n v="320.76"/>
    <x v="1"/>
    <x v="0"/>
  </r>
  <r>
    <s v="ORD-10580"/>
    <x v="445"/>
    <s v="Ananya Sharma"/>
    <x v="2"/>
    <x v="2"/>
    <x v="9"/>
    <x v="1"/>
    <s v="Appliances"/>
    <s v="Microwave Oven"/>
    <n v="1"/>
    <n v="7759.32"/>
    <n v="6207.46"/>
    <n v="20"/>
    <n v="377.69"/>
    <n v="276.64999999999998"/>
    <x v="4"/>
    <x v="1"/>
  </r>
  <r>
    <s v="ORD-10479"/>
    <x v="446"/>
    <s v="Arjun Iyer"/>
    <x v="0"/>
    <x v="2"/>
    <x v="2"/>
    <x v="0"/>
    <s v="Mobiles"/>
    <s v="Pixel Nano"/>
    <n v="1"/>
    <n v="63519.86"/>
    <n v="63519.86"/>
    <n v="0"/>
    <n v="5756.38"/>
    <n v="43.45"/>
    <x v="2"/>
    <x v="3"/>
  </r>
  <r>
    <s v="ORD-10656"/>
    <x v="446"/>
    <s v="Saanvi Das"/>
    <x v="2"/>
    <x v="1"/>
    <x v="3"/>
    <x v="0"/>
    <s v="Mobiles"/>
    <s v="Pixel Nano"/>
    <n v="2"/>
    <n v="26500.12"/>
    <n v="53000.24"/>
    <n v="0"/>
    <n v="136.88"/>
    <n v="87.15"/>
    <x v="3"/>
    <x v="2"/>
  </r>
  <r>
    <s v="ORD-10053"/>
    <x v="446"/>
    <s v="Ira Agarwal"/>
    <x v="0"/>
    <x v="0"/>
    <x v="4"/>
    <x v="5"/>
    <s v="Men's Wear"/>
    <s v="Cotton Kurta"/>
    <n v="1"/>
    <n v="2702.42"/>
    <n v="2432.1799999999998"/>
    <n v="10"/>
    <n v="387.74"/>
    <n v="119.46"/>
    <x v="3"/>
    <x v="3"/>
  </r>
  <r>
    <s v="ORD-10505"/>
    <x v="446"/>
    <s v="Myra Gupta"/>
    <x v="2"/>
    <x v="2"/>
    <x v="9"/>
    <x v="4"/>
    <s v="Skincare"/>
    <s v="Sunscreen SPF50"/>
    <n v="1"/>
    <n v="1236.3699999999999"/>
    <n v="989.1"/>
    <n v="20"/>
    <n v="231.48"/>
    <n v="312.32"/>
    <x v="0"/>
    <x v="3"/>
  </r>
  <r>
    <s v="ORD-10726"/>
    <x v="446"/>
    <s v="Meera Kapoor"/>
    <x v="0"/>
    <x v="1"/>
    <x v="3"/>
    <x v="0"/>
    <s v="Laptops"/>
    <s v="ProBook 14"/>
    <n v="1"/>
    <n v="55747.34"/>
    <n v="52959.97"/>
    <n v="5"/>
    <n v="1923.84"/>
    <n v="312.42"/>
    <x v="0"/>
    <x v="1"/>
  </r>
  <r>
    <s v="ORD-10773"/>
    <x v="447"/>
    <s v="Karan Chopra"/>
    <x v="2"/>
    <x v="1"/>
    <x v="1"/>
    <x v="5"/>
    <s v="Kids Wear"/>
    <s v="Winter Jacket Jr"/>
    <n v="1"/>
    <n v="433.32"/>
    <n v="303.32"/>
    <n v="30"/>
    <n v="-0.11"/>
    <n v="224.19"/>
    <x v="0"/>
    <x v="0"/>
  </r>
  <r>
    <s v="ORD-10657"/>
    <x v="447"/>
    <s v="Diya Sharma"/>
    <x v="2"/>
    <x v="1"/>
    <x v="1"/>
    <x v="2"/>
    <s v="Academic"/>
    <s v="Physics Fundamentals"/>
    <n v="1"/>
    <n v="861.01"/>
    <n v="774.91"/>
    <n v="10"/>
    <n v="12.04"/>
    <n v="291.25"/>
    <x v="3"/>
    <x v="3"/>
  </r>
  <r>
    <s v="ORD-10282"/>
    <x v="447"/>
    <s v="Vivaan Nair"/>
    <x v="2"/>
    <x v="0"/>
    <x v="0"/>
    <x v="4"/>
    <s v="Makeup"/>
    <s v="Matte Lipstick"/>
    <n v="3"/>
    <n v="995.84"/>
    <n v="2539.39"/>
    <n v="15"/>
    <n v="335.41"/>
    <n v="308.26"/>
    <x v="0"/>
    <x v="0"/>
  </r>
  <r>
    <s v="ORD-10344"/>
    <x v="448"/>
    <s v="Kiara Mehta"/>
    <x v="2"/>
    <x v="0"/>
    <x v="12"/>
    <x v="2"/>
    <s v="Non-Fiction"/>
    <s v="Mind Over Matter"/>
    <n v="1"/>
    <n v="250.5"/>
    <n v="237.97"/>
    <n v="5"/>
    <n v="19.809999999999999"/>
    <n v="37.56"/>
    <x v="1"/>
    <x v="2"/>
  </r>
  <r>
    <s v="ORD-10179"/>
    <x v="448"/>
    <s v="Ayaan Das"/>
    <x v="0"/>
    <x v="0"/>
    <x v="12"/>
    <x v="0"/>
    <s v="Headphones"/>
    <s v="SilentPods"/>
    <n v="1"/>
    <n v="25399.7"/>
    <n v="25399.7"/>
    <n v="0"/>
    <n v="1528.42"/>
    <n v="282.08999999999997"/>
    <x v="0"/>
    <x v="1"/>
  </r>
  <r>
    <s v="ORD-10762"/>
    <x v="448"/>
    <s v="Sai Mehta"/>
    <x v="1"/>
    <x v="1"/>
    <x v="3"/>
    <x v="0"/>
    <s v="Headphones"/>
    <s v="EchoBuds"/>
    <n v="2"/>
    <n v="63795.32"/>
    <n v="127590.64"/>
    <n v="0"/>
    <n v="-638.12"/>
    <n v="252.84"/>
    <x v="3"/>
    <x v="0"/>
  </r>
  <r>
    <s v="ORD-10404"/>
    <x v="449"/>
    <s v="Anika Mehta"/>
    <x v="2"/>
    <x v="3"/>
    <x v="7"/>
    <x v="2"/>
    <s v="Fiction"/>
    <s v="The Silent Valley"/>
    <n v="3"/>
    <n v="1183.9000000000001"/>
    <n v="3196.53"/>
    <n v="10"/>
    <n v="475.24"/>
    <n v="359.96"/>
    <x v="1"/>
    <x v="0"/>
  </r>
  <r>
    <s v="ORD-10707"/>
    <x v="449"/>
    <s v="Aditya Mishra"/>
    <x v="0"/>
    <x v="1"/>
    <x v="1"/>
    <x v="4"/>
    <s v="Haircare"/>
    <s v="Hair Mask Deep Repair"/>
    <n v="2"/>
    <n v="1399.68"/>
    <n v="2379.46"/>
    <n v="15"/>
    <n v="485.92"/>
    <n v="155.33000000000001"/>
    <x v="4"/>
    <x v="0"/>
  </r>
  <r>
    <s v="ORD-10956"/>
    <x v="449"/>
    <s v="Simran Kapoor"/>
    <x v="0"/>
    <x v="3"/>
    <x v="5"/>
    <x v="5"/>
    <s v="Kids Wear"/>
    <s v="School Uniform Set"/>
    <n v="1"/>
    <n v="550.27"/>
    <n v="495.24"/>
    <n v="10"/>
    <n v="50.1"/>
    <n v="223.39"/>
    <x v="0"/>
    <x v="3"/>
  </r>
  <r>
    <s v="ORD-10058"/>
    <x v="450"/>
    <s v="Myra Joshi"/>
    <x v="0"/>
    <x v="3"/>
    <x v="7"/>
    <x v="4"/>
    <s v="Skincare"/>
    <s v="Aloe Moisturizer"/>
    <n v="4"/>
    <n v="522.19000000000005"/>
    <n v="2088.7600000000002"/>
    <n v="0"/>
    <n v="600.91"/>
    <n v="240.87"/>
    <x v="3"/>
    <x v="3"/>
  </r>
  <r>
    <s v="ORD-10881"/>
    <x v="450"/>
    <s v="Ira Bose"/>
    <x v="2"/>
    <x v="3"/>
    <x v="7"/>
    <x v="2"/>
    <s v="Academic"/>
    <s v="Data Science Basics"/>
    <n v="3"/>
    <n v="371.68"/>
    <n v="947.78"/>
    <n v="15"/>
    <n v="-80.89"/>
    <n v="167.01"/>
    <x v="4"/>
    <x v="1"/>
  </r>
  <r>
    <s v="ORD-10087"/>
    <x v="451"/>
    <s v="Ishaan Agarwal"/>
    <x v="2"/>
    <x v="1"/>
    <x v="13"/>
    <x v="3"/>
    <s v="Footwear"/>
    <s v="Running Shoes"/>
    <n v="1"/>
    <n v="13053.26"/>
    <n v="11747.93"/>
    <n v="10"/>
    <n v="743.61"/>
    <n v="247.55"/>
    <x v="1"/>
    <x v="3"/>
  </r>
  <r>
    <s v="ORD-10538"/>
    <x v="451"/>
    <s v="Ananya Sharma"/>
    <x v="2"/>
    <x v="2"/>
    <x v="11"/>
    <x v="1"/>
    <s v="Appliances"/>
    <s v="Mixer Grinder"/>
    <n v="3"/>
    <n v="7599.66"/>
    <n v="21659.03"/>
    <n v="5"/>
    <n v="4174.8999999999996"/>
    <n v="124.42"/>
    <x v="0"/>
    <x v="3"/>
  </r>
  <r>
    <s v="ORD-10422"/>
    <x v="451"/>
    <s v="Kabir Mehta"/>
    <x v="1"/>
    <x v="3"/>
    <x v="10"/>
    <x v="4"/>
    <s v="Haircare"/>
    <s v="Argan Oil Shampoo"/>
    <n v="2"/>
    <n v="968.75"/>
    <n v="1840.62"/>
    <n v="5"/>
    <n v="409.43"/>
    <n v="296.17"/>
    <x v="1"/>
    <x v="3"/>
  </r>
  <r>
    <s v="ORD-10594"/>
    <x v="452"/>
    <s v="Dhruv Malhotra"/>
    <x v="2"/>
    <x v="2"/>
    <x v="11"/>
    <x v="5"/>
    <s v="Women's Wear"/>
    <s v="Ethnic Kurti"/>
    <n v="1"/>
    <n v="3547.2"/>
    <n v="3192.48"/>
    <n v="10"/>
    <n v="294.74"/>
    <n v="195.75"/>
    <x v="2"/>
    <x v="2"/>
  </r>
  <r>
    <s v="ORD-10703"/>
    <x v="452"/>
    <s v="Ira Iyer"/>
    <x v="2"/>
    <x v="0"/>
    <x v="4"/>
    <x v="1"/>
    <s v="Cookware"/>
    <s v="Non-Stick Pan Set"/>
    <n v="2"/>
    <n v="4539.88"/>
    <n v="8171.78"/>
    <n v="10"/>
    <n v="1409.21"/>
    <n v="297.57"/>
    <x v="3"/>
    <x v="0"/>
  </r>
  <r>
    <s v="ORD-10236"/>
    <x v="452"/>
    <s v="Rohan Mishra"/>
    <x v="2"/>
    <x v="3"/>
    <x v="6"/>
    <x v="4"/>
    <s v="Makeup"/>
    <s v="Foundation Stick"/>
    <n v="2"/>
    <n v="837.71"/>
    <n v="1591.65"/>
    <n v="5"/>
    <n v="314.27999999999997"/>
    <n v="336.31"/>
    <x v="1"/>
    <x v="0"/>
  </r>
  <r>
    <s v="ORD-10760"/>
    <x v="452"/>
    <s v="Reyansh Sharma"/>
    <x v="0"/>
    <x v="2"/>
    <x v="9"/>
    <x v="0"/>
    <s v="Cameras"/>
    <s v="ClickShot X1"/>
    <n v="2"/>
    <n v="15802.25"/>
    <n v="30024.27"/>
    <n v="5"/>
    <n v="3301.3"/>
    <n v="235.99"/>
    <x v="3"/>
    <x v="0"/>
  </r>
  <r>
    <s v="ORD-10465"/>
    <x v="453"/>
    <s v="Raj Desai"/>
    <x v="1"/>
    <x v="2"/>
    <x v="8"/>
    <x v="1"/>
    <s v="Furniture"/>
    <s v="Wooden Chair"/>
    <n v="1"/>
    <n v="1321.12"/>
    <n v="1122.95"/>
    <n v="15"/>
    <n v="55.85"/>
    <n v="304.62"/>
    <x v="3"/>
    <x v="0"/>
  </r>
  <r>
    <s v="ORD-10180"/>
    <x v="453"/>
    <s v="Simran Agarwal"/>
    <x v="2"/>
    <x v="1"/>
    <x v="13"/>
    <x v="2"/>
    <s v="Academic"/>
    <s v="Physics Fundamentals"/>
    <n v="1"/>
    <n v="500.17"/>
    <n v="375.13"/>
    <n v="25"/>
    <n v="12.39"/>
    <n v="157.41"/>
    <x v="1"/>
    <x v="0"/>
  </r>
  <r>
    <s v="ORD-10139"/>
    <x v="453"/>
    <s v="Kiara Desai"/>
    <x v="2"/>
    <x v="1"/>
    <x v="1"/>
    <x v="2"/>
    <s v="Academic"/>
    <s v="Statistics Handbook"/>
    <n v="1"/>
    <n v="188.52"/>
    <n v="160.24"/>
    <n v="15"/>
    <n v="16.440000000000001"/>
    <n v="316.47000000000003"/>
    <x v="3"/>
    <x v="3"/>
  </r>
  <r>
    <s v="ORD-10923"/>
    <x v="453"/>
    <s v="Karan Bose"/>
    <x v="0"/>
    <x v="2"/>
    <x v="9"/>
    <x v="3"/>
    <s v="Apparel"/>
    <s v="Compression Shorts"/>
    <n v="1"/>
    <n v="4681.49"/>
    <n v="4447.42"/>
    <n v="5"/>
    <n v="765.09"/>
    <n v="116.97"/>
    <x v="1"/>
    <x v="3"/>
  </r>
  <r>
    <s v="ORD-10527"/>
    <x v="453"/>
    <s v="Navya Agarwal"/>
    <x v="2"/>
    <x v="3"/>
    <x v="7"/>
    <x v="1"/>
    <s v="Cookware"/>
    <s v="Non-Stick Pan Set"/>
    <n v="1"/>
    <n v="852.35"/>
    <n v="852.35"/>
    <n v="0"/>
    <n v="149.66"/>
    <n v="81.209999999999994"/>
    <x v="2"/>
    <x v="2"/>
  </r>
  <r>
    <s v="ORD-10133"/>
    <x v="454"/>
    <s v="Diya Verma"/>
    <x v="2"/>
    <x v="1"/>
    <x v="3"/>
    <x v="1"/>
    <s v="Decor"/>
    <s v="Table Lamp"/>
    <n v="2"/>
    <n v="8143.67"/>
    <n v="16287.34"/>
    <n v="0"/>
    <n v="2567.96"/>
    <n v="58.08"/>
    <x v="3"/>
    <x v="0"/>
  </r>
  <r>
    <s v="ORD-10612"/>
    <x v="455"/>
    <s v="Kabir Gupta"/>
    <x v="0"/>
    <x v="3"/>
    <x v="6"/>
    <x v="5"/>
    <s v="Kids Wear"/>
    <s v="Winter Jacket Jr"/>
    <n v="2"/>
    <n v="3068.28"/>
    <n v="6136.56"/>
    <n v="0"/>
    <n v="1473.64"/>
    <n v="79.849999999999994"/>
    <x v="3"/>
    <x v="1"/>
  </r>
  <r>
    <s v="ORD-10522"/>
    <x v="456"/>
    <s v="Ayaan Nair"/>
    <x v="2"/>
    <x v="1"/>
    <x v="3"/>
    <x v="5"/>
    <s v="Women's Wear"/>
    <s v="Floral Dress"/>
    <n v="1"/>
    <n v="2472.41"/>
    <n v="2101.5500000000002"/>
    <n v="15"/>
    <n v="286.8"/>
    <n v="151.25"/>
    <x v="0"/>
    <x v="1"/>
  </r>
  <r>
    <s v="ORD-10495"/>
    <x v="456"/>
    <s v="Navya Chopra"/>
    <x v="2"/>
    <x v="0"/>
    <x v="4"/>
    <x v="1"/>
    <s v="Furniture"/>
    <s v="Wooden Chair"/>
    <n v="2"/>
    <n v="7819.42"/>
    <n v="14856.9"/>
    <n v="5"/>
    <n v="1625.72"/>
    <n v="119.94"/>
    <x v="3"/>
    <x v="3"/>
  </r>
  <r>
    <s v="ORD-10316"/>
    <x v="456"/>
    <s v="Saanvi Kapoor"/>
    <x v="2"/>
    <x v="1"/>
    <x v="1"/>
    <x v="4"/>
    <s v="Skincare"/>
    <s v="Aloe Moisturizer"/>
    <n v="1"/>
    <n v="1220.6300000000001"/>
    <n v="1098.57"/>
    <n v="10"/>
    <n v="183.82"/>
    <n v="307.81"/>
    <x v="2"/>
    <x v="3"/>
  </r>
  <r>
    <s v="ORD-10068"/>
    <x v="457"/>
    <s v="Karan Sharma"/>
    <x v="2"/>
    <x v="3"/>
    <x v="5"/>
    <x v="2"/>
    <s v="Non-Fiction"/>
    <s v="History Untold"/>
    <n v="3"/>
    <n v="193.12"/>
    <n v="550.39"/>
    <n v="5"/>
    <n v="88.85"/>
    <n v="187.62"/>
    <x v="0"/>
    <x v="0"/>
  </r>
  <r>
    <s v="ORD-10462"/>
    <x v="457"/>
    <s v="Sai Khan"/>
    <x v="2"/>
    <x v="1"/>
    <x v="13"/>
    <x v="1"/>
    <s v="Furniture"/>
    <s v="Sofa Set"/>
    <n v="1"/>
    <n v="7762.19"/>
    <n v="7374.08"/>
    <n v="5"/>
    <n v="1108.25"/>
    <n v="83.11"/>
    <x v="4"/>
    <x v="0"/>
  </r>
  <r>
    <s v="ORD-10357"/>
    <x v="457"/>
    <s v="Kabir Desai"/>
    <x v="1"/>
    <x v="0"/>
    <x v="0"/>
    <x v="5"/>
    <s v="Kids Wear"/>
    <s v="Cartoon T-Shirt"/>
    <n v="1"/>
    <n v="2191.56"/>
    <n v="1862.83"/>
    <n v="15"/>
    <n v="173.66"/>
    <n v="242.77"/>
    <x v="4"/>
    <x v="0"/>
  </r>
  <r>
    <s v="ORD-10421"/>
    <x v="457"/>
    <s v="Aadhya Malhotra"/>
    <x v="1"/>
    <x v="3"/>
    <x v="10"/>
    <x v="2"/>
    <s v="Comics"/>
    <s v="Graphic Tales"/>
    <n v="3"/>
    <n v="995.24"/>
    <n v="2836.43"/>
    <n v="5"/>
    <n v="450.76"/>
    <n v="219.44"/>
    <x v="1"/>
    <x v="1"/>
  </r>
  <r>
    <s v="ORD-10944"/>
    <x v="457"/>
    <s v="Neha Joshi"/>
    <x v="2"/>
    <x v="1"/>
    <x v="1"/>
    <x v="2"/>
    <s v="Fiction"/>
    <s v="Beyond the Horizon"/>
    <n v="3"/>
    <n v="480.76"/>
    <n v="1370.17"/>
    <n v="5"/>
    <n v="266.44"/>
    <n v="313.25"/>
    <x v="1"/>
    <x v="3"/>
  </r>
  <r>
    <s v="ORD-10902"/>
    <x v="458"/>
    <s v="Saanvi Joshi"/>
    <x v="0"/>
    <x v="3"/>
    <x v="7"/>
    <x v="2"/>
    <s v="Fiction"/>
    <s v="Beyond the Horizon"/>
    <n v="1"/>
    <n v="995.8"/>
    <n v="846.43"/>
    <n v="15"/>
    <n v="131.68"/>
    <n v="157.32"/>
    <x v="1"/>
    <x v="2"/>
  </r>
  <r>
    <s v="ORD-10439"/>
    <x v="459"/>
    <s v="Rohan Sharma"/>
    <x v="2"/>
    <x v="2"/>
    <x v="9"/>
    <x v="0"/>
    <s v="Laptops"/>
    <s v="UltraSlim 15"/>
    <n v="4"/>
    <n v="43549.78"/>
    <n v="174199.12"/>
    <n v="0"/>
    <n v="18003.400000000001"/>
    <n v="374.78"/>
    <x v="3"/>
    <x v="0"/>
  </r>
  <r>
    <s v="ORD-10198"/>
    <x v="460"/>
    <s v="Pooja Iyer"/>
    <x v="0"/>
    <x v="3"/>
    <x v="6"/>
    <x v="2"/>
    <s v="Fiction"/>
    <s v="Beyond the Horizon"/>
    <n v="1"/>
    <n v="368.28"/>
    <n v="368.28"/>
    <n v="0"/>
    <n v="49.54"/>
    <n v="38.49"/>
    <x v="0"/>
    <x v="0"/>
  </r>
  <r>
    <s v="ORD-10154"/>
    <x v="460"/>
    <s v="Sai Iyer"/>
    <x v="0"/>
    <x v="3"/>
    <x v="10"/>
    <x v="0"/>
    <s v="Headphones"/>
    <s v="EchoBuds"/>
    <n v="5"/>
    <n v="24756.9"/>
    <n v="111406.05"/>
    <n v="10"/>
    <n v="-4798.93"/>
    <n v="235.37"/>
    <x v="0"/>
    <x v="1"/>
  </r>
  <r>
    <s v="ORD-10123"/>
    <x v="461"/>
    <s v="Karan Mehta"/>
    <x v="1"/>
    <x v="0"/>
    <x v="0"/>
    <x v="1"/>
    <s v="Cookware"/>
    <s v="Steel Kadai"/>
    <n v="2"/>
    <n v="5924.04"/>
    <n v="8886.06"/>
    <n v="25"/>
    <n v="36.47"/>
    <n v="306.24"/>
    <x v="3"/>
    <x v="2"/>
  </r>
  <r>
    <s v="ORD-10714"/>
    <x v="461"/>
    <s v="Saanvi Nair"/>
    <x v="1"/>
    <x v="2"/>
    <x v="8"/>
    <x v="4"/>
    <s v="Skincare"/>
    <s v="Aloe Moisturizer"/>
    <n v="5"/>
    <n v="1394.22"/>
    <n v="6273.99"/>
    <n v="10"/>
    <n v="985.49"/>
    <n v="284.48"/>
    <x v="1"/>
    <x v="3"/>
  </r>
  <r>
    <s v="ORD-10624"/>
    <x v="462"/>
    <s v="Anika Rao"/>
    <x v="0"/>
    <x v="0"/>
    <x v="4"/>
    <x v="1"/>
    <s v="Decor"/>
    <s v="Wall Art Frame"/>
    <n v="1"/>
    <n v="1069.3499999999999"/>
    <n v="1069.3499999999999"/>
    <n v="0"/>
    <n v="263.13"/>
    <n v="172.2"/>
    <x v="4"/>
    <x v="0"/>
  </r>
  <r>
    <s v="ORD-10589"/>
    <x v="462"/>
    <s v="Aadhya Chopra"/>
    <x v="2"/>
    <x v="0"/>
    <x v="0"/>
    <x v="4"/>
    <s v="Makeup"/>
    <s v="Eyeliner Pro"/>
    <n v="2"/>
    <n v="1333.59"/>
    <n v="2267.1"/>
    <n v="15"/>
    <n v="519.04999999999995"/>
    <n v="235.44"/>
    <x v="1"/>
    <x v="0"/>
  </r>
  <r>
    <s v="ORD-10213"/>
    <x v="463"/>
    <s v="Sai Das"/>
    <x v="1"/>
    <x v="3"/>
    <x v="5"/>
    <x v="3"/>
    <s v="Outdoor Gear"/>
    <s v="Camping Tent"/>
    <n v="2"/>
    <n v="10884.02"/>
    <n v="18502.830000000002"/>
    <n v="15"/>
    <n v="2566.31"/>
    <n v="197.34"/>
    <x v="3"/>
    <x v="0"/>
  </r>
  <r>
    <s v="ORD-10888"/>
    <x v="464"/>
    <s v="Neha Rao"/>
    <x v="2"/>
    <x v="2"/>
    <x v="9"/>
    <x v="1"/>
    <s v="Appliances"/>
    <s v="Electric Kettle"/>
    <n v="2"/>
    <n v="1351.47"/>
    <n v="2702.94"/>
    <n v="0"/>
    <n v="534.51"/>
    <n v="56.18"/>
    <x v="3"/>
    <x v="0"/>
  </r>
  <r>
    <s v="ORD-10276"/>
    <x v="465"/>
    <s v="Kiara Verma"/>
    <x v="2"/>
    <x v="2"/>
    <x v="8"/>
    <x v="2"/>
    <s v="Fiction"/>
    <s v="Whispering Pines"/>
    <n v="2"/>
    <n v="386.82"/>
    <n v="773.64"/>
    <n v="0"/>
    <n v="174.11"/>
    <n v="96.46"/>
    <x v="2"/>
    <x v="3"/>
  </r>
  <r>
    <s v="ORD-10745"/>
    <x v="465"/>
    <s v="Ananya Malhotra"/>
    <x v="2"/>
    <x v="0"/>
    <x v="4"/>
    <x v="5"/>
    <s v="Men's Wear"/>
    <s v="Classic Shirt"/>
    <n v="2"/>
    <n v="3442.58"/>
    <n v="6196.64"/>
    <n v="10"/>
    <n v="1041.02"/>
    <n v="309.29000000000002"/>
    <x v="1"/>
    <x v="2"/>
  </r>
  <r>
    <s v="ORD-10365"/>
    <x v="465"/>
    <s v="Vivaan Bose"/>
    <x v="2"/>
    <x v="3"/>
    <x v="7"/>
    <x v="4"/>
    <s v="Haircare"/>
    <s v="Argan Oil Shampoo"/>
    <n v="1"/>
    <n v="2080.13"/>
    <n v="1976.12"/>
    <n v="5"/>
    <n v="584.84"/>
    <n v="307.77999999999997"/>
    <x v="3"/>
    <x v="0"/>
  </r>
  <r>
    <s v="ORD-10715"/>
    <x v="466"/>
    <s v="Rohan Rao"/>
    <x v="2"/>
    <x v="1"/>
    <x v="13"/>
    <x v="5"/>
    <s v="Men's Wear"/>
    <s v="Casual Blazer"/>
    <n v="1"/>
    <n v="542.48"/>
    <n v="542.48"/>
    <n v="0"/>
    <n v="81.98"/>
    <n v="100.26"/>
    <x v="3"/>
    <x v="2"/>
  </r>
  <r>
    <s v="ORD-10791"/>
    <x v="466"/>
    <s v="Neha Rao"/>
    <x v="1"/>
    <x v="2"/>
    <x v="11"/>
    <x v="0"/>
    <s v="Laptops"/>
    <s v="UltraSlim 15"/>
    <n v="1"/>
    <n v="37091.019999999997"/>
    <n v="35236.47"/>
    <n v="5"/>
    <n v="2495.71"/>
    <n v="180.68"/>
    <x v="1"/>
    <x v="2"/>
  </r>
  <r>
    <s v="ORD-10448"/>
    <x v="466"/>
    <s v="Ayaan Reddy"/>
    <x v="2"/>
    <x v="2"/>
    <x v="2"/>
    <x v="5"/>
    <s v="Men's Wear"/>
    <s v="Casual Blazer"/>
    <n v="1"/>
    <n v="2590.81"/>
    <n v="2590.81"/>
    <n v="0"/>
    <n v="830.36"/>
    <n v="49.93"/>
    <x v="2"/>
    <x v="0"/>
  </r>
  <r>
    <s v="ORD-10919"/>
    <x v="466"/>
    <s v="Aarav Patel"/>
    <x v="2"/>
    <x v="0"/>
    <x v="0"/>
    <x v="5"/>
    <s v="Footwear"/>
    <s v="Casual Sneakers"/>
    <n v="2"/>
    <n v="3966.01"/>
    <n v="7535.42"/>
    <n v="5"/>
    <n v="2095.29"/>
    <n v="243.14"/>
    <x v="0"/>
    <x v="0"/>
  </r>
  <r>
    <s v="ORD-10694"/>
    <x v="467"/>
    <s v="Aadhya Agarwal"/>
    <x v="2"/>
    <x v="0"/>
    <x v="4"/>
    <x v="3"/>
    <s v="Apparel"/>
    <s v="Track Pants"/>
    <n v="5"/>
    <n v="6833.29"/>
    <n v="30749.8"/>
    <n v="10"/>
    <n v="3940.47"/>
    <n v="297.77999999999997"/>
    <x v="1"/>
    <x v="3"/>
  </r>
  <r>
    <s v="ORD-10048"/>
    <x v="468"/>
    <s v="Kiara Sharma"/>
    <x v="2"/>
    <x v="1"/>
    <x v="1"/>
    <x v="5"/>
    <s v="Footwear"/>
    <s v="Sandals"/>
    <n v="1"/>
    <n v="1038.8900000000001"/>
    <n v="883.06"/>
    <n v="15"/>
    <n v="29.38"/>
    <n v="35.78"/>
    <x v="0"/>
    <x v="3"/>
  </r>
  <r>
    <s v="ORD-10252"/>
    <x v="468"/>
    <s v="Reyansh Patel"/>
    <x v="1"/>
    <x v="1"/>
    <x v="3"/>
    <x v="4"/>
    <s v="Skincare"/>
    <s v="Aloe Moisturizer"/>
    <n v="1"/>
    <n v="968.22"/>
    <n v="871.4"/>
    <n v="10"/>
    <n v="215.53"/>
    <n v="106.38"/>
    <x v="2"/>
    <x v="2"/>
  </r>
  <r>
    <s v="ORD-10553"/>
    <x v="468"/>
    <s v="Anika Chopra"/>
    <x v="0"/>
    <x v="0"/>
    <x v="4"/>
    <x v="0"/>
    <s v="Accessories"/>
    <s v="Screen Guard"/>
    <n v="1"/>
    <n v="18984.88"/>
    <n v="18984.88"/>
    <n v="0"/>
    <n v="2803.24"/>
    <n v="124.28"/>
    <x v="4"/>
    <x v="3"/>
  </r>
  <r>
    <s v="ORD-10340"/>
    <x v="469"/>
    <s v="Arjun Singh"/>
    <x v="0"/>
    <x v="1"/>
    <x v="13"/>
    <x v="5"/>
    <s v="Women's Wear"/>
    <s v="Floral Dress"/>
    <n v="4"/>
    <n v="4080.1"/>
    <n v="13872.34"/>
    <n v="15"/>
    <n v="1831.56"/>
    <n v="188.09"/>
    <x v="1"/>
    <x v="0"/>
  </r>
  <r>
    <s v="ORD-10174"/>
    <x v="470"/>
    <s v="Ayaan Gupta"/>
    <x v="2"/>
    <x v="3"/>
    <x v="7"/>
    <x v="0"/>
    <s v="Mobiles"/>
    <s v="Nova 5G"/>
    <n v="3"/>
    <n v="60669.15"/>
    <n v="136505.59"/>
    <n v="25"/>
    <n v="-9827.48"/>
    <n v="240.84"/>
    <x v="0"/>
    <x v="2"/>
  </r>
  <r>
    <s v="ORD-10031"/>
    <x v="471"/>
    <s v="Kabir Kapoor"/>
    <x v="0"/>
    <x v="0"/>
    <x v="0"/>
    <x v="5"/>
    <s v="Women's Wear"/>
    <s v="Ethnic Kurti"/>
    <n v="4"/>
    <n v="1325.33"/>
    <n v="4771.1899999999996"/>
    <n v="10"/>
    <n v="648.14"/>
    <n v="253.59"/>
    <x v="0"/>
    <x v="3"/>
  </r>
  <r>
    <s v="ORD-10559"/>
    <x v="472"/>
    <s v="Vihaan Reddy"/>
    <x v="2"/>
    <x v="2"/>
    <x v="2"/>
    <x v="0"/>
    <s v="Accessories"/>
    <s v="Phone Case Pro"/>
    <n v="1"/>
    <n v="45716.85"/>
    <n v="41145.17"/>
    <n v="10"/>
    <n v="2449.4"/>
    <n v="66.14"/>
    <x v="1"/>
    <x v="0"/>
  </r>
  <r>
    <s v="ORD-10210"/>
    <x v="472"/>
    <s v="Meera Verma"/>
    <x v="1"/>
    <x v="3"/>
    <x v="5"/>
    <x v="1"/>
    <s v="Furniture"/>
    <s v="Wooden Chair"/>
    <n v="1"/>
    <n v="10122.040000000001"/>
    <n v="9615.94"/>
    <n v="5"/>
    <n v="801.61"/>
    <n v="159.4"/>
    <x v="3"/>
    <x v="2"/>
  </r>
  <r>
    <s v="ORD-10872"/>
    <x v="472"/>
    <s v="Myra Kapoor"/>
    <x v="2"/>
    <x v="1"/>
    <x v="3"/>
    <x v="1"/>
    <s v="Decor"/>
    <s v="Ceramic Vase"/>
    <n v="5"/>
    <n v="3933.39"/>
    <n v="15733.56"/>
    <n v="20"/>
    <n v="2246.29"/>
    <n v="174.65"/>
    <x v="4"/>
    <x v="2"/>
  </r>
  <r>
    <s v="ORD-10541"/>
    <x v="472"/>
    <s v="Diya Bose"/>
    <x v="2"/>
    <x v="2"/>
    <x v="2"/>
    <x v="3"/>
    <s v="Outdoor Gear"/>
    <s v="Trekking Pole"/>
    <n v="1"/>
    <n v="7066.53"/>
    <n v="5299.9"/>
    <n v="25"/>
    <n v="85.19"/>
    <n v="247.84"/>
    <x v="0"/>
    <x v="3"/>
  </r>
  <r>
    <s v="ORD-10401"/>
    <x v="473"/>
    <s v="Aditya Das"/>
    <x v="1"/>
    <x v="0"/>
    <x v="0"/>
    <x v="0"/>
    <s v="Headphones"/>
    <s v="EchoBuds"/>
    <n v="1"/>
    <n v="2011.21"/>
    <n v="1608.97"/>
    <n v="20"/>
    <n v="27.85"/>
    <n v="112.7"/>
    <x v="0"/>
    <x v="3"/>
  </r>
  <r>
    <s v="ORD-10606"/>
    <x v="473"/>
    <s v="Reyansh Das"/>
    <x v="2"/>
    <x v="1"/>
    <x v="3"/>
    <x v="2"/>
    <s v="Fiction"/>
    <s v="Whispering Pines"/>
    <n v="2"/>
    <n v="215.31"/>
    <n v="387.56"/>
    <n v="10"/>
    <n v="-0.69"/>
    <n v="92.14"/>
    <x v="2"/>
    <x v="0"/>
  </r>
  <r>
    <s v="ORD-10690"/>
    <x v="473"/>
    <s v="Riya Verma"/>
    <x v="0"/>
    <x v="0"/>
    <x v="0"/>
    <x v="5"/>
    <s v="Kids Wear"/>
    <s v="Cartoon T-Shirt"/>
    <n v="2"/>
    <n v="1969.28"/>
    <n v="3347.78"/>
    <n v="15"/>
    <n v="514.22"/>
    <n v="209.36"/>
    <x v="0"/>
    <x v="3"/>
  </r>
  <r>
    <s v="ORD-10274"/>
    <x v="473"/>
    <s v="Sai Reddy"/>
    <x v="2"/>
    <x v="0"/>
    <x v="0"/>
    <x v="0"/>
    <s v="Headphones"/>
    <s v="SilentPods"/>
    <n v="5"/>
    <n v="35036.61"/>
    <n v="166423.9"/>
    <n v="5"/>
    <n v="15450.41"/>
    <n v="95.72"/>
    <x v="0"/>
    <x v="2"/>
  </r>
  <r>
    <s v="ORD-10285"/>
    <x v="473"/>
    <s v="Aadhya Agarwal"/>
    <x v="1"/>
    <x v="1"/>
    <x v="1"/>
    <x v="4"/>
    <s v="Makeup"/>
    <s v="Compact Powder"/>
    <n v="3"/>
    <n v="1794.35"/>
    <n v="5113.8999999999996"/>
    <n v="5"/>
    <n v="1368.45"/>
    <n v="99.75"/>
    <x v="2"/>
    <x v="1"/>
  </r>
  <r>
    <s v="ORD-10592"/>
    <x v="474"/>
    <s v="Pooja Desai"/>
    <x v="2"/>
    <x v="2"/>
    <x v="11"/>
    <x v="1"/>
    <s v="Furniture"/>
    <s v="Sofa Set"/>
    <n v="1"/>
    <n v="2949.74"/>
    <n v="2949.74"/>
    <n v="0"/>
    <n v="695.3"/>
    <n v="72.09"/>
    <x v="1"/>
    <x v="0"/>
  </r>
  <r>
    <s v="ORD-10007"/>
    <x v="474"/>
    <s v="Karan Bose"/>
    <x v="2"/>
    <x v="0"/>
    <x v="4"/>
    <x v="3"/>
    <s v="Footwear"/>
    <s v="Sandals"/>
    <n v="1"/>
    <n v="9409.36"/>
    <n v="7997.96"/>
    <n v="15"/>
    <n v="936.75"/>
    <n v="179.36"/>
    <x v="3"/>
    <x v="2"/>
  </r>
  <r>
    <s v="ORD-10547"/>
    <x v="474"/>
    <s v="Ananya Iyer"/>
    <x v="2"/>
    <x v="1"/>
    <x v="1"/>
    <x v="0"/>
    <s v="Laptops"/>
    <s v="GameForce X"/>
    <n v="1"/>
    <n v="49976.87"/>
    <n v="34983.81"/>
    <n v="30"/>
    <n v="-1826.85"/>
    <n v="94.15"/>
    <x v="4"/>
    <x v="0"/>
  </r>
  <r>
    <s v="ORD-10605"/>
    <x v="474"/>
    <s v="Meera Iyer"/>
    <x v="2"/>
    <x v="0"/>
    <x v="12"/>
    <x v="4"/>
    <s v="Skincare"/>
    <s v="Vitamin C Serum"/>
    <n v="4"/>
    <n v="2310.2199999999998"/>
    <n v="8778.84"/>
    <n v="5"/>
    <n v="2079.2800000000002"/>
    <n v="359.85"/>
    <x v="3"/>
    <x v="3"/>
  </r>
  <r>
    <s v="ORD-10227"/>
    <x v="475"/>
    <s v="Sai Mishra"/>
    <x v="2"/>
    <x v="0"/>
    <x v="4"/>
    <x v="0"/>
    <s v="Cameras"/>
    <s v="ClickShot X1"/>
    <n v="2"/>
    <n v="8554.99"/>
    <n v="15398.98"/>
    <n v="10"/>
    <n v="1660.67"/>
    <n v="283.42"/>
    <x v="0"/>
    <x v="3"/>
  </r>
  <r>
    <s v="ORD-10086"/>
    <x v="476"/>
    <s v="Aadhya Reddy"/>
    <x v="0"/>
    <x v="1"/>
    <x v="3"/>
    <x v="0"/>
    <s v="Mobiles"/>
    <s v="Galaxy Note Lite"/>
    <n v="1"/>
    <n v="47879.13"/>
    <n v="47879.13"/>
    <n v="0"/>
    <n v="8114.47"/>
    <n v="70.86"/>
    <x v="1"/>
    <x v="1"/>
  </r>
  <r>
    <s v="ORD-10670"/>
    <x v="476"/>
    <s v="Rohan Gupta"/>
    <x v="1"/>
    <x v="1"/>
    <x v="1"/>
    <x v="3"/>
    <s v="Outdoor Gear"/>
    <s v="Water Bottle Steel"/>
    <n v="1"/>
    <n v="6175.02"/>
    <n v="5866.27"/>
    <n v="5"/>
    <n v="619.62"/>
    <n v="114.57"/>
    <x v="1"/>
    <x v="0"/>
  </r>
  <r>
    <s v="ORD-10501"/>
    <x v="476"/>
    <s v="Arjun Mehta"/>
    <x v="1"/>
    <x v="2"/>
    <x v="2"/>
    <x v="2"/>
    <s v="Non-Fiction"/>
    <s v="The Growth Mindset"/>
    <n v="1"/>
    <n v="692.4"/>
    <n v="553.91999999999996"/>
    <n v="20"/>
    <n v="8.0500000000000007"/>
    <n v="286.83"/>
    <x v="2"/>
    <x v="3"/>
  </r>
  <r>
    <s v="ORD-10078"/>
    <x v="477"/>
    <s v="Kiara Bose"/>
    <x v="1"/>
    <x v="1"/>
    <x v="13"/>
    <x v="0"/>
    <s v="Headphones"/>
    <s v="SoundWave Pro"/>
    <n v="3"/>
    <n v="37780.82"/>
    <n v="113342.46"/>
    <n v="0"/>
    <n v="12048.84"/>
    <n v="101.12"/>
    <x v="3"/>
    <x v="3"/>
  </r>
  <r>
    <s v="ORD-10682"/>
    <x v="477"/>
    <s v="Dhruv Joshi"/>
    <x v="0"/>
    <x v="2"/>
    <x v="8"/>
    <x v="5"/>
    <s v="Footwear"/>
    <s v="Running Shoes"/>
    <n v="1"/>
    <n v="689.03"/>
    <n v="551.22"/>
    <n v="20"/>
    <n v="24.32"/>
    <n v="269.48"/>
    <x v="3"/>
    <x v="0"/>
  </r>
  <r>
    <s v="ORD-10438"/>
    <x v="477"/>
    <s v="Ananya Verma"/>
    <x v="2"/>
    <x v="1"/>
    <x v="3"/>
    <x v="0"/>
    <s v="Headphones"/>
    <s v="BassBoost 300"/>
    <n v="1"/>
    <n v="27427.9"/>
    <n v="23313.72"/>
    <n v="15"/>
    <n v="2603.33"/>
    <n v="141.15"/>
    <x v="3"/>
    <x v="1"/>
  </r>
  <r>
    <s v="ORD-10750"/>
    <x v="477"/>
    <s v="Priya Chopra"/>
    <x v="2"/>
    <x v="0"/>
    <x v="12"/>
    <x v="0"/>
    <s v="Mobiles"/>
    <s v="Pixel Nano"/>
    <n v="1"/>
    <n v="51204.68"/>
    <n v="51204.68"/>
    <n v="0"/>
    <n v="6378.93"/>
    <n v="167.28"/>
    <x v="1"/>
    <x v="3"/>
  </r>
  <r>
    <s v="ORD-10546"/>
    <x v="478"/>
    <s v="Anika Reddy"/>
    <x v="2"/>
    <x v="3"/>
    <x v="5"/>
    <x v="4"/>
    <s v="Skincare"/>
    <s v="Vitamin C Serum"/>
    <n v="1"/>
    <n v="2257.2399999999998"/>
    <n v="2257.2399999999998"/>
    <n v="0"/>
    <n v="653.17999999999995"/>
    <n v="175.91"/>
    <x v="0"/>
    <x v="2"/>
  </r>
  <r>
    <s v="ORD-10691"/>
    <x v="478"/>
    <s v="Saanvi Agarwal"/>
    <x v="2"/>
    <x v="2"/>
    <x v="8"/>
    <x v="4"/>
    <s v="Fragrances"/>
    <s v="Woody Cologne"/>
    <n v="1"/>
    <n v="1972.71"/>
    <n v="1972.71"/>
    <n v="0"/>
    <n v="416.63"/>
    <n v="285.91000000000003"/>
    <x v="1"/>
    <x v="3"/>
  </r>
  <r>
    <s v="ORD-10079"/>
    <x v="478"/>
    <s v="Vihaan Bose"/>
    <x v="2"/>
    <x v="0"/>
    <x v="4"/>
    <x v="2"/>
    <s v="Academic"/>
    <s v="Statistics Handbook"/>
    <n v="1"/>
    <n v="1011.67"/>
    <n v="910.5"/>
    <n v="10"/>
    <n v="133.71"/>
    <n v="238.48"/>
    <x v="2"/>
    <x v="0"/>
  </r>
  <r>
    <s v="ORD-10574"/>
    <x v="478"/>
    <s v="Aarav Bose"/>
    <x v="0"/>
    <x v="1"/>
    <x v="1"/>
    <x v="0"/>
    <s v="Mobiles"/>
    <s v="OnePlus Edge"/>
    <n v="1"/>
    <n v="6896.67"/>
    <n v="5517.34"/>
    <n v="20"/>
    <n v="-438.37"/>
    <n v="249.85"/>
    <x v="4"/>
    <x v="3"/>
  </r>
  <r>
    <s v="ORD-10977"/>
    <x v="479"/>
    <s v="Kabir Nair"/>
    <x v="0"/>
    <x v="3"/>
    <x v="7"/>
    <x v="1"/>
    <s v="Cookware"/>
    <s v="Steel Kadai"/>
    <n v="1"/>
    <n v="10450.51"/>
    <n v="10450.51"/>
    <n v="0"/>
    <n v="1964.55"/>
    <n v="74.8"/>
    <x v="1"/>
    <x v="0"/>
  </r>
  <r>
    <s v="ORD-10950"/>
    <x v="479"/>
    <s v="Aditya Singh"/>
    <x v="1"/>
    <x v="1"/>
    <x v="1"/>
    <x v="5"/>
    <s v="Women's Wear"/>
    <s v="Denim Jacket"/>
    <n v="1"/>
    <n v="401.26"/>
    <n v="321.01"/>
    <n v="20"/>
    <n v="25.63"/>
    <n v="67.27"/>
    <x v="1"/>
    <x v="2"/>
  </r>
  <r>
    <s v="ORD-10886"/>
    <x v="479"/>
    <s v="Vivaan Iyer"/>
    <x v="0"/>
    <x v="1"/>
    <x v="3"/>
    <x v="0"/>
    <s v="Headphones"/>
    <s v="SilentPods"/>
    <n v="2"/>
    <n v="58345.02"/>
    <n v="93352.03"/>
    <n v="20"/>
    <n v="1609.85"/>
    <n v="140.13"/>
    <x v="1"/>
    <x v="3"/>
  </r>
  <r>
    <s v="ORD-10032"/>
    <x v="479"/>
    <s v="Kiara Bose"/>
    <x v="0"/>
    <x v="0"/>
    <x v="4"/>
    <x v="2"/>
    <s v="Academic"/>
    <s v="Physics Fundamentals"/>
    <n v="2"/>
    <n v="531.80999999999995"/>
    <n v="904.08"/>
    <n v="15"/>
    <n v="28.49"/>
    <n v="355.97"/>
    <x v="2"/>
    <x v="2"/>
  </r>
  <r>
    <s v="ORD-10727"/>
    <x v="480"/>
    <s v="Navya Iyer"/>
    <x v="1"/>
    <x v="1"/>
    <x v="3"/>
    <x v="1"/>
    <s v="Appliances"/>
    <s v="Mixer Grinder"/>
    <n v="1"/>
    <n v="5152.9799999999996"/>
    <n v="5152.9799999999996"/>
    <n v="0"/>
    <n v="696.41"/>
    <n v="43.44"/>
    <x v="3"/>
    <x v="1"/>
  </r>
  <r>
    <s v="ORD-10312"/>
    <x v="480"/>
    <s v="Anika Khan"/>
    <x v="2"/>
    <x v="2"/>
    <x v="8"/>
    <x v="5"/>
    <s v="Women's Wear"/>
    <s v="Floral Dress"/>
    <n v="1"/>
    <n v="2315.5700000000002"/>
    <n v="2199.79"/>
    <n v="5"/>
    <n v="418.98"/>
    <n v="249.51"/>
    <x v="3"/>
    <x v="0"/>
  </r>
  <r>
    <s v="ORD-10275"/>
    <x v="480"/>
    <s v="Vihaan Rao"/>
    <x v="1"/>
    <x v="2"/>
    <x v="9"/>
    <x v="5"/>
    <s v="Men's Wear"/>
    <s v="Slim Fit Jeans"/>
    <n v="2"/>
    <n v="4129.71"/>
    <n v="7433.48"/>
    <n v="10"/>
    <n v="1798.2"/>
    <n v="124.21"/>
    <x v="0"/>
    <x v="3"/>
  </r>
  <r>
    <s v="ORD-10829"/>
    <x v="480"/>
    <s v="Riya Rao"/>
    <x v="0"/>
    <x v="1"/>
    <x v="3"/>
    <x v="1"/>
    <s v="Furniture"/>
    <s v="Sofa Set"/>
    <n v="2"/>
    <n v="3293.72"/>
    <n v="5269.95"/>
    <n v="20"/>
    <n v="507.78"/>
    <n v="159.16999999999999"/>
    <x v="0"/>
    <x v="0"/>
  </r>
  <r>
    <s v="ORD-10593"/>
    <x v="480"/>
    <s v="Ayaan Malhotra"/>
    <x v="1"/>
    <x v="3"/>
    <x v="7"/>
    <x v="5"/>
    <s v="Kids Wear"/>
    <s v="School Uniform Set"/>
    <n v="2"/>
    <n v="620.82000000000005"/>
    <n v="931.23"/>
    <n v="25"/>
    <n v="-5.81"/>
    <n v="103.16"/>
    <x v="2"/>
    <x v="1"/>
  </r>
  <r>
    <s v="ORD-10253"/>
    <x v="480"/>
    <s v="Ayaan Malhotra"/>
    <x v="2"/>
    <x v="1"/>
    <x v="1"/>
    <x v="2"/>
    <s v="Fiction"/>
    <s v="The Silent Valley"/>
    <n v="1"/>
    <n v="864.15"/>
    <n v="604.9"/>
    <n v="30"/>
    <n v="23.66"/>
    <n v="80.75"/>
    <x v="3"/>
    <x v="3"/>
  </r>
  <r>
    <s v="ORD-10844"/>
    <x v="481"/>
    <s v="Kiara Singh"/>
    <x v="0"/>
    <x v="1"/>
    <x v="1"/>
    <x v="2"/>
    <s v="Academic"/>
    <s v="Data Science Basics"/>
    <n v="1"/>
    <n v="1092.6300000000001"/>
    <n v="928.74"/>
    <n v="15"/>
    <n v="86.06"/>
    <n v="268.45999999999998"/>
    <x v="0"/>
    <x v="3"/>
  </r>
  <r>
    <s v="ORD-10693"/>
    <x v="481"/>
    <s v="Rohan Singh"/>
    <x v="1"/>
    <x v="2"/>
    <x v="2"/>
    <x v="5"/>
    <s v="Kids Wear"/>
    <s v="Cartoon T-Shirt"/>
    <n v="1"/>
    <n v="3911.26"/>
    <n v="3911.26"/>
    <n v="0"/>
    <n v="1055.9100000000001"/>
    <n v="234.15"/>
    <x v="3"/>
    <x v="3"/>
  </r>
  <r>
    <s v="ORD-10292"/>
    <x v="482"/>
    <s v="Arjun Nair"/>
    <x v="0"/>
    <x v="1"/>
    <x v="3"/>
    <x v="2"/>
    <s v="Academic"/>
    <s v="Calculus Made Easy"/>
    <n v="1"/>
    <n v="195.84"/>
    <n v="186.05"/>
    <n v="5"/>
    <n v="17.399999999999999"/>
    <n v="81.739999999999995"/>
    <x v="3"/>
    <x v="0"/>
  </r>
  <r>
    <s v="ORD-10132"/>
    <x v="483"/>
    <s v="Vivaan Mehta"/>
    <x v="2"/>
    <x v="1"/>
    <x v="3"/>
    <x v="5"/>
    <s v="Kids Wear"/>
    <s v="Cartoon T-Shirt"/>
    <n v="4"/>
    <n v="2028.98"/>
    <n v="6898.53"/>
    <n v="15"/>
    <n v="572.62"/>
    <n v="354.78"/>
    <x v="3"/>
    <x v="3"/>
  </r>
  <r>
    <s v="ORD-10437"/>
    <x v="483"/>
    <s v="Reyansh Sharma"/>
    <x v="0"/>
    <x v="1"/>
    <x v="1"/>
    <x v="5"/>
    <s v="Women's Wear"/>
    <s v="Floral Dress"/>
    <n v="2"/>
    <n v="495.3"/>
    <n v="891.54"/>
    <n v="10"/>
    <n v="189.59"/>
    <n v="155.69"/>
    <x v="1"/>
    <x v="3"/>
  </r>
  <r>
    <s v="ORD-10073"/>
    <x v="484"/>
    <s v="Sai Patel"/>
    <x v="2"/>
    <x v="2"/>
    <x v="9"/>
    <x v="1"/>
    <s v="Decor"/>
    <s v="Table Lamp"/>
    <n v="2"/>
    <n v="4365.8"/>
    <n v="6112.12"/>
    <n v="30"/>
    <n v="213.65"/>
    <n v="155.82"/>
    <x v="3"/>
    <x v="2"/>
  </r>
  <r>
    <s v="ORD-10420"/>
    <x v="485"/>
    <s v="Ayaan Das"/>
    <x v="0"/>
    <x v="0"/>
    <x v="12"/>
    <x v="4"/>
    <s v="Skincare"/>
    <s v="Vitamin C Serum"/>
    <n v="2"/>
    <n v="1491.41"/>
    <n v="2535.4"/>
    <n v="15"/>
    <n v="618.04"/>
    <n v="224.41"/>
    <x v="3"/>
    <x v="3"/>
  </r>
  <r>
    <s v="ORD-10976"/>
    <x v="486"/>
    <s v="Dhruv Nair"/>
    <x v="2"/>
    <x v="2"/>
    <x v="2"/>
    <x v="4"/>
    <s v="Haircare"/>
    <s v="Hair Mask Deep Repair"/>
    <n v="3"/>
    <n v="1055.8800000000001"/>
    <n v="3009.26"/>
    <n v="5"/>
    <n v="914.5"/>
    <n v="227"/>
    <x v="3"/>
    <x v="1"/>
  </r>
  <r>
    <s v="ORD-10034"/>
    <x v="486"/>
    <s v="Arjun Sharma"/>
    <x v="1"/>
    <x v="2"/>
    <x v="8"/>
    <x v="2"/>
    <s v="Comics"/>
    <s v="Manga Vol. 1"/>
    <n v="3"/>
    <n v="790.04"/>
    <n v="1896.1"/>
    <n v="20"/>
    <n v="54.37"/>
    <n v="220.86"/>
    <x v="4"/>
    <x v="0"/>
  </r>
  <r>
    <s v="ORD-10876"/>
    <x v="487"/>
    <s v="Simran Bose"/>
    <x v="0"/>
    <x v="1"/>
    <x v="1"/>
    <x v="5"/>
    <s v="Footwear"/>
    <s v="Sandals"/>
    <n v="3"/>
    <n v="1970.27"/>
    <n v="5910.81"/>
    <n v="0"/>
    <n v="1060.3699999999999"/>
    <n v="371.62"/>
    <x v="1"/>
    <x v="2"/>
  </r>
  <r>
    <s v="ORD-10006"/>
    <x v="487"/>
    <s v="Simran Verma"/>
    <x v="2"/>
    <x v="1"/>
    <x v="13"/>
    <x v="1"/>
    <s v="Furniture"/>
    <s v="Sofa Set"/>
    <n v="1"/>
    <n v="4649.8"/>
    <n v="4417.3100000000004"/>
    <n v="5"/>
    <n v="795.88"/>
    <n v="175.94"/>
    <x v="1"/>
    <x v="0"/>
  </r>
  <r>
    <s v="ORD-10823"/>
    <x v="487"/>
    <s v="Arjun Joshi"/>
    <x v="1"/>
    <x v="3"/>
    <x v="10"/>
    <x v="0"/>
    <s v="Laptops"/>
    <s v="ProBook 14"/>
    <n v="4"/>
    <n v="64368.94"/>
    <n v="193106.82"/>
    <n v="25"/>
    <n v="-20163.439999999999"/>
    <n v="100.26"/>
    <x v="0"/>
    <x v="3"/>
  </r>
  <r>
    <s v="ORD-10290"/>
    <x v="487"/>
    <s v="Saanvi Rao"/>
    <x v="1"/>
    <x v="2"/>
    <x v="2"/>
    <x v="3"/>
    <s v="Gym Equipment"/>
    <s v="Treadmill Compact"/>
    <n v="5"/>
    <n v="11067.79"/>
    <n v="52572"/>
    <n v="5"/>
    <n v="12399.84"/>
    <n v="116.12"/>
    <x v="3"/>
    <x v="0"/>
  </r>
  <r>
    <s v="ORD-10839"/>
    <x v="487"/>
    <s v="Simran Desai"/>
    <x v="2"/>
    <x v="3"/>
    <x v="6"/>
    <x v="1"/>
    <s v="Furniture"/>
    <s v="Study Table"/>
    <n v="2"/>
    <n v="7556.55"/>
    <n v="14357.44"/>
    <n v="5"/>
    <n v="1892.52"/>
    <n v="324.39"/>
    <x v="1"/>
    <x v="3"/>
  </r>
  <r>
    <s v="ORD-10211"/>
    <x v="488"/>
    <s v="Aditya Mehta"/>
    <x v="2"/>
    <x v="1"/>
    <x v="3"/>
    <x v="3"/>
    <s v="Outdoor Gear"/>
    <s v="Water Bottle Steel"/>
    <n v="4"/>
    <n v="7952.14"/>
    <n v="22265.99"/>
    <n v="30"/>
    <n v="57.88"/>
    <n v="268.01"/>
    <x v="1"/>
    <x v="0"/>
  </r>
  <r>
    <s v="ORD-10362"/>
    <x v="488"/>
    <s v="Kabir Nair"/>
    <x v="2"/>
    <x v="3"/>
    <x v="6"/>
    <x v="5"/>
    <s v="Footwear"/>
    <s v="Casual Sneakers"/>
    <n v="2"/>
    <n v="2178.25"/>
    <n v="3267.38"/>
    <n v="25"/>
    <n v="36.840000000000003"/>
    <n v="237.19"/>
    <x v="2"/>
    <x v="3"/>
  </r>
  <r>
    <s v="ORD-10878"/>
    <x v="489"/>
    <s v="Ira Agarwal"/>
    <x v="0"/>
    <x v="2"/>
    <x v="2"/>
    <x v="1"/>
    <s v="Decor"/>
    <s v="Wall Art Frame"/>
    <n v="4"/>
    <n v="4746.7700000000004"/>
    <n v="17088.37"/>
    <n v="10"/>
    <n v="3161.62"/>
    <n v="250.96"/>
    <x v="1"/>
    <x v="0"/>
  </r>
  <r>
    <s v="ORD-10423"/>
    <x v="490"/>
    <s v="Raj Reddy"/>
    <x v="0"/>
    <x v="2"/>
    <x v="2"/>
    <x v="1"/>
    <s v="Decor"/>
    <s v="Wall Art Frame"/>
    <n v="4"/>
    <n v="6435.44"/>
    <n v="21880.5"/>
    <n v="15"/>
    <n v="979.68"/>
    <n v="310.36"/>
    <x v="3"/>
    <x v="3"/>
  </r>
  <r>
    <s v="ORD-10113"/>
    <x v="490"/>
    <s v="Diya Khan"/>
    <x v="0"/>
    <x v="3"/>
    <x v="10"/>
    <x v="2"/>
    <s v="Fiction"/>
    <s v="Whispering Pines"/>
    <n v="1"/>
    <n v="625.9"/>
    <n v="625.9"/>
    <n v="0"/>
    <n v="147.94999999999999"/>
    <n v="116.71"/>
    <x v="1"/>
    <x v="3"/>
  </r>
  <r>
    <s v="ORD-10126"/>
    <x v="490"/>
    <s v="Anika Iyer"/>
    <x v="2"/>
    <x v="2"/>
    <x v="11"/>
    <x v="2"/>
    <s v="Fiction"/>
    <s v="The Silent Valley"/>
    <n v="1"/>
    <n v="165.27"/>
    <n v="123.95"/>
    <n v="25"/>
    <n v="5.44"/>
    <n v="142.19"/>
    <x v="1"/>
    <x v="1"/>
  </r>
  <r>
    <s v="ORD-10147"/>
    <x v="491"/>
    <s v="Ira Kapoor"/>
    <x v="1"/>
    <x v="0"/>
    <x v="0"/>
    <x v="3"/>
    <s v="Outdoor Gear"/>
    <s v="Hiking Backpack"/>
    <n v="2"/>
    <n v="5702.48"/>
    <n v="11404.96"/>
    <n v="0"/>
    <n v="2958.9"/>
    <n v="73.12"/>
    <x v="3"/>
    <x v="0"/>
  </r>
  <r>
    <s v="ORD-10429"/>
    <x v="491"/>
    <s v="Aarav Agarwal"/>
    <x v="2"/>
    <x v="2"/>
    <x v="2"/>
    <x v="1"/>
    <s v="Furniture"/>
    <s v="Wooden Chair"/>
    <n v="4"/>
    <n v="6409.71"/>
    <n v="21793.01"/>
    <n v="15"/>
    <n v="2313.5100000000002"/>
    <n v="157.97"/>
    <x v="4"/>
    <x v="1"/>
  </r>
  <r>
    <s v="ORD-10225"/>
    <x v="492"/>
    <s v="Vihaan Bose"/>
    <x v="2"/>
    <x v="2"/>
    <x v="9"/>
    <x v="2"/>
    <s v="Comics"/>
    <s v="Manga Vol. 1"/>
    <n v="3"/>
    <n v="1199.32"/>
    <n v="3597.96"/>
    <n v="0"/>
    <n v="314.64"/>
    <n v="160.11000000000001"/>
    <x v="1"/>
    <x v="2"/>
  </r>
  <r>
    <s v="ORD-10667"/>
    <x v="493"/>
    <s v="Vihaan Joshi"/>
    <x v="2"/>
    <x v="3"/>
    <x v="5"/>
    <x v="5"/>
    <s v="Kids Wear"/>
    <s v="School Uniform Set"/>
    <n v="2"/>
    <n v="4141.87"/>
    <n v="7869.55"/>
    <n v="5"/>
    <n v="1484.48"/>
    <n v="357.67"/>
    <x v="1"/>
    <x v="0"/>
  </r>
  <r>
    <s v="ORD-10728"/>
    <x v="494"/>
    <s v="Reyansh Sharma"/>
    <x v="1"/>
    <x v="0"/>
    <x v="12"/>
    <x v="2"/>
    <s v="Non-Fiction"/>
    <s v="Mind Over Matter"/>
    <n v="2"/>
    <n v="340.81"/>
    <n v="647.54"/>
    <n v="5"/>
    <n v="55.91"/>
    <n v="282.79000000000002"/>
    <x v="3"/>
    <x v="0"/>
  </r>
  <r>
    <s v="ORD-10840"/>
    <x v="495"/>
    <s v="Vihaan Joshi"/>
    <x v="2"/>
    <x v="2"/>
    <x v="9"/>
    <x v="0"/>
    <s v="Mobiles"/>
    <s v="OnePlus Edge"/>
    <n v="2"/>
    <n v="37436.76"/>
    <n v="74873.52"/>
    <n v="0"/>
    <n v="9274.4"/>
    <n v="139.83000000000001"/>
    <x v="0"/>
    <x v="0"/>
  </r>
  <r>
    <s v="ORD-10625"/>
    <x v="496"/>
    <s v="Anika Chopra"/>
    <x v="2"/>
    <x v="3"/>
    <x v="6"/>
    <x v="3"/>
    <s v="Outdoor Gear"/>
    <s v="Trekking Pole"/>
    <n v="2"/>
    <n v="9462.8799999999992"/>
    <n v="18925.759999999998"/>
    <n v="0"/>
    <n v="2043.67"/>
    <n v="316.13"/>
    <x v="3"/>
    <x v="1"/>
  </r>
  <r>
    <s v="ORD-10933"/>
    <x v="497"/>
    <s v="Kiara Sharma"/>
    <x v="2"/>
    <x v="3"/>
    <x v="7"/>
    <x v="2"/>
    <s v="Academic"/>
    <s v="Data Science Basics"/>
    <n v="3"/>
    <n v="269.85000000000002"/>
    <n v="769.07"/>
    <n v="5"/>
    <n v="104.14"/>
    <n v="60.06"/>
    <x v="2"/>
    <x v="3"/>
  </r>
  <r>
    <s v="ORD-10203"/>
    <x v="498"/>
    <s v="Saanvi Mehta"/>
    <x v="0"/>
    <x v="3"/>
    <x v="7"/>
    <x v="3"/>
    <s v="Outdoor Gear"/>
    <s v="Camping Tent"/>
    <n v="3"/>
    <n v="7452"/>
    <n v="21238.2"/>
    <n v="5"/>
    <n v="5417.26"/>
    <n v="283.63"/>
    <x v="1"/>
    <x v="0"/>
  </r>
  <r>
    <s v="ORD-10768"/>
    <x v="498"/>
    <s v="Ananya Bose"/>
    <x v="2"/>
    <x v="0"/>
    <x v="0"/>
    <x v="0"/>
    <s v="Laptops"/>
    <s v="AirLight 13"/>
    <n v="1"/>
    <n v="54624.02"/>
    <n v="49161.62"/>
    <n v="10"/>
    <n v="1009.87"/>
    <n v="84.31"/>
    <x v="0"/>
    <x v="0"/>
  </r>
  <r>
    <s v="ORD-10231"/>
    <x v="499"/>
    <s v="Riya Kapoor"/>
    <x v="2"/>
    <x v="2"/>
    <x v="2"/>
    <x v="4"/>
    <s v="Skincare"/>
    <s v="Aloe Moisturizer"/>
    <n v="3"/>
    <n v="1396.39"/>
    <n v="3351.34"/>
    <n v="20"/>
    <n v="705.48"/>
    <n v="193.6"/>
    <x v="1"/>
    <x v="3"/>
  </r>
  <r>
    <s v="ORD-10765"/>
    <x v="499"/>
    <s v="Vihaan Verma"/>
    <x v="0"/>
    <x v="0"/>
    <x v="0"/>
    <x v="4"/>
    <s v="Fragrances"/>
    <s v="Woody Cologne"/>
    <n v="4"/>
    <n v="453.15"/>
    <n v="1812.6"/>
    <n v="0"/>
    <n v="525.84"/>
    <n v="92.41"/>
    <x v="1"/>
    <x v="0"/>
  </r>
  <r>
    <s v="ORD-10993"/>
    <x v="500"/>
    <s v="Rohan Das"/>
    <x v="1"/>
    <x v="2"/>
    <x v="9"/>
    <x v="4"/>
    <s v="Skincare"/>
    <s v="Vitamin C Serum"/>
    <n v="2"/>
    <n v="1606.79"/>
    <n v="3052.9"/>
    <n v="5"/>
    <n v="605.9"/>
    <n v="149.77000000000001"/>
    <x v="3"/>
    <x v="3"/>
  </r>
  <r>
    <s v="ORD-10293"/>
    <x v="500"/>
    <s v="Myra Mishra"/>
    <x v="0"/>
    <x v="0"/>
    <x v="0"/>
    <x v="0"/>
    <s v="Accessories"/>
    <s v="Screen Guard"/>
    <n v="1"/>
    <n v="15775.41"/>
    <n v="13409.1"/>
    <n v="15"/>
    <n v="-622.07000000000005"/>
    <n v="247.67"/>
    <x v="3"/>
    <x v="1"/>
  </r>
  <r>
    <s v="ORD-10152"/>
    <x v="501"/>
    <s v="Aditya Joshi"/>
    <x v="2"/>
    <x v="1"/>
    <x v="3"/>
    <x v="3"/>
    <s v="Outdoor Gear"/>
    <s v="Trekking Pole"/>
    <n v="1"/>
    <n v="7786.49"/>
    <n v="7786.49"/>
    <n v="0"/>
    <n v="1749.84"/>
    <n v="107.57"/>
    <x v="0"/>
    <x v="3"/>
  </r>
  <r>
    <s v="ORD-10325"/>
    <x v="502"/>
    <s v="Riya Patel"/>
    <x v="2"/>
    <x v="0"/>
    <x v="12"/>
    <x v="1"/>
    <s v="Appliances"/>
    <s v="Microwave Oven"/>
    <n v="3"/>
    <n v="4165.2"/>
    <n v="12495.6"/>
    <n v="0"/>
    <n v="1450.73"/>
    <n v="282.55"/>
    <x v="1"/>
    <x v="0"/>
  </r>
  <r>
    <s v="ORD-10975"/>
    <x v="503"/>
    <s v="Sai Patel"/>
    <x v="0"/>
    <x v="0"/>
    <x v="4"/>
    <x v="4"/>
    <s v="Makeup"/>
    <s v="Matte Lipstick"/>
    <n v="2"/>
    <n v="616.04999999999995"/>
    <n v="1108.8900000000001"/>
    <n v="10"/>
    <n v="210.83"/>
    <n v="278.88"/>
    <x v="2"/>
    <x v="0"/>
  </r>
  <r>
    <s v="ORD-10866"/>
    <x v="503"/>
    <s v="Priya Sharma"/>
    <x v="2"/>
    <x v="3"/>
    <x v="6"/>
    <x v="1"/>
    <s v="Cookware"/>
    <s v="Pressure Cooker"/>
    <n v="1"/>
    <n v="9916.9500000000007"/>
    <n v="9916.9500000000007"/>
    <n v="0"/>
    <n v="1441.85"/>
    <n v="170.98"/>
    <x v="3"/>
    <x v="0"/>
  </r>
  <r>
    <s v="ORD-10138"/>
    <x v="503"/>
    <s v="Aadhya Iyer"/>
    <x v="2"/>
    <x v="3"/>
    <x v="6"/>
    <x v="0"/>
    <s v="Cameras"/>
    <s v="ActionCam 4K"/>
    <n v="1"/>
    <n v="16264.23"/>
    <n v="14637.81"/>
    <n v="10"/>
    <n v="611.59"/>
    <n v="273.19"/>
    <x v="3"/>
    <x v="3"/>
  </r>
  <r>
    <s v="ORD-10570"/>
    <x v="503"/>
    <s v="Rohan Nair"/>
    <x v="2"/>
    <x v="1"/>
    <x v="3"/>
    <x v="0"/>
    <s v="Cameras"/>
    <s v="ActionCam 4K"/>
    <n v="4"/>
    <n v="46305.1"/>
    <n v="166698.35999999999"/>
    <n v="10"/>
    <n v="6590.42"/>
    <n v="95.06"/>
    <x v="3"/>
    <x v="2"/>
  </r>
  <r>
    <s v="ORD-10832"/>
    <x v="503"/>
    <s v="Kabir Patel"/>
    <x v="2"/>
    <x v="3"/>
    <x v="6"/>
    <x v="5"/>
    <s v="Footwear"/>
    <s v="Formal Loafers"/>
    <n v="1"/>
    <n v="1028.04"/>
    <n v="822.43"/>
    <n v="20"/>
    <n v="85.41"/>
    <n v="185.46"/>
    <x v="3"/>
    <x v="0"/>
  </r>
  <r>
    <s v="ORD-10020"/>
    <x v="504"/>
    <s v="Reyansh Chopra"/>
    <x v="2"/>
    <x v="3"/>
    <x v="10"/>
    <x v="3"/>
    <s v="Apparel"/>
    <s v="Compression Shorts"/>
    <n v="1"/>
    <n v="10105.76"/>
    <n v="8589.9"/>
    <n v="15"/>
    <n v="1445.15"/>
    <n v="219.22"/>
    <x v="0"/>
    <x v="0"/>
  </r>
  <r>
    <s v="ORD-10597"/>
    <x v="505"/>
    <s v="Ayaan Patel"/>
    <x v="2"/>
    <x v="1"/>
    <x v="1"/>
    <x v="4"/>
    <s v="Skincare"/>
    <s v="Aloe Moisturizer"/>
    <n v="1"/>
    <n v="869.63"/>
    <n v="869.63"/>
    <n v="0"/>
    <n v="222.98"/>
    <n v="317.83"/>
    <x v="0"/>
    <x v="3"/>
  </r>
</pivotCacheRecords>
</file>

<file path=xl/pivotCache/pivotCacheRecords2.xml><?xml version="1.0" encoding="utf-8"?>
<pivotCacheRecords xmlns="http://schemas.openxmlformats.org/spreadsheetml/2006/main" xmlns:r="http://schemas.openxmlformats.org/officeDocument/2006/relationships" count="1000">
  <r>
    <x v="0"/>
    <x v="0"/>
    <s v="Simran Sharma"/>
    <s v="Corporate"/>
    <x v="0"/>
    <x v="0"/>
    <x v="0"/>
    <s v="Cameras"/>
    <x v="0"/>
    <n v="2"/>
    <n v="40157.56"/>
    <n v="80315.12"/>
    <x v="0"/>
    <n v="10595.94"/>
    <n v="94.4"/>
    <x v="0"/>
    <x v="0"/>
    <n v="0.13192957938679542"/>
  </r>
  <r>
    <x v="1"/>
    <x v="0"/>
    <s v="Ishaan Nair"/>
    <s v="Small Business"/>
    <x v="1"/>
    <x v="1"/>
    <x v="1"/>
    <s v="Cookware"/>
    <x v="1"/>
    <n v="1"/>
    <n v="8300.06"/>
    <n v="7055.05"/>
    <x v="1"/>
    <n v="905.99"/>
    <n v="106"/>
    <x v="1"/>
    <x v="1"/>
    <n v="0.12841723304583241"/>
  </r>
  <r>
    <x v="2"/>
    <x v="0"/>
    <s v="Ayaan Reddy"/>
    <s v="Consumer"/>
    <x v="2"/>
    <x v="2"/>
    <x v="2"/>
    <s v="Academic"/>
    <x v="2"/>
    <n v="1"/>
    <n v="1151.75"/>
    <n v="1036.58"/>
    <x v="2"/>
    <n v="22.36"/>
    <n v="244.94"/>
    <x v="2"/>
    <x v="0"/>
    <n v="2.1570935190723343E-2"/>
  </r>
  <r>
    <x v="3"/>
    <x v="0"/>
    <s v="Kabir Kapoor"/>
    <s v="Consumer"/>
    <x v="1"/>
    <x v="3"/>
    <x v="3"/>
    <s v="Outdoor Gear"/>
    <x v="3"/>
    <n v="1"/>
    <n v="13093.98"/>
    <n v="12439.28"/>
    <x v="3"/>
    <n v="1806.56"/>
    <n v="196.03"/>
    <x v="1"/>
    <x v="0"/>
    <n v="0.14523027056228333"/>
  </r>
  <r>
    <x v="4"/>
    <x v="0"/>
    <s v="Raj Mishra"/>
    <s v="Small Business"/>
    <x v="0"/>
    <x v="4"/>
    <x v="0"/>
    <s v="Mobiles"/>
    <x v="4"/>
    <n v="3"/>
    <n v="8985.5499999999993"/>
    <n v="26956.65"/>
    <x v="0"/>
    <n v="4037.48"/>
    <n v="100.04"/>
    <x v="0"/>
    <x v="2"/>
    <n v="0.14977677122342722"/>
  </r>
  <r>
    <x v="5"/>
    <x v="0"/>
    <s v="Dhruv Joshi"/>
    <s v="Corporate"/>
    <x v="3"/>
    <x v="5"/>
    <x v="3"/>
    <s v="Apparel"/>
    <x v="5"/>
    <n v="1"/>
    <n v="2138.91"/>
    <n v="1818.07"/>
    <x v="1"/>
    <n v="158.99"/>
    <n v="174.7"/>
    <x v="3"/>
    <x v="3"/>
    <n v="8.7449878167507308E-2"/>
  </r>
  <r>
    <x v="6"/>
    <x v="1"/>
    <s v="Meera Mehta"/>
    <s v="Corporate"/>
    <x v="3"/>
    <x v="6"/>
    <x v="1"/>
    <s v="Cookware"/>
    <x v="6"/>
    <n v="4"/>
    <n v="11956.54"/>
    <n v="45434.85"/>
    <x v="3"/>
    <n v="6957.95"/>
    <n v="357.44"/>
    <x v="2"/>
    <x v="0"/>
    <n v="0.15314125610627086"/>
  </r>
  <r>
    <x v="7"/>
    <x v="1"/>
    <s v="Simran Gupta"/>
    <s v="Consumer"/>
    <x v="3"/>
    <x v="7"/>
    <x v="1"/>
    <s v="Appliances"/>
    <x v="7"/>
    <n v="3"/>
    <n v="9220.92"/>
    <n v="26279.62"/>
    <x v="3"/>
    <n v="6421.87"/>
    <n v="359.26"/>
    <x v="1"/>
    <x v="3"/>
    <n v="0.24436692768008061"/>
  </r>
  <r>
    <x v="8"/>
    <x v="2"/>
    <s v="Anika Chopra"/>
    <s v="Small Business"/>
    <x v="2"/>
    <x v="8"/>
    <x v="0"/>
    <s v="Cameras"/>
    <x v="8"/>
    <n v="3"/>
    <n v="11774.84"/>
    <n v="31792.07"/>
    <x v="2"/>
    <n v="3453.97"/>
    <n v="202.57"/>
    <x v="3"/>
    <x v="2"/>
    <n v="0.10864250110168981"/>
  </r>
  <r>
    <x v="9"/>
    <x v="2"/>
    <s v="Raj Sharma"/>
    <s v="Corporate"/>
    <x v="1"/>
    <x v="1"/>
    <x v="2"/>
    <s v="Fiction"/>
    <x v="9"/>
    <n v="1"/>
    <n v="580.15"/>
    <n v="580.15"/>
    <x v="0"/>
    <n v="86.54"/>
    <n v="239.66"/>
    <x v="4"/>
    <x v="2"/>
    <n v="0.14916831853830909"/>
  </r>
  <r>
    <x v="10"/>
    <x v="3"/>
    <s v="Ishaan Joshi"/>
    <s v="Corporate"/>
    <x v="0"/>
    <x v="0"/>
    <x v="1"/>
    <s v="Furniture"/>
    <x v="10"/>
    <n v="3"/>
    <n v="4016.9"/>
    <n v="9038.0300000000007"/>
    <x v="4"/>
    <n v="474.14"/>
    <n v="139.93"/>
    <x v="0"/>
    <x v="3"/>
    <n v="5.2460547265277935E-2"/>
  </r>
  <r>
    <x v="11"/>
    <x v="3"/>
    <s v="Sai Patel"/>
    <s v="Consumer"/>
    <x v="2"/>
    <x v="9"/>
    <x v="3"/>
    <s v="Footwear"/>
    <x v="11"/>
    <n v="5"/>
    <n v="7635.63"/>
    <n v="36269.24"/>
    <x v="3"/>
    <n v="3102.73"/>
    <n v="333.55"/>
    <x v="1"/>
    <x v="3"/>
    <n v="8.5547146838478014E-2"/>
  </r>
  <r>
    <x v="12"/>
    <x v="3"/>
    <s v="Pooja Iyer"/>
    <s v="Consumer"/>
    <x v="1"/>
    <x v="3"/>
    <x v="3"/>
    <s v="Outdoor Gear"/>
    <x v="12"/>
    <n v="3"/>
    <n v="7048.93"/>
    <n v="20089.45"/>
    <x v="3"/>
    <n v="2901.98"/>
    <n v="329.45"/>
    <x v="3"/>
    <x v="3"/>
    <n v="0.14445293425155989"/>
  </r>
  <r>
    <x v="13"/>
    <x v="3"/>
    <s v="Vihaan Kapoor"/>
    <s v="Consumer"/>
    <x v="0"/>
    <x v="0"/>
    <x v="3"/>
    <s v="Gym Equipment"/>
    <x v="13"/>
    <n v="5"/>
    <n v="5405.46"/>
    <n v="24324.57"/>
    <x v="2"/>
    <n v="2826.91"/>
    <n v="201.24"/>
    <x v="0"/>
    <x v="0"/>
    <n v="0.1162162373271141"/>
  </r>
  <r>
    <x v="14"/>
    <x v="4"/>
    <s v="Priya Mishra"/>
    <s v="Corporate"/>
    <x v="2"/>
    <x v="9"/>
    <x v="3"/>
    <s v="Apparel"/>
    <x v="5"/>
    <n v="1"/>
    <n v="4435.47"/>
    <n v="4213.7"/>
    <x v="3"/>
    <n v="822.01"/>
    <n v="254.11"/>
    <x v="0"/>
    <x v="3"/>
    <n v="0.19508033319885137"/>
  </r>
  <r>
    <x v="15"/>
    <x v="5"/>
    <s v="Ananya Desai"/>
    <s v="Consumer"/>
    <x v="3"/>
    <x v="10"/>
    <x v="0"/>
    <s v="Accessories"/>
    <x v="14"/>
    <n v="1"/>
    <n v="48561.81"/>
    <n v="46133.72"/>
    <x v="3"/>
    <n v="2773.95"/>
    <n v="290.83999999999997"/>
    <x v="0"/>
    <x v="3"/>
    <n v="6.0128470021494032E-2"/>
  </r>
  <r>
    <x v="16"/>
    <x v="6"/>
    <s v="Dhruv Iyer"/>
    <s v="Corporate"/>
    <x v="2"/>
    <x v="11"/>
    <x v="0"/>
    <s v="Headphones"/>
    <x v="15"/>
    <n v="2"/>
    <n v="62365.21"/>
    <n v="112257.38"/>
    <x v="2"/>
    <n v="5519.37"/>
    <n v="63.52"/>
    <x v="2"/>
    <x v="0"/>
    <n v="4.9167101530429441E-2"/>
  </r>
  <r>
    <x v="17"/>
    <x v="6"/>
    <s v="Aadhya Iyer"/>
    <s v="Consumer"/>
    <x v="1"/>
    <x v="3"/>
    <x v="1"/>
    <s v="Appliances"/>
    <x v="16"/>
    <n v="1"/>
    <n v="5161.75"/>
    <n v="4129.3999999999996"/>
    <x v="5"/>
    <n v="151.02000000000001"/>
    <n v="131.62"/>
    <x v="1"/>
    <x v="1"/>
    <n v="3.6571899065239506E-2"/>
  </r>
  <r>
    <x v="18"/>
    <x v="6"/>
    <s v="Navya Bose"/>
    <s v="Small Business"/>
    <x v="3"/>
    <x v="6"/>
    <x v="4"/>
    <s v="Haircare"/>
    <x v="17"/>
    <n v="1"/>
    <n v="861.56"/>
    <n v="861.56"/>
    <x v="0"/>
    <n v="219.86"/>
    <n v="128.16999999999999"/>
    <x v="1"/>
    <x v="0"/>
    <n v="0.25518826315056414"/>
  </r>
  <r>
    <x v="19"/>
    <x v="6"/>
    <s v="Neha Patel"/>
    <s v="Consumer"/>
    <x v="1"/>
    <x v="3"/>
    <x v="3"/>
    <s v="Apparel"/>
    <x v="18"/>
    <n v="1"/>
    <n v="3970.06"/>
    <n v="3374.55"/>
    <x v="1"/>
    <n v="197.15"/>
    <n v="282.7"/>
    <x v="1"/>
    <x v="0"/>
    <n v="5.8422604495414199E-2"/>
  </r>
  <r>
    <x v="20"/>
    <x v="6"/>
    <s v="Aadhya Patel"/>
    <s v="Corporate"/>
    <x v="3"/>
    <x v="10"/>
    <x v="4"/>
    <s v="Fragrances"/>
    <x v="19"/>
    <n v="2"/>
    <n v="549.08000000000004"/>
    <n v="1098.1600000000001"/>
    <x v="0"/>
    <n v="345.02"/>
    <n v="148.62"/>
    <x v="3"/>
    <x v="1"/>
    <n v="0.31418008304800754"/>
  </r>
  <r>
    <x v="21"/>
    <x v="6"/>
    <s v="Dhruv Malhotra"/>
    <s v="Small Business"/>
    <x v="0"/>
    <x v="12"/>
    <x v="4"/>
    <s v="Makeup"/>
    <x v="20"/>
    <n v="2"/>
    <n v="1915.19"/>
    <n v="3447.34"/>
    <x v="2"/>
    <n v="772.74"/>
    <n v="109.79"/>
    <x v="3"/>
    <x v="2"/>
    <n v="0.22415543578527211"/>
  </r>
  <r>
    <x v="22"/>
    <x v="7"/>
    <s v="Aditya Das"/>
    <s v="Consumer"/>
    <x v="2"/>
    <x v="11"/>
    <x v="5"/>
    <s v="Men's Wear"/>
    <x v="21"/>
    <n v="3"/>
    <n v="350.91"/>
    <n v="947.46"/>
    <x v="2"/>
    <n v="170.15"/>
    <n v="137.18"/>
    <x v="3"/>
    <x v="0"/>
    <n v="0.17958541785405188"/>
  </r>
  <r>
    <x v="23"/>
    <x v="7"/>
    <s v="Neha Iyer"/>
    <s v="Corporate"/>
    <x v="3"/>
    <x v="5"/>
    <x v="5"/>
    <s v="Women's Wear"/>
    <x v="22"/>
    <n v="2"/>
    <n v="2562.52"/>
    <n v="4868.79"/>
    <x v="3"/>
    <n v="1216.44"/>
    <n v="313.79000000000002"/>
    <x v="3"/>
    <x v="3"/>
    <n v="0.24984441719605899"/>
  </r>
  <r>
    <x v="24"/>
    <x v="7"/>
    <s v="Vihaan Khan"/>
    <s v="Corporate"/>
    <x v="3"/>
    <x v="7"/>
    <x v="1"/>
    <s v="Decor"/>
    <x v="23"/>
    <n v="2"/>
    <n v="2182.8200000000002"/>
    <n v="4365.6400000000003"/>
    <x v="0"/>
    <n v="424.62"/>
    <n v="339.82"/>
    <x v="2"/>
    <x v="2"/>
    <n v="9.7264089572204754E-2"/>
  </r>
  <r>
    <x v="25"/>
    <x v="8"/>
    <s v="Arjun Rao"/>
    <s v="Consumer"/>
    <x v="3"/>
    <x v="6"/>
    <x v="5"/>
    <s v="Women's Wear"/>
    <x v="24"/>
    <n v="2"/>
    <n v="994.12"/>
    <n v="1590.59"/>
    <x v="5"/>
    <n v="192.39"/>
    <n v="50"/>
    <x v="1"/>
    <x v="2"/>
    <n v="0.12095511728352372"/>
  </r>
  <r>
    <x v="26"/>
    <x v="8"/>
    <s v="Arjun Singh"/>
    <s v="Consumer"/>
    <x v="1"/>
    <x v="3"/>
    <x v="0"/>
    <s v="Mobiles"/>
    <x v="25"/>
    <n v="2"/>
    <n v="52067.44"/>
    <n v="83307.899999999994"/>
    <x v="5"/>
    <n v="-3446.48"/>
    <n v="276.12"/>
    <x v="1"/>
    <x v="3"/>
    <n v="-4.1370386241881024E-2"/>
  </r>
  <r>
    <x v="27"/>
    <x v="9"/>
    <s v="Aditya Gupta"/>
    <s v="Corporate"/>
    <x v="2"/>
    <x v="8"/>
    <x v="4"/>
    <s v="Skincare"/>
    <x v="26"/>
    <n v="4"/>
    <n v="1501.84"/>
    <n v="5106.26"/>
    <x v="1"/>
    <n v="972.61"/>
    <n v="355.97"/>
    <x v="2"/>
    <x v="0"/>
    <n v="0.19047404558326445"/>
  </r>
  <r>
    <x v="28"/>
    <x v="9"/>
    <s v="Rohan Das"/>
    <s v="Corporate"/>
    <x v="0"/>
    <x v="12"/>
    <x v="0"/>
    <s v="Accessories"/>
    <x v="27"/>
    <n v="1"/>
    <n v="14057.51"/>
    <n v="14057.51"/>
    <x v="0"/>
    <n v="854.35"/>
    <n v="329.02"/>
    <x v="2"/>
    <x v="3"/>
    <n v="6.0775343570803081E-2"/>
  </r>
  <r>
    <x v="29"/>
    <x v="10"/>
    <s v="Myra Verma"/>
    <s v="Small Business"/>
    <x v="0"/>
    <x v="4"/>
    <x v="5"/>
    <s v="Women's Wear"/>
    <x v="24"/>
    <n v="1"/>
    <n v="4291"/>
    <n v="4076.45"/>
    <x v="3"/>
    <n v="640.23"/>
    <n v="172.72"/>
    <x v="1"/>
    <x v="0"/>
    <n v="0.15705577156594588"/>
  </r>
  <r>
    <x v="30"/>
    <x v="10"/>
    <s v="Priya Iyer"/>
    <s v="Consumer"/>
    <x v="3"/>
    <x v="10"/>
    <x v="1"/>
    <s v="Appliances"/>
    <x v="7"/>
    <n v="2"/>
    <n v="5100.88"/>
    <n v="10201.76"/>
    <x v="0"/>
    <n v="2760.06"/>
    <n v="79.11"/>
    <x v="3"/>
    <x v="2"/>
    <n v="0.27054743495240036"/>
  </r>
  <r>
    <x v="31"/>
    <x v="11"/>
    <s v="Simran Bose"/>
    <s v="Consumer"/>
    <x v="2"/>
    <x v="9"/>
    <x v="2"/>
    <s v="Non-Fiction"/>
    <x v="28"/>
    <n v="1"/>
    <n v="309.14999999999998"/>
    <n v="278.24"/>
    <x v="2"/>
    <n v="61.24"/>
    <n v="60"/>
    <x v="4"/>
    <x v="3"/>
    <n v="0.2200977573317999"/>
  </r>
  <r>
    <x v="32"/>
    <x v="12"/>
    <s v="Arjun Gupta"/>
    <s v="Consumer"/>
    <x v="3"/>
    <x v="5"/>
    <x v="5"/>
    <s v="Footwear"/>
    <x v="29"/>
    <n v="3"/>
    <n v="3577.68"/>
    <n v="8586.43"/>
    <x v="5"/>
    <n v="661.95"/>
    <n v="272.17"/>
    <x v="2"/>
    <x v="3"/>
    <n v="7.7092575144734193E-2"/>
  </r>
  <r>
    <x v="33"/>
    <x v="12"/>
    <s v="Dhruv Malhotra"/>
    <s v="Consumer"/>
    <x v="0"/>
    <x v="4"/>
    <x v="0"/>
    <s v="Accessories"/>
    <x v="14"/>
    <n v="2"/>
    <n v="26868.47"/>
    <n v="45676.4"/>
    <x v="1"/>
    <n v="523.1"/>
    <n v="276.49"/>
    <x v="1"/>
    <x v="2"/>
    <n v="1.1452303596605687E-2"/>
  </r>
  <r>
    <x v="34"/>
    <x v="12"/>
    <s v="Aarav Agarwal"/>
    <s v="Corporate"/>
    <x v="2"/>
    <x v="2"/>
    <x v="2"/>
    <s v="Comics"/>
    <x v="30"/>
    <n v="2"/>
    <n v="832.46"/>
    <n v="1581.67"/>
    <x v="3"/>
    <n v="265.25"/>
    <n v="329.8"/>
    <x v="1"/>
    <x v="3"/>
    <n v="0.16770249167019669"/>
  </r>
  <r>
    <x v="35"/>
    <x v="13"/>
    <s v="Diya Verma"/>
    <s v="Small Business"/>
    <x v="0"/>
    <x v="4"/>
    <x v="0"/>
    <s v="Cameras"/>
    <x v="31"/>
    <n v="2"/>
    <n v="52586.58"/>
    <n v="99914.5"/>
    <x v="3"/>
    <n v="3964.09"/>
    <n v="92.76"/>
    <x v="0"/>
    <x v="0"/>
    <n v="3.9674821972786732E-2"/>
  </r>
  <r>
    <x v="36"/>
    <x v="13"/>
    <s v="Pooja Das"/>
    <s v="Consumer"/>
    <x v="1"/>
    <x v="1"/>
    <x v="0"/>
    <s v="Accessories"/>
    <x v="27"/>
    <n v="1"/>
    <n v="13690.64"/>
    <n v="10952.51"/>
    <x v="5"/>
    <n v="-357.43"/>
    <n v="326.64999999999998"/>
    <x v="2"/>
    <x v="3"/>
    <n v="-3.2634528523598702E-2"/>
  </r>
  <r>
    <x v="37"/>
    <x v="13"/>
    <s v="Simran Nair"/>
    <s v="Consumer"/>
    <x v="3"/>
    <x v="6"/>
    <x v="5"/>
    <s v="Footwear"/>
    <x v="29"/>
    <n v="2"/>
    <n v="3436.46"/>
    <n v="6872.92"/>
    <x v="0"/>
    <n v="1167.06"/>
    <n v="275.58"/>
    <x v="3"/>
    <x v="0"/>
    <n v="0.16980555571722061"/>
  </r>
  <r>
    <x v="38"/>
    <x v="14"/>
    <s v="Meera Malhotra"/>
    <s v="Consumer"/>
    <x v="0"/>
    <x v="12"/>
    <x v="2"/>
    <s v="Academic"/>
    <x v="2"/>
    <n v="1"/>
    <n v="872.11"/>
    <n v="784.9"/>
    <x v="2"/>
    <n v="108"/>
    <n v="73.02"/>
    <x v="2"/>
    <x v="2"/>
    <n v="0.13759714613326537"/>
  </r>
  <r>
    <x v="39"/>
    <x v="14"/>
    <s v="Navya Nair"/>
    <s v="Consumer"/>
    <x v="0"/>
    <x v="12"/>
    <x v="5"/>
    <s v="Men's Wear"/>
    <x v="32"/>
    <n v="4"/>
    <n v="2304.87"/>
    <n v="8297.5300000000007"/>
    <x v="2"/>
    <n v="793.59"/>
    <n v="332.83"/>
    <x v="1"/>
    <x v="3"/>
    <n v="9.5641715064603561E-2"/>
  </r>
  <r>
    <x v="40"/>
    <x v="14"/>
    <s v="Aadhya Verma"/>
    <s v="Small Business"/>
    <x v="2"/>
    <x v="9"/>
    <x v="3"/>
    <s v="Footwear"/>
    <x v="33"/>
    <n v="1"/>
    <n v="9446.41"/>
    <n v="6612.49"/>
    <x v="6"/>
    <n v="-207.14"/>
    <n v="44.64"/>
    <x v="0"/>
    <x v="1"/>
    <n v="-3.1325567222029824E-2"/>
  </r>
  <r>
    <x v="41"/>
    <x v="14"/>
    <s v="Sai Nair"/>
    <s v="Corporate"/>
    <x v="1"/>
    <x v="3"/>
    <x v="0"/>
    <s v="Mobiles"/>
    <x v="25"/>
    <n v="2"/>
    <n v="55428.43"/>
    <n v="110856.86"/>
    <x v="0"/>
    <n v="8600.3799999999992"/>
    <n v="176.76"/>
    <x v="2"/>
    <x v="2"/>
    <n v="7.7580945374061641E-2"/>
  </r>
  <r>
    <x v="42"/>
    <x v="15"/>
    <s v="Krishna Patel"/>
    <s v="Consumer"/>
    <x v="3"/>
    <x v="5"/>
    <x v="3"/>
    <s v="Outdoor Gear"/>
    <x v="34"/>
    <n v="2"/>
    <n v="13050.58"/>
    <n v="20880.93"/>
    <x v="5"/>
    <n v="226.7"/>
    <n v="190.26"/>
    <x v="0"/>
    <x v="2"/>
    <n v="1.0856796129291175E-2"/>
  </r>
  <r>
    <x v="43"/>
    <x v="15"/>
    <s v="Saanvi Malhotra"/>
    <s v="Consumer"/>
    <x v="0"/>
    <x v="0"/>
    <x v="4"/>
    <s v="Fragrances"/>
    <x v="35"/>
    <n v="4"/>
    <n v="933.39"/>
    <n v="3733.56"/>
    <x v="0"/>
    <n v="702.72"/>
    <n v="267.33999999999997"/>
    <x v="1"/>
    <x v="0"/>
    <n v="0.18821714395911679"/>
  </r>
  <r>
    <x v="44"/>
    <x v="16"/>
    <s v="Vivaan Chopra"/>
    <s v="Consumer"/>
    <x v="3"/>
    <x v="7"/>
    <x v="2"/>
    <s v="Non-Fiction"/>
    <x v="36"/>
    <n v="3"/>
    <n v="596.77"/>
    <n v="1790.31"/>
    <x v="0"/>
    <n v="158.82"/>
    <n v="376.05"/>
    <x v="1"/>
    <x v="2"/>
    <n v="8.8710893644117494E-2"/>
  </r>
  <r>
    <x v="45"/>
    <x v="17"/>
    <s v="Ananya Gupta"/>
    <s v="Consumer"/>
    <x v="2"/>
    <x v="8"/>
    <x v="5"/>
    <s v="Footwear"/>
    <x v="29"/>
    <n v="1"/>
    <n v="3581.55"/>
    <n v="3044.32"/>
    <x v="1"/>
    <n v="226.58"/>
    <n v="289.56"/>
    <x v="3"/>
    <x v="0"/>
    <n v="7.4427129868082198E-2"/>
  </r>
  <r>
    <x v="46"/>
    <x v="18"/>
    <s v="Reyansh Reddy"/>
    <s v="Small Business"/>
    <x v="0"/>
    <x v="12"/>
    <x v="2"/>
    <s v="Fiction"/>
    <x v="9"/>
    <n v="5"/>
    <n v="908.96"/>
    <n v="4090.32"/>
    <x v="2"/>
    <n v="404.21"/>
    <n v="263.93"/>
    <x v="2"/>
    <x v="1"/>
    <n v="9.88211191300436E-2"/>
  </r>
  <r>
    <x v="47"/>
    <x v="19"/>
    <s v="Vivaan Singh"/>
    <s v="Consumer"/>
    <x v="3"/>
    <x v="7"/>
    <x v="3"/>
    <s v="Footwear"/>
    <x v="37"/>
    <n v="1"/>
    <n v="6053.18"/>
    <n v="5447.86"/>
    <x v="2"/>
    <n v="816.79"/>
    <n v="122.38"/>
    <x v="3"/>
    <x v="0"/>
    <n v="0.14992859581560466"/>
  </r>
  <r>
    <x v="48"/>
    <x v="19"/>
    <s v="Pooja Das"/>
    <s v="Small Business"/>
    <x v="0"/>
    <x v="0"/>
    <x v="2"/>
    <s v="Academic"/>
    <x v="38"/>
    <n v="1"/>
    <n v="556.04"/>
    <n v="500.44"/>
    <x v="2"/>
    <n v="41.85"/>
    <n v="193.75"/>
    <x v="3"/>
    <x v="2"/>
    <n v="8.3626408760290941E-2"/>
  </r>
  <r>
    <x v="49"/>
    <x v="20"/>
    <s v="Pooja Bose"/>
    <s v="Consumer"/>
    <x v="3"/>
    <x v="5"/>
    <x v="1"/>
    <s v="Furniture"/>
    <x v="39"/>
    <n v="1"/>
    <n v="3400"/>
    <n v="3230"/>
    <x v="3"/>
    <n v="474.99"/>
    <n v="82.71"/>
    <x v="2"/>
    <x v="3"/>
    <n v="0.14705572755417956"/>
  </r>
  <r>
    <x v="50"/>
    <x v="21"/>
    <s v="Karan Das"/>
    <s v="Consumer"/>
    <x v="3"/>
    <x v="10"/>
    <x v="1"/>
    <s v="Appliances"/>
    <x v="40"/>
    <n v="1"/>
    <n v="2130.0300000000002"/>
    <n v="1597.52"/>
    <x v="4"/>
    <n v="8.56"/>
    <n v="281.5"/>
    <x v="1"/>
    <x v="0"/>
    <n v="5.3583053733286595E-3"/>
  </r>
  <r>
    <x v="51"/>
    <x v="22"/>
    <s v="Reyansh Khan"/>
    <s v="Small Business"/>
    <x v="1"/>
    <x v="3"/>
    <x v="4"/>
    <s v="Fragrances"/>
    <x v="41"/>
    <n v="3"/>
    <n v="397.01"/>
    <n v="1191.03"/>
    <x v="0"/>
    <n v="317.2"/>
    <n v="346.14"/>
    <x v="4"/>
    <x v="0"/>
    <n v="0.26632410602587675"/>
  </r>
  <r>
    <x v="52"/>
    <x v="23"/>
    <s v="Kabir Gupta"/>
    <s v="Consumer"/>
    <x v="3"/>
    <x v="5"/>
    <x v="5"/>
    <s v="Women's Wear"/>
    <x v="42"/>
    <n v="1"/>
    <n v="4198.9399999999996"/>
    <n v="4198.9399999999996"/>
    <x v="0"/>
    <n v="963.78"/>
    <n v="167.02"/>
    <x v="1"/>
    <x v="3"/>
    <n v="0.22952935740925093"/>
  </r>
  <r>
    <x v="53"/>
    <x v="24"/>
    <s v="Ayaan Nair"/>
    <s v="Consumer"/>
    <x v="1"/>
    <x v="1"/>
    <x v="2"/>
    <s v="Comics"/>
    <x v="43"/>
    <n v="1"/>
    <n v="325.23"/>
    <n v="292.70999999999998"/>
    <x v="2"/>
    <n v="21.11"/>
    <n v="88.02"/>
    <x v="3"/>
    <x v="2"/>
    <n v="7.2119162310819579E-2"/>
  </r>
  <r>
    <x v="54"/>
    <x v="25"/>
    <s v="Aditya Mishra"/>
    <s v="Corporate"/>
    <x v="1"/>
    <x v="13"/>
    <x v="1"/>
    <s v="Furniture"/>
    <x v="44"/>
    <n v="4"/>
    <n v="5439.64"/>
    <n v="20670.63"/>
    <x v="3"/>
    <n v="2191.64"/>
    <n v="156.18"/>
    <x v="3"/>
    <x v="3"/>
    <n v="0.10602676357711399"/>
  </r>
  <r>
    <x v="55"/>
    <x v="26"/>
    <s v="Pooja Singh"/>
    <s v="Consumer"/>
    <x v="0"/>
    <x v="12"/>
    <x v="1"/>
    <s v="Appliances"/>
    <x v="45"/>
    <n v="5"/>
    <n v="6962.49"/>
    <n v="33071.83"/>
    <x v="3"/>
    <n v="5020.13"/>
    <n v="175.45"/>
    <x v="4"/>
    <x v="0"/>
    <n v="0.15179474495363576"/>
  </r>
  <r>
    <x v="56"/>
    <x v="26"/>
    <s v="Kabir Joshi"/>
    <s v="Small Business"/>
    <x v="3"/>
    <x v="10"/>
    <x v="1"/>
    <s v="Furniture"/>
    <x v="46"/>
    <n v="4"/>
    <n v="8484.75"/>
    <n v="28848.15"/>
    <x v="1"/>
    <n v="3746.63"/>
    <n v="76.7"/>
    <x v="3"/>
    <x v="3"/>
    <n v="0.12987418603965939"/>
  </r>
  <r>
    <x v="57"/>
    <x v="27"/>
    <s v="Anika Gupta"/>
    <s v="Small Business"/>
    <x v="1"/>
    <x v="1"/>
    <x v="4"/>
    <s v="Haircare"/>
    <x v="17"/>
    <n v="1"/>
    <n v="2304.41"/>
    <n v="2304.41"/>
    <x v="0"/>
    <n v="625.85"/>
    <n v="60.53"/>
    <x v="2"/>
    <x v="3"/>
    <n v="0.27158795526837676"/>
  </r>
  <r>
    <x v="58"/>
    <x v="28"/>
    <s v="Pooja Chopra"/>
    <s v="Corporate"/>
    <x v="3"/>
    <x v="10"/>
    <x v="0"/>
    <s v="Cameras"/>
    <x v="47"/>
    <n v="2"/>
    <n v="63357.04"/>
    <n v="107706.97"/>
    <x v="1"/>
    <n v="4460.93"/>
    <n v="363.7"/>
    <x v="0"/>
    <x v="0"/>
    <n v="4.1417282465563747E-2"/>
  </r>
  <r>
    <x v="59"/>
    <x v="28"/>
    <s v="Rohan Iyer"/>
    <s v="Small Business"/>
    <x v="3"/>
    <x v="6"/>
    <x v="2"/>
    <s v="Academic"/>
    <x v="38"/>
    <n v="2"/>
    <n v="755.34"/>
    <n v="1435.15"/>
    <x v="3"/>
    <n v="254.84"/>
    <n v="132.69999999999999"/>
    <x v="1"/>
    <x v="2"/>
    <n v="0.17757028881998396"/>
  </r>
  <r>
    <x v="60"/>
    <x v="28"/>
    <s v="Ananya Gupta"/>
    <s v="Corporate"/>
    <x v="1"/>
    <x v="3"/>
    <x v="2"/>
    <s v="Academic"/>
    <x v="2"/>
    <n v="1"/>
    <n v="632.66999999999996"/>
    <n v="632.66999999999996"/>
    <x v="0"/>
    <n v="38.58"/>
    <n v="54.3"/>
    <x v="3"/>
    <x v="0"/>
    <n v="6.0979657641424441E-2"/>
  </r>
  <r>
    <x v="61"/>
    <x v="29"/>
    <s v="Reyansh Nair"/>
    <s v="Consumer"/>
    <x v="1"/>
    <x v="3"/>
    <x v="5"/>
    <s v="Kids Wear"/>
    <x v="48"/>
    <n v="2"/>
    <n v="1308.6099999999999"/>
    <n v="2355.5"/>
    <x v="2"/>
    <n v="420.06"/>
    <n v="103.2"/>
    <x v="0"/>
    <x v="0"/>
    <n v="0.17833156442368925"/>
  </r>
  <r>
    <x v="62"/>
    <x v="29"/>
    <s v="Rohan Verma"/>
    <s v="Consumer"/>
    <x v="0"/>
    <x v="12"/>
    <x v="2"/>
    <s v="Fiction"/>
    <x v="49"/>
    <n v="1"/>
    <n v="819.57"/>
    <n v="778.59"/>
    <x v="3"/>
    <n v="105"/>
    <n v="107.45"/>
    <x v="0"/>
    <x v="3"/>
    <n v="0.13485916849689825"/>
  </r>
  <r>
    <x v="63"/>
    <x v="29"/>
    <s v="Riya Patel"/>
    <s v="Small Business"/>
    <x v="2"/>
    <x v="11"/>
    <x v="0"/>
    <s v="Accessories"/>
    <x v="50"/>
    <n v="1"/>
    <n v="13691.47"/>
    <n v="11637.75"/>
    <x v="1"/>
    <n v="376.42"/>
    <n v="52.2"/>
    <x v="4"/>
    <x v="3"/>
    <n v="3.2344740177439796E-2"/>
  </r>
  <r>
    <x v="64"/>
    <x v="30"/>
    <s v="Dhruv Rao"/>
    <s v="Small Business"/>
    <x v="1"/>
    <x v="3"/>
    <x v="0"/>
    <s v="Accessories"/>
    <x v="27"/>
    <n v="1"/>
    <n v="35569.17"/>
    <n v="33790.71"/>
    <x v="3"/>
    <n v="720.68"/>
    <n v="240.17"/>
    <x v="3"/>
    <x v="0"/>
    <n v="2.1327755468884789E-2"/>
  </r>
  <r>
    <x v="65"/>
    <x v="31"/>
    <s v="Aadhya Khan"/>
    <s v="Consumer"/>
    <x v="3"/>
    <x v="6"/>
    <x v="3"/>
    <s v="Outdoor Gear"/>
    <x v="12"/>
    <n v="2"/>
    <n v="5294.85"/>
    <n v="9530.73"/>
    <x v="2"/>
    <n v="1037.2"/>
    <n v="357.33"/>
    <x v="2"/>
    <x v="2"/>
    <n v="0.108826920917915"/>
  </r>
  <r>
    <x v="66"/>
    <x v="32"/>
    <s v="Aditya Chopra"/>
    <s v="Small Business"/>
    <x v="0"/>
    <x v="12"/>
    <x v="3"/>
    <s v="Gym Equipment"/>
    <x v="51"/>
    <n v="2"/>
    <n v="5132.25"/>
    <n v="8211.6"/>
    <x v="5"/>
    <n v="249.97"/>
    <n v="165.54"/>
    <x v="1"/>
    <x v="2"/>
    <n v="3.0441083345511228E-2"/>
  </r>
  <r>
    <x v="67"/>
    <x v="33"/>
    <s v="Neha Iyer"/>
    <s v="Consumer"/>
    <x v="0"/>
    <x v="4"/>
    <x v="0"/>
    <s v="Mobiles"/>
    <x v="25"/>
    <n v="3"/>
    <n v="3082.36"/>
    <n v="8784.73"/>
    <x v="3"/>
    <n v="840.03"/>
    <n v="173.91"/>
    <x v="4"/>
    <x v="3"/>
    <n v="9.5623883716403346E-2"/>
  </r>
  <r>
    <x v="68"/>
    <x v="34"/>
    <s v="Kiara Rao"/>
    <s v="Corporate"/>
    <x v="3"/>
    <x v="10"/>
    <x v="1"/>
    <s v="Furniture"/>
    <x v="39"/>
    <n v="2"/>
    <n v="2456.9899999999998"/>
    <n v="4913.9799999999996"/>
    <x v="0"/>
    <n v="1109.57"/>
    <n v="273.77"/>
    <x v="0"/>
    <x v="2"/>
    <n v="0.22579863979910378"/>
  </r>
  <r>
    <x v="69"/>
    <x v="35"/>
    <s v="Karan Khan"/>
    <s v="Consumer"/>
    <x v="0"/>
    <x v="12"/>
    <x v="3"/>
    <s v="Apparel"/>
    <x v="18"/>
    <n v="1"/>
    <n v="984.57"/>
    <n v="787.66"/>
    <x v="5"/>
    <n v="21.96"/>
    <n v="268.32"/>
    <x v="0"/>
    <x v="2"/>
    <n v="2.7880049767666254E-2"/>
  </r>
  <r>
    <x v="70"/>
    <x v="36"/>
    <s v="Meera Joshi"/>
    <s v="Consumer"/>
    <x v="2"/>
    <x v="9"/>
    <x v="1"/>
    <s v="Appliances"/>
    <x v="7"/>
    <n v="1"/>
    <n v="5800.94"/>
    <n v="4930.8"/>
    <x v="1"/>
    <n v="2.84"/>
    <n v="219.07"/>
    <x v="4"/>
    <x v="3"/>
    <n v="5.759714447959763E-4"/>
  </r>
  <r>
    <x v="71"/>
    <x v="37"/>
    <s v="Aadhya Rao"/>
    <s v="Consumer"/>
    <x v="3"/>
    <x v="5"/>
    <x v="3"/>
    <s v="Footwear"/>
    <x v="33"/>
    <n v="2"/>
    <n v="8945.9"/>
    <n v="15208.03"/>
    <x v="1"/>
    <n v="1746.2"/>
    <n v="133.32"/>
    <x v="2"/>
    <x v="0"/>
    <n v="0.11482092026383429"/>
  </r>
  <r>
    <x v="72"/>
    <x v="37"/>
    <s v="Ananya Singh"/>
    <s v="Consumer"/>
    <x v="0"/>
    <x v="12"/>
    <x v="5"/>
    <s v="Kids Wear"/>
    <x v="52"/>
    <n v="1"/>
    <n v="1759.14"/>
    <n v="1759.14"/>
    <x v="0"/>
    <n v="382.12"/>
    <n v="96.92"/>
    <x v="1"/>
    <x v="0"/>
    <n v="0.21721977784599292"/>
  </r>
  <r>
    <x v="73"/>
    <x v="37"/>
    <s v="Reyansh Mishra"/>
    <s v="Consumer"/>
    <x v="1"/>
    <x v="1"/>
    <x v="3"/>
    <s v="Footwear"/>
    <x v="11"/>
    <n v="2"/>
    <n v="8017.83"/>
    <n v="15233.88"/>
    <x v="3"/>
    <n v="3119.44"/>
    <n v="70.63"/>
    <x v="0"/>
    <x v="3"/>
    <n v="0.20476989447205834"/>
  </r>
  <r>
    <x v="74"/>
    <x v="38"/>
    <s v="Saanvi Iyer"/>
    <s v="Consumer"/>
    <x v="1"/>
    <x v="3"/>
    <x v="1"/>
    <s v="Appliances"/>
    <x v="40"/>
    <n v="1"/>
    <n v="6630.16"/>
    <n v="5967.14"/>
    <x v="2"/>
    <n v="1004.39"/>
    <n v="116.89"/>
    <x v="3"/>
    <x v="2"/>
    <n v="0.16832016678006548"/>
  </r>
  <r>
    <x v="75"/>
    <x v="38"/>
    <s v="Sai Bose"/>
    <s v="Consumer"/>
    <x v="1"/>
    <x v="3"/>
    <x v="1"/>
    <s v="Appliances"/>
    <x v="7"/>
    <n v="1"/>
    <n v="11641.59"/>
    <n v="11059.51"/>
    <x v="3"/>
    <n v="2444.4299999999998"/>
    <n v="252.73"/>
    <x v="4"/>
    <x v="3"/>
    <n v="0.22102516295929928"/>
  </r>
  <r>
    <x v="76"/>
    <x v="39"/>
    <s v="Rohan Patel"/>
    <s v="Small Business"/>
    <x v="1"/>
    <x v="13"/>
    <x v="4"/>
    <s v="Haircare"/>
    <x v="53"/>
    <n v="3"/>
    <n v="1247.92"/>
    <n v="3743.76"/>
    <x v="0"/>
    <n v="1227.07"/>
    <n v="277"/>
    <x v="1"/>
    <x v="0"/>
    <n v="0.32776406607261144"/>
  </r>
  <r>
    <x v="77"/>
    <x v="39"/>
    <s v="Kiara Agarwal"/>
    <s v="Consumer"/>
    <x v="1"/>
    <x v="3"/>
    <x v="2"/>
    <s v="Academic"/>
    <x v="38"/>
    <n v="3"/>
    <n v="162.76"/>
    <n v="463.87"/>
    <x v="3"/>
    <n v="46.36"/>
    <n v="370.36"/>
    <x v="3"/>
    <x v="0"/>
    <n v="9.9941794037122472E-2"/>
  </r>
  <r>
    <x v="78"/>
    <x v="39"/>
    <s v="Vivaan Verma"/>
    <s v="Small Business"/>
    <x v="2"/>
    <x v="11"/>
    <x v="4"/>
    <s v="Skincare"/>
    <x v="54"/>
    <n v="3"/>
    <n v="1926.68"/>
    <n v="5202.04"/>
    <x v="2"/>
    <n v="1277.47"/>
    <n v="238.55"/>
    <x v="0"/>
    <x v="3"/>
    <n v="0.24557096831243128"/>
  </r>
  <r>
    <x v="79"/>
    <x v="39"/>
    <s v="Riya Desai"/>
    <s v="Small Business"/>
    <x v="2"/>
    <x v="11"/>
    <x v="5"/>
    <s v="Men's Wear"/>
    <x v="55"/>
    <n v="4"/>
    <n v="3984.89"/>
    <n v="15939.56"/>
    <x v="0"/>
    <n v="4789.97"/>
    <n v="386.8"/>
    <x v="1"/>
    <x v="2"/>
    <n v="0.30050829508468241"/>
  </r>
  <r>
    <x v="80"/>
    <x v="39"/>
    <s v="Myra Das"/>
    <s v="Consumer"/>
    <x v="3"/>
    <x v="10"/>
    <x v="5"/>
    <s v="Women's Wear"/>
    <x v="22"/>
    <n v="1"/>
    <n v="327.14999999999998"/>
    <n v="261.72000000000003"/>
    <x v="5"/>
    <n v="5.65"/>
    <n v="188.8"/>
    <x v="1"/>
    <x v="2"/>
    <n v="2.1587956594834173E-2"/>
  </r>
  <r>
    <x v="81"/>
    <x v="40"/>
    <s v="Reyansh Iyer"/>
    <s v="Small Business"/>
    <x v="2"/>
    <x v="8"/>
    <x v="2"/>
    <s v="Fiction"/>
    <x v="49"/>
    <n v="1"/>
    <n v="1089.28"/>
    <n v="871.42"/>
    <x v="5"/>
    <n v="37.36"/>
    <n v="285.95"/>
    <x v="2"/>
    <x v="0"/>
    <n v="4.2872552844782079E-2"/>
  </r>
  <r>
    <x v="82"/>
    <x v="40"/>
    <s v="Anika Malhotra"/>
    <s v="Corporate"/>
    <x v="1"/>
    <x v="3"/>
    <x v="4"/>
    <s v="Fragrances"/>
    <x v="35"/>
    <n v="2"/>
    <n v="1018.47"/>
    <n v="1731.4"/>
    <x v="1"/>
    <n v="389.82"/>
    <n v="71.849999999999994"/>
    <x v="3"/>
    <x v="0"/>
    <n v="0.22514727965808015"/>
  </r>
  <r>
    <x v="83"/>
    <x v="40"/>
    <s v="Saanvi Singh"/>
    <s v="Consumer"/>
    <x v="1"/>
    <x v="13"/>
    <x v="4"/>
    <s v="Skincare"/>
    <x v="56"/>
    <n v="1"/>
    <n v="927.16"/>
    <n v="741.73"/>
    <x v="5"/>
    <n v="96.84"/>
    <n v="77.47"/>
    <x v="3"/>
    <x v="3"/>
    <n v="0.1305596376039799"/>
  </r>
  <r>
    <x v="84"/>
    <x v="41"/>
    <s v="Pooja Verma"/>
    <s v="Consumer"/>
    <x v="0"/>
    <x v="12"/>
    <x v="3"/>
    <s v="Gym Equipment"/>
    <x v="57"/>
    <n v="1"/>
    <n v="3067.95"/>
    <n v="2761.15"/>
    <x v="2"/>
    <n v="433.88"/>
    <n v="276.69"/>
    <x v="0"/>
    <x v="2"/>
    <n v="0.15713742462379804"/>
  </r>
  <r>
    <x v="85"/>
    <x v="42"/>
    <s v="Diya Desai"/>
    <s v="Consumer"/>
    <x v="1"/>
    <x v="3"/>
    <x v="2"/>
    <s v="Comics"/>
    <x v="58"/>
    <n v="3"/>
    <n v="421.93"/>
    <n v="1075.92"/>
    <x v="1"/>
    <n v="49.75"/>
    <n v="248.34"/>
    <x v="3"/>
    <x v="2"/>
    <n v="4.6239497360398542E-2"/>
  </r>
  <r>
    <x v="86"/>
    <x v="43"/>
    <s v="Meera Chopra"/>
    <s v="Consumer"/>
    <x v="0"/>
    <x v="4"/>
    <x v="5"/>
    <s v="Kids Wear"/>
    <x v="48"/>
    <n v="1"/>
    <n v="2385.56"/>
    <n v="2385.56"/>
    <x v="0"/>
    <n v="340.54"/>
    <n v="62"/>
    <x v="3"/>
    <x v="0"/>
    <n v="0.1427505491373095"/>
  </r>
  <r>
    <x v="87"/>
    <x v="43"/>
    <s v="Myra Gupta"/>
    <s v="Consumer"/>
    <x v="3"/>
    <x v="10"/>
    <x v="0"/>
    <s v="Cameras"/>
    <x v="47"/>
    <n v="1"/>
    <n v="45372.5"/>
    <n v="36298"/>
    <x v="5"/>
    <n v="-4489.6000000000004"/>
    <n v="114.5"/>
    <x v="3"/>
    <x v="3"/>
    <n v="-0.1236872554961706"/>
  </r>
  <r>
    <x v="88"/>
    <x v="44"/>
    <s v="Krishna Patel"/>
    <s v="Small Business"/>
    <x v="3"/>
    <x v="10"/>
    <x v="3"/>
    <s v="Footwear"/>
    <x v="33"/>
    <n v="1"/>
    <n v="957.96"/>
    <n v="957.96"/>
    <x v="0"/>
    <n v="249.47"/>
    <n v="239.08"/>
    <x v="1"/>
    <x v="2"/>
    <n v="0.26041797152281931"/>
  </r>
  <r>
    <x v="89"/>
    <x v="45"/>
    <s v="Vihaan Nair"/>
    <s v="Consumer"/>
    <x v="0"/>
    <x v="0"/>
    <x v="4"/>
    <s v="Makeup"/>
    <x v="59"/>
    <n v="2"/>
    <n v="2063.59"/>
    <n v="3714.46"/>
    <x v="2"/>
    <n v="569.04999999999995"/>
    <n v="58.55"/>
    <x v="0"/>
    <x v="2"/>
    <n v="0.15319858068198336"/>
  </r>
  <r>
    <x v="90"/>
    <x v="46"/>
    <s v="Reyansh Gupta"/>
    <s v="Consumer"/>
    <x v="0"/>
    <x v="4"/>
    <x v="0"/>
    <s v="Cameras"/>
    <x v="31"/>
    <n v="4"/>
    <n v="8668.81"/>
    <n v="32941.480000000003"/>
    <x v="3"/>
    <n v="-224.86"/>
    <n v="218.71"/>
    <x v="2"/>
    <x v="0"/>
    <n v="-6.8260442457351638E-3"/>
  </r>
  <r>
    <x v="91"/>
    <x v="47"/>
    <s v="Priya Das"/>
    <s v="Consumer"/>
    <x v="1"/>
    <x v="1"/>
    <x v="5"/>
    <s v="Men's Wear"/>
    <x v="21"/>
    <n v="3"/>
    <n v="3618.13"/>
    <n v="9226.23"/>
    <x v="1"/>
    <n v="1065.5"/>
    <n v="157.5"/>
    <x v="3"/>
    <x v="2"/>
    <n v="0.11548595688596534"/>
  </r>
  <r>
    <x v="92"/>
    <x v="48"/>
    <s v="Ananya Patel"/>
    <s v="Corporate"/>
    <x v="3"/>
    <x v="6"/>
    <x v="0"/>
    <s v="Headphones"/>
    <x v="60"/>
    <n v="5"/>
    <n v="57167.88"/>
    <n v="285839.40000000002"/>
    <x v="0"/>
    <n v="23480.240000000002"/>
    <n v="198.93"/>
    <x v="4"/>
    <x v="2"/>
    <n v="8.2144868761969136E-2"/>
  </r>
  <r>
    <x v="93"/>
    <x v="49"/>
    <s v="Myra Das"/>
    <s v="Corporate"/>
    <x v="0"/>
    <x v="0"/>
    <x v="4"/>
    <s v="Makeup"/>
    <x v="59"/>
    <n v="3"/>
    <n v="1569.03"/>
    <n v="4707.09"/>
    <x v="0"/>
    <n v="1368.02"/>
    <n v="170.55"/>
    <x v="1"/>
    <x v="0"/>
    <n v="0.29062966716166461"/>
  </r>
  <r>
    <x v="94"/>
    <x v="50"/>
    <s v="Pooja Desai"/>
    <s v="Consumer"/>
    <x v="1"/>
    <x v="1"/>
    <x v="1"/>
    <s v="Decor"/>
    <x v="61"/>
    <n v="1"/>
    <n v="1501.6"/>
    <n v="1351.44"/>
    <x v="2"/>
    <n v="54.81"/>
    <n v="130.77000000000001"/>
    <x v="0"/>
    <x v="3"/>
    <n v="4.055673947789025E-2"/>
  </r>
  <r>
    <x v="95"/>
    <x v="50"/>
    <s v="Kabir Joshi"/>
    <s v="Small Business"/>
    <x v="3"/>
    <x v="6"/>
    <x v="0"/>
    <s v="Mobiles"/>
    <x v="62"/>
    <n v="2"/>
    <n v="60047.05"/>
    <n v="120094.1"/>
    <x v="0"/>
    <n v="10854.71"/>
    <n v="267.60000000000002"/>
    <x v="3"/>
    <x v="0"/>
    <n v="9.0385039731344E-2"/>
  </r>
  <r>
    <x v="96"/>
    <x v="51"/>
    <s v="Aditya Rao"/>
    <s v="Consumer"/>
    <x v="0"/>
    <x v="0"/>
    <x v="4"/>
    <s v="Makeup"/>
    <x v="63"/>
    <n v="1"/>
    <n v="1432.01"/>
    <n v="1145.6099999999999"/>
    <x v="5"/>
    <n v="203.77"/>
    <n v="297.56"/>
    <x v="3"/>
    <x v="3"/>
    <n v="0.17787030490306477"/>
  </r>
  <r>
    <x v="97"/>
    <x v="52"/>
    <s v="Ayaan Gupta"/>
    <s v="Corporate"/>
    <x v="0"/>
    <x v="4"/>
    <x v="2"/>
    <s v="Non-Fiction"/>
    <x v="64"/>
    <n v="1"/>
    <n v="973.64"/>
    <n v="876.28"/>
    <x v="2"/>
    <n v="147.31"/>
    <n v="150.63999999999999"/>
    <x v="1"/>
    <x v="2"/>
    <n v="0.16810836718856986"/>
  </r>
  <r>
    <x v="98"/>
    <x v="52"/>
    <s v="Sai Gupta"/>
    <s v="Consumer"/>
    <x v="1"/>
    <x v="13"/>
    <x v="2"/>
    <s v="Academic"/>
    <x v="2"/>
    <n v="1"/>
    <n v="1134.22"/>
    <n v="1077.51"/>
    <x v="3"/>
    <n v="178.29"/>
    <n v="45.95"/>
    <x v="2"/>
    <x v="0"/>
    <n v="0.16546482167218865"/>
  </r>
  <r>
    <x v="99"/>
    <x v="53"/>
    <s v="Krishna Kapoor"/>
    <s v="Consumer"/>
    <x v="1"/>
    <x v="1"/>
    <x v="5"/>
    <s v="Kids Wear"/>
    <x v="65"/>
    <n v="4"/>
    <n v="4176.43"/>
    <n v="16705.72"/>
    <x v="0"/>
    <n v="2375.7600000000002"/>
    <n v="368.91"/>
    <x v="2"/>
    <x v="0"/>
    <n v="0.1422123679793508"/>
  </r>
  <r>
    <x v="100"/>
    <x v="54"/>
    <s v="Myra Mehta"/>
    <s v="Corporate"/>
    <x v="3"/>
    <x v="7"/>
    <x v="3"/>
    <s v="Footwear"/>
    <x v="37"/>
    <n v="1"/>
    <n v="10180.959999999999"/>
    <n v="7126.67"/>
    <x v="6"/>
    <n v="724.83"/>
    <n v="129.83000000000001"/>
    <x v="0"/>
    <x v="2"/>
    <n v="0.1017066876956559"/>
  </r>
  <r>
    <x v="101"/>
    <x v="54"/>
    <s v="Riya Kapoor"/>
    <s v="Consumer"/>
    <x v="1"/>
    <x v="1"/>
    <x v="0"/>
    <s v="Headphones"/>
    <x v="15"/>
    <n v="1"/>
    <n v="32313.16"/>
    <n v="29081.84"/>
    <x v="2"/>
    <n v="1728.51"/>
    <n v="238.71"/>
    <x v="3"/>
    <x v="0"/>
    <n v="5.9436060441842742E-2"/>
  </r>
  <r>
    <x v="102"/>
    <x v="55"/>
    <s v="Anika Joshi"/>
    <s v="Consumer"/>
    <x v="1"/>
    <x v="1"/>
    <x v="3"/>
    <s v="Apparel"/>
    <x v="66"/>
    <n v="2"/>
    <n v="5185.96"/>
    <n v="9853.32"/>
    <x v="3"/>
    <n v="1927.77"/>
    <n v="147.91"/>
    <x v="4"/>
    <x v="3"/>
    <n v="0.19564674647732946"/>
  </r>
  <r>
    <x v="103"/>
    <x v="55"/>
    <s v="Aarav Mehta"/>
    <s v="Small Business"/>
    <x v="1"/>
    <x v="13"/>
    <x v="1"/>
    <s v="Furniture"/>
    <x v="46"/>
    <n v="1"/>
    <n v="9067.75"/>
    <n v="7707.59"/>
    <x v="1"/>
    <n v="1408.21"/>
    <n v="266.8"/>
    <x v="2"/>
    <x v="3"/>
    <n v="0.18270432132482398"/>
  </r>
  <r>
    <x v="104"/>
    <x v="56"/>
    <s v="Karan Mishra"/>
    <s v="Small Business"/>
    <x v="0"/>
    <x v="12"/>
    <x v="5"/>
    <s v="Men's Wear"/>
    <x v="55"/>
    <n v="1"/>
    <n v="1386.88"/>
    <n v="1248.19"/>
    <x v="2"/>
    <n v="120.75"/>
    <n v="196.42"/>
    <x v="1"/>
    <x v="2"/>
    <n v="9.6740079635311921E-2"/>
  </r>
  <r>
    <x v="105"/>
    <x v="57"/>
    <s v="Riya Patel"/>
    <s v="Consumer"/>
    <x v="3"/>
    <x v="5"/>
    <x v="0"/>
    <s v="Accessories"/>
    <x v="50"/>
    <n v="1"/>
    <n v="63263.13"/>
    <n v="63263.13"/>
    <x v="0"/>
    <n v="8037.17"/>
    <n v="298.63"/>
    <x v="4"/>
    <x v="1"/>
    <n v="0.12704350859655539"/>
  </r>
  <r>
    <x v="106"/>
    <x v="58"/>
    <s v="Myra Patel"/>
    <s v="Corporate"/>
    <x v="3"/>
    <x v="5"/>
    <x v="1"/>
    <s v="Cookware"/>
    <x v="6"/>
    <n v="3"/>
    <n v="5012.1000000000004"/>
    <n v="12029.04"/>
    <x v="5"/>
    <n v="662.09"/>
    <n v="147.75"/>
    <x v="2"/>
    <x v="3"/>
    <n v="5.5040967525255544E-2"/>
  </r>
  <r>
    <x v="107"/>
    <x v="59"/>
    <s v="Reyansh Gupta"/>
    <s v="Consumer"/>
    <x v="1"/>
    <x v="13"/>
    <x v="3"/>
    <s v="Gym Equipment"/>
    <x v="57"/>
    <n v="2"/>
    <n v="14875.96"/>
    <n v="22313.94"/>
    <x v="4"/>
    <n v="466.6"/>
    <n v="259.14999999999998"/>
    <x v="3"/>
    <x v="3"/>
    <n v="2.0910695287340561E-2"/>
  </r>
  <r>
    <x v="108"/>
    <x v="59"/>
    <s v="Vihaan Patel"/>
    <s v="Consumer"/>
    <x v="3"/>
    <x v="7"/>
    <x v="0"/>
    <s v="Accessories"/>
    <x v="27"/>
    <n v="1"/>
    <n v="20591.53"/>
    <n v="18532.38"/>
    <x v="2"/>
    <n v="1370.82"/>
    <n v="267.41000000000003"/>
    <x v="2"/>
    <x v="2"/>
    <n v="7.3968912789398877E-2"/>
  </r>
  <r>
    <x v="109"/>
    <x v="60"/>
    <s v="Pooja Mehta"/>
    <s v="Consumer"/>
    <x v="1"/>
    <x v="3"/>
    <x v="0"/>
    <s v="Accessories"/>
    <x v="50"/>
    <n v="1"/>
    <n v="27674.48"/>
    <n v="27674.48"/>
    <x v="0"/>
    <n v="1868.69"/>
    <n v="93.24"/>
    <x v="1"/>
    <x v="1"/>
    <n v="6.7523942635959192E-2"/>
  </r>
  <r>
    <x v="110"/>
    <x v="61"/>
    <s v="Myra Bose"/>
    <s v="Corporate"/>
    <x v="2"/>
    <x v="8"/>
    <x v="4"/>
    <s v="Skincare"/>
    <x v="67"/>
    <n v="2"/>
    <n v="933.64"/>
    <n v="1867.28"/>
    <x v="0"/>
    <n v="482.69"/>
    <n v="315.36"/>
    <x v="3"/>
    <x v="1"/>
    <n v="0.25849899318795255"/>
  </r>
  <r>
    <x v="111"/>
    <x v="61"/>
    <s v="Rohan Kapoor"/>
    <s v="Small Business"/>
    <x v="3"/>
    <x v="10"/>
    <x v="0"/>
    <s v="Headphones"/>
    <x v="68"/>
    <n v="1"/>
    <n v="7284.03"/>
    <n v="6919.83"/>
    <x v="3"/>
    <n v="288.22000000000003"/>
    <n v="174.02"/>
    <x v="3"/>
    <x v="3"/>
    <n v="4.165131224321985E-2"/>
  </r>
  <r>
    <x v="112"/>
    <x v="61"/>
    <s v="Simran Mishra"/>
    <s v="Corporate"/>
    <x v="0"/>
    <x v="12"/>
    <x v="1"/>
    <s v="Appliances"/>
    <x v="40"/>
    <n v="1"/>
    <n v="2671.66"/>
    <n v="2270.91"/>
    <x v="1"/>
    <n v="241.33"/>
    <n v="75.06"/>
    <x v="2"/>
    <x v="1"/>
    <n v="0.10627017363083523"/>
  </r>
  <r>
    <x v="113"/>
    <x v="62"/>
    <s v="Ananya Singh"/>
    <s v="Corporate"/>
    <x v="2"/>
    <x v="9"/>
    <x v="1"/>
    <s v="Appliances"/>
    <x v="40"/>
    <n v="1"/>
    <n v="11206.04"/>
    <n v="10085.44"/>
    <x v="2"/>
    <n v="1343.39"/>
    <n v="240.25"/>
    <x v="0"/>
    <x v="0"/>
    <n v="0.13320093124345592"/>
  </r>
  <r>
    <x v="114"/>
    <x v="62"/>
    <s v="Krishna Rao"/>
    <s v="Small Business"/>
    <x v="3"/>
    <x v="10"/>
    <x v="4"/>
    <s v="Makeup"/>
    <x v="59"/>
    <n v="1"/>
    <n v="2291.75"/>
    <n v="2062.58"/>
    <x v="2"/>
    <n v="481.76"/>
    <n v="261.08999999999997"/>
    <x v="3"/>
    <x v="3"/>
    <n v="0.23357154631577928"/>
  </r>
  <r>
    <x v="115"/>
    <x v="63"/>
    <s v="Karan Khan"/>
    <s v="Consumer"/>
    <x v="0"/>
    <x v="4"/>
    <x v="4"/>
    <s v="Makeup"/>
    <x v="63"/>
    <n v="4"/>
    <n v="648.44000000000005"/>
    <n v="1945.32"/>
    <x v="4"/>
    <n v="169.14"/>
    <n v="359.93"/>
    <x v="3"/>
    <x v="0"/>
    <n v="8.6947134661649494E-2"/>
  </r>
  <r>
    <x v="116"/>
    <x v="64"/>
    <s v="Arjun Gupta"/>
    <s v="Consumer"/>
    <x v="0"/>
    <x v="0"/>
    <x v="2"/>
    <s v="Non-Fiction"/>
    <x v="28"/>
    <n v="4"/>
    <n v="269.24"/>
    <n v="1023.11"/>
    <x v="3"/>
    <n v="150.16999999999999"/>
    <n v="289.89999999999998"/>
    <x v="1"/>
    <x v="3"/>
    <n v="0.1467779613140327"/>
  </r>
  <r>
    <x v="117"/>
    <x v="65"/>
    <s v="Dhruv Khan"/>
    <s v="Consumer"/>
    <x v="1"/>
    <x v="13"/>
    <x v="4"/>
    <s v="Makeup"/>
    <x v="20"/>
    <n v="1"/>
    <n v="1463.22"/>
    <n v="1024.25"/>
    <x v="6"/>
    <n v="146.76"/>
    <n v="258.67"/>
    <x v="2"/>
    <x v="0"/>
    <n v="0.14328533072980229"/>
  </r>
  <r>
    <x v="118"/>
    <x v="66"/>
    <s v="Myra Rao"/>
    <s v="Consumer"/>
    <x v="2"/>
    <x v="11"/>
    <x v="2"/>
    <s v="Academic"/>
    <x v="2"/>
    <n v="5"/>
    <n v="484.54"/>
    <n v="2180.4299999999998"/>
    <x v="2"/>
    <n v="-45.71"/>
    <n v="379.14"/>
    <x v="3"/>
    <x v="0"/>
    <n v="-2.0963754855693604E-2"/>
  </r>
  <r>
    <x v="119"/>
    <x v="67"/>
    <s v="Aarav Singh"/>
    <s v="Consumer"/>
    <x v="1"/>
    <x v="13"/>
    <x v="5"/>
    <s v="Women's Wear"/>
    <x v="24"/>
    <n v="5"/>
    <n v="2195.83"/>
    <n v="10979.15"/>
    <x v="0"/>
    <n v="2656.96"/>
    <n v="311.98"/>
    <x v="1"/>
    <x v="3"/>
    <n v="0.24200051916587351"/>
  </r>
  <r>
    <x v="120"/>
    <x v="68"/>
    <s v="Vivaan Verma"/>
    <s v="Consumer"/>
    <x v="3"/>
    <x v="10"/>
    <x v="4"/>
    <s v="Skincare"/>
    <x v="67"/>
    <n v="4"/>
    <n v="1758.97"/>
    <n v="5980.5"/>
    <x v="1"/>
    <n v="671.68"/>
    <n v="118.71"/>
    <x v="4"/>
    <x v="0"/>
    <n v="0.11231167962544937"/>
  </r>
  <r>
    <x v="121"/>
    <x v="68"/>
    <s v="Priya Verma"/>
    <s v="Corporate"/>
    <x v="1"/>
    <x v="3"/>
    <x v="1"/>
    <s v="Decor"/>
    <x v="61"/>
    <n v="2"/>
    <n v="2057.2600000000002"/>
    <n v="2880.16"/>
    <x v="6"/>
    <n v="-69.5"/>
    <n v="276.04000000000002"/>
    <x v="0"/>
    <x v="3"/>
    <n v="-2.4130603855341371E-2"/>
  </r>
  <r>
    <x v="122"/>
    <x v="69"/>
    <s v="Sai Iyer"/>
    <s v="Consumer"/>
    <x v="2"/>
    <x v="11"/>
    <x v="3"/>
    <s v="Apparel"/>
    <x v="18"/>
    <n v="1"/>
    <n v="14703.81"/>
    <n v="10292.67"/>
    <x v="6"/>
    <n v="-237.72"/>
    <n v="249.8"/>
    <x v="3"/>
    <x v="3"/>
    <n v="-2.3096047964230856E-2"/>
  </r>
  <r>
    <x v="123"/>
    <x v="69"/>
    <s v="Saanvi Mishra"/>
    <s v="Consumer"/>
    <x v="3"/>
    <x v="7"/>
    <x v="4"/>
    <s v="Makeup"/>
    <x v="20"/>
    <n v="1"/>
    <n v="368.35"/>
    <n v="349.93"/>
    <x v="3"/>
    <n v="116.21"/>
    <n v="228.24"/>
    <x v="4"/>
    <x v="3"/>
    <n v="0.33209499042665674"/>
  </r>
  <r>
    <x v="124"/>
    <x v="69"/>
    <s v="Diya Patel"/>
    <s v="Small Business"/>
    <x v="2"/>
    <x v="9"/>
    <x v="5"/>
    <s v="Men's Wear"/>
    <x v="69"/>
    <n v="2"/>
    <n v="1716.85"/>
    <n v="3433.7"/>
    <x v="0"/>
    <n v="646.41"/>
    <n v="51.18"/>
    <x v="1"/>
    <x v="0"/>
    <n v="0.18825465241576142"/>
  </r>
  <r>
    <x v="125"/>
    <x v="70"/>
    <s v="Ananya Bose"/>
    <s v="Corporate"/>
    <x v="3"/>
    <x v="7"/>
    <x v="1"/>
    <s v="Decor"/>
    <x v="70"/>
    <n v="2"/>
    <n v="474"/>
    <n v="853.2"/>
    <x v="2"/>
    <n v="166.7"/>
    <n v="155.66"/>
    <x v="3"/>
    <x v="0"/>
    <n v="0.19538209095171119"/>
  </r>
  <r>
    <x v="126"/>
    <x v="71"/>
    <s v="Arjun Agarwal"/>
    <s v="Corporate"/>
    <x v="0"/>
    <x v="12"/>
    <x v="3"/>
    <s v="Footwear"/>
    <x v="11"/>
    <n v="2"/>
    <n v="4436.4399999999996"/>
    <n v="7985.59"/>
    <x v="2"/>
    <n v="1339.82"/>
    <n v="126.15"/>
    <x v="0"/>
    <x v="2"/>
    <n v="0.16777971320841664"/>
  </r>
  <r>
    <x v="127"/>
    <x v="72"/>
    <s v="Sai Patel"/>
    <s v="Small Business"/>
    <x v="2"/>
    <x v="8"/>
    <x v="5"/>
    <s v="Women's Wear"/>
    <x v="22"/>
    <n v="1"/>
    <n v="2853.2"/>
    <n v="2710.54"/>
    <x v="3"/>
    <n v="418.87"/>
    <n v="129"/>
    <x v="3"/>
    <x v="3"/>
    <n v="0.15453378293624148"/>
  </r>
  <r>
    <x v="128"/>
    <x v="72"/>
    <s v="Anika Khan"/>
    <s v="Consumer"/>
    <x v="0"/>
    <x v="12"/>
    <x v="4"/>
    <s v="Makeup"/>
    <x v="71"/>
    <n v="2"/>
    <n v="2372.73"/>
    <n v="4745.46"/>
    <x v="0"/>
    <n v="1495.12"/>
    <n v="296.45999999999998"/>
    <x v="0"/>
    <x v="3"/>
    <n v="0.31506323939091258"/>
  </r>
  <r>
    <x v="129"/>
    <x v="73"/>
    <s v="Ayaan Khan"/>
    <s v="Corporate"/>
    <x v="3"/>
    <x v="6"/>
    <x v="1"/>
    <s v="Appliances"/>
    <x v="7"/>
    <n v="4"/>
    <n v="8687.32"/>
    <n v="29536.89"/>
    <x v="1"/>
    <n v="2224.4299999999998"/>
    <n v="317.88"/>
    <x v="3"/>
    <x v="1"/>
    <n v="7.5310230697950925E-2"/>
  </r>
  <r>
    <x v="130"/>
    <x v="73"/>
    <s v="Ananya Joshi"/>
    <s v="Consumer"/>
    <x v="3"/>
    <x v="6"/>
    <x v="5"/>
    <s v="Kids Wear"/>
    <x v="48"/>
    <n v="2"/>
    <n v="1636.88"/>
    <n v="2455.3200000000002"/>
    <x v="4"/>
    <n v="291.85000000000002"/>
    <n v="201.49"/>
    <x v="1"/>
    <x v="3"/>
    <n v="0.11886434354788786"/>
  </r>
  <r>
    <x v="131"/>
    <x v="73"/>
    <s v="Saanvi Iyer"/>
    <s v="Consumer"/>
    <x v="1"/>
    <x v="3"/>
    <x v="4"/>
    <s v="Skincare"/>
    <x v="67"/>
    <n v="1"/>
    <n v="2074.1"/>
    <n v="1970.39"/>
    <x v="3"/>
    <n v="544.04"/>
    <n v="55.64"/>
    <x v="4"/>
    <x v="1"/>
    <n v="0.27610777561802485"/>
  </r>
  <r>
    <x v="132"/>
    <x v="74"/>
    <s v="Pooja Kapoor"/>
    <s v="Corporate"/>
    <x v="0"/>
    <x v="12"/>
    <x v="0"/>
    <s v="Mobiles"/>
    <x v="72"/>
    <n v="4"/>
    <n v="53310.53"/>
    <n v="213242.12"/>
    <x v="0"/>
    <n v="16416.830000000002"/>
    <n v="363.62"/>
    <x v="3"/>
    <x v="2"/>
    <n v="7.6986807296794843E-2"/>
  </r>
  <r>
    <x v="133"/>
    <x v="74"/>
    <s v="Aarav Nair"/>
    <s v="Consumer"/>
    <x v="0"/>
    <x v="4"/>
    <x v="2"/>
    <s v="Comics"/>
    <x v="43"/>
    <n v="3"/>
    <n v="332.96"/>
    <n v="898.99"/>
    <x v="2"/>
    <n v="73.680000000000007"/>
    <n v="374.96"/>
    <x v="0"/>
    <x v="2"/>
    <n v="8.1958642476557028E-2"/>
  </r>
  <r>
    <x v="134"/>
    <x v="75"/>
    <s v="Myra Joshi"/>
    <s v="Consumer"/>
    <x v="3"/>
    <x v="10"/>
    <x v="5"/>
    <s v="Kids Wear"/>
    <x v="52"/>
    <n v="1"/>
    <n v="2236.9"/>
    <n v="1677.68"/>
    <x v="4"/>
    <n v="117.98"/>
    <n v="333.74"/>
    <x v="1"/>
    <x v="3"/>
    <n v="7.0323303609746798E-2"/>
  </r>
  <r>
    <x v="135"/>
    <x v="76"/>
    <s v="Vihaan Kapoor"/>
    <s v="Corporate"/>
    <x v="1"/>
    <x v="1"/>
    <x v="0"/>
    <s v="Headphones"/>
    <x v="68"/>
    <n v="4"/>
    <n v="41250.160000000003"/>
    <n v="156750.60999999999"/>
    <x v="3"/>
    <n v="12629.85"/>
    <n v="282.19"/>
    <x v="0"/>
    <x v="3"/>
    <n v="8.0572892188425949E-2"/>
  </r>
  <r>
    <x v="136"/>
    <x v="77"/>
    <s v="Navya Rao"/>
    <s v="Small Business"/>
    <x v="2"/>
    <x v="8"/>
    <x v="0"/>
    <s v="Accessories"/>
    <x v="27"/>
    <n v="2"/>
    <n v="24027.73"/>
    <n v="43249.91"/>
    <x v="2"/>
    <n v="1811.44"/>
    <n v="148.07"/>
    <x v="2"/>
    <x v="0"/>
    <n v="4.1883092935915932E-2"/>
  </r>
  <r>
    <x v="137"/>
    <x v="78"/>
    <s v="Kabir Singh"/>
    <s v="Consumer"/>
    <x v="0"/>
    <x v="0"/>
    <x v="4"/>
    <s v="Skincare"/>
    <x v="54"/>
    <n v="2"/>
    <n v="1557.61"/>
    <n v="2803.7"/>
    <x v="2"/>
    <n v="658.37"/>
    <n v="92.87"/>
    <x v="1"/>
    <x v="2"/>
    <n v="0.23482184256518174"/>
  </r>
  <r>
    <x v="138"/>
    <x v="79"/>
    <s v="Riya Chopra"/>
    <s v="Consumer"/>
    <x v="0"/>
    <x v="12"/>
    <x v="5"/>
    <s v="Kids Wear"/>
    <x v="73"/>
    <n v="2"/>
    <n v="1572.67"/>
    <n v="3145.34"/>
    <x v="0"/>
    <n v="667.51"/>
    <n v="354.3"/>
    <x v="4"/>
    <x v="1"/>
    <n v="0.21222189016131801"/>
  </r>
  <r>
    <x v="139"/>
    <x v="79"/>
    <s v="Rohan Nair"/>
    <s v="Corporate"/>
    <x v="0"/>
    <x v="12"/>
    <x v="3"/>
    <s v="Gym Equipment"/>
    <x v="57"/>
    <n v="3"/>
    <n v="2045.56"/>
    <n v="6136.68"/>
    <x v="0"/>
    <n v="1134.9000000000001"/>
    <n v="264.12"/>
    <x v="0"/>
    <x v="3"/>
    <n v="0.18493713213007684"/>
  </r>
  <r>
    <x v="140"/>
    <x v="80"/>
    <s v="Kiara Reddy"/>
    <s v="Corporate"/>
    <x v="0"/>
    <x v="4"/>
    <x v="0"/>
    <s v="Mobiles"/>
    <x v="74"/>
    <n v="1"/>
    <n v="3876.49"/>
    <n v="3488.84"/>
    <x v="2"/>
    <n v="95.8"/>
    <n v="339.92"/>
    <x v="0"/>
    <x v="0"/>
    <n v="2.7458983501679638E-2"/>
  </r>
  <r>
    <x v="141"/>
    <x v="81"/>
    <s v="Kiara Reddy"/>
    <s v="Corporate"/>
    <x v="3"/>
    <x v="10"/>
    <x v="1"/>
    <s v="Decor"/>
    <x v="70"/>
    <n v="1"/>
    <n v="9759.4599999999991"/>
    <n v="7807.57"/>
    <x v="5"/>
    <n v="322.13"/>
    <n v="338.05"/>
    <x v="3"/>
    <x v="3"/>
    <n v="4.1258675874824048E-2"/>
  </r>
  <r>
    <x v="142"/>
    <x v="82"/>
    <s v="Aarav Reddy"/>
    <s v="Consumer"/>
    <x v="1"/>
    <x v="13"/>
    <x v="5"/>
    <s v="Women's Wear"/>
    <x v="42"/>
    <n v="1"/>
    <n v="910.37"/>
    <n v="819.33"/>
    <x v="2"/>
    <n v="101.28"/>
    <n v="52.77"/>
    <x v="3"/>
    <x v="0"/>
    <n v="0.1236131961480722"/>
  </r>
  <r>
    <x v="143"/>
    <x v="82"/>
    <s v="Reyansh Mishra"/>
    <s v="Small Business"/>
    <x v="2"/>
    <x v="8"/>
    <x v="5"/>
    <s v="Kids Wear"/>
    <x v="73"/>
    <n v="1"/>
    <n v="1769.77"/>
    <n v="1681.28"/>
    <x v="3"/>
    <n v="304.04000000000002"/>
    <n v="296.04000000000002"/>
    <x v="0"/>
    <x v="0"/>
    <n v="0.18083840883136659"/>
  </r>
  <r>
    <x v="144"/>
    <x v="83"/>
    <s v="Ayaan Khan"/>
    <s v="Consumer"/>
    <x v="1"/>
    <x v="13"/>
    <x v="1"/>
    <s v="Decor"/>
    <x v="61"/>
    <n v="1"/>
    <n v="2295.0500000000002"/>
    <n v="2065.5500000000002"/>
    <x v="2"/>
    <n v="130.03"/>
    <n v="89.03"/>
    <x v="2"/>
    <x v="0"/>
    <n v="6.2951756190845046E-2"/>
  </r>
  <r>
    <x v="145"/>
    <x v="84"/>
    <s v="Myra Patel"/>
    <s v="Corporate"/>
    <x v="0"/>
    <x v="0"/>
    <x v="0"/>
    <s v="Cameras"/>
    <x v="31"/>
    <n v="2"/>
    <n v="61925.59"/>
    <n v="117658.62"/>
    <x v="3"/>
    <n v="13626.8"/>
    <n v="190.52"/>
    <x v="1"/>
    <x v="0"/>
    <n v="0.11581641872053233"/>
  </r>
  <r>
    <x v="146"/>
    <x v="84"/>
    <s v="Neha Patel"/>
    <s v="Small Business"/>
    <x v="2"/>
    <x v="8"/>
    <x v="3"/>
    <s v="Apparel"/>
    <x v="75"/>
    <n v="1"/>
    <n v="9791.49"/>
    <n v="8812.34"/>
    <x v="2"/>
    <n v="1718.92"/>
    <n v="292.33999999999997"/>
    <x v="0"/>
    <x v="2"/>
    <n v="0.19505829325695559"/>
  </r>
  <r>
    <x v="147"/>
    <x v="85"/>
    <s v="Aadhya Sharma"/>
    <s v="Corporate"/>
    <x v="1"/>
    <x v="3"/>
    <x v="1"/>
    <s v="Furniture"/>
    <x v="10"/>
    <n v="1"/>
    <n v="9763.4"/>
    <n v="9763.4"/>
    <x v="0"/>
    <n v="1884.77"/>
    <n v="194.07"/>
    <x v="0"/>
    <x v="0"/>
    <n v="0.19304443124321446"/>
  </r>
  <r>
    <x v="148"/>
    <x v="86"/>
    <s v="Anika Bose"/>
    <s v="Consumer"/>
    <x v="3"/>
    <x v="7"/>
    <x v="0"/>
    <s v="Mobiles"/>
    <x v="62"/>
    <n v="2"/>
    <n v="43190.6"/>
    <n v="82062.14"/>
    <x v="3"/>
    <n v="4280.6099999999997"/>
    <n v="67.430000000000007"/>
    <x v="4"/>
    <x v="0"/>
    <n v="5.216303157582778E-2"/>
  </r>
  <r>
    <x v="149"/>
    <x v="87"/>
    <s v="Karan Verma"/>
    <s v="Consumer"/>
    <x v="0"/>
    <x v="12"/>
    <x v="2"/>
    <s v="Fiction"/>
    <x v="76"/>
    <n v="4"/>
    <n v="612.05999999999995"/>
    <n v="2081"/>
    <x v="1"/>
    <n v="140.21"/>
    <n v="268.22000000000003"/>
    <x v="0"/>
    <x v="2"/>
    <n v="6.7376261412782315E-2"/>
  </r>
  <r>
    <x v="150"/>
    <x v="87"/>
    <s v="Karan Bose"/>
    <s v="Consumer"/>
    <x v="0"/>
    <x v="0"/>
    <x v="3"/>
    <s v="Gym Equipment"/>
    <x v="13"/>
    <n v="1"/>
    <n v="839.07"/>
    <n v="839.07"/>
    <x v="0"/>
    <n v="224.71"/>
    <n v="292.52"/>
    <x v="2"/>
    <x v="0"/>
    <n v="0.26780840692671648"/>
  </r>
  <r>
    <x v="151"/>
    <x v="88"/>
    <s v="Kiara Nair"/>
    <s v="Consumer"/>
    <x v="0"/>
    <x v="12"/>
    <x v="2"/>
    <s v="Academic"/>
    <x v="2"/>
    <n v="2"/>
    <n v="609.48"/>
    <n v="1218.96"/>
    <x v="0"/>
    <n v="138.31"/>
    <n v="126.49"/>
    <x v="3"/>
    <x v="0"/>
    <n v="0.11346557721336221"/>
  </r>
  <r>
    <x v="152"/>
    <x v="88"/>
    <s v="Ishaan Gupta"/>
    <s v="Corporate"/>
    <x v="1"/>
    <x v="13"/>
    <x v="4"/>
    <s v="Haircare"/>
    <x v="77"/>
    <n v="3"/>
    <n v="228.07"/>
    <n v="581.58000000000004"/>
    <x v="1"/>
    <n v="94.43"/>
    <n v="251.5"/>
    <x v="1"/>
    <x v="3"/>
    <n v="0.1623680319130644"/>
  </r>
  <r>
    <x v="153"/>
    <x v="88"/>
    <s v="Ira Verma"/>
    <s v="Corporate"/>
    <x v="3"/>
    <x v="10"/>
    <x v="3"/>
    <s v="Apparel"/>
    <x v="5"/>
    <n v="2"/>
    <n v="11671.85"/>
    <n v="23343.7"/>
    <x v="0"/>
    <n v="4082.75"/>
    <n v="118.62"/>
    <x v="3"/>
    <x v="3"/>
    <n v="0.17489729563008435"/>
  </r>
  <r>
    <x v="154"/>
    <x v="89"/>
    <s v="Arjun Malhotra"/>
    <s v="Consumer"/>
    <x v="2"/>
    <x v="9"/>
    <x v="3"/>
    <s v="Apparel"/>
    <x v="66"/>
    <n v="5"/>
    <n v="8076.4"/>
    <n v="36343.800000000003"/>
    <x v="2"/>
    <n v="5748.76"/>
    <n v="320.19"/>
    <x v="1"/>
    <x v="0"/>
    <n v="0.15817718565477468"/>
  </r>
  <r>
    <x v="155"/>
    <x v="89"/>
    <s v="Ira Agarwal"/>
    <s v="Consumer"/>
    <x v="3"/>
    <x v="10"/>
    <x v="5"/>
    <s v="Footwear"/>
    <x v="33"/>
    <n v="1"/>
    <n v="3995.25"/>
    <n v="3395.96"/>
    <x v="1"/>
    <n v="625.4"/>
    <n v="198.14"/>
    <x v="0"/>
    <x v="2"/>
    <n v="0.18416000188459228"/>
  </r>
  <r>
    <x v="156"/>
    <x v="90"/>
    <s v="Sai Desai"/>
    <s v="Consumer"/>
    <x v="1"/>
    <x v="13"/>
    <x v="5"/>
    <s v="Kids Wear"/>
    <x v="65"/>
    <n v="3"/>
    <n v="1628.03"/>
    <n v="4639.8900000000003"/>
    <x v="3"/>
    <n v="807.56"/>
    <n v="248.26"/>
    <x v="3"/>
    <x v="2"/>
    <n v="0.17404722956794233"/>
  </r>
  <r>
    <x v="157"/>
    <x v="90"/>
    <s v="Krishna Reddy"/>
    <s v="Small Business"/>
    <x v="1"/>
    <x v="13"/>
    <x v="1"/>
    <s v="Cookware"/>
    <x v="78"/>
    <n v="3"/>
    <n v="4040.99"/>
    <n v="10304.52"/>
    <x v="1"/>
    <n v="1155.79"/>
    <n v="281.14"/>
    <x v="1"/>
    <x v="0"/>
    <n v="0.11216340013896814"/>
  </r>
  <r>
    <x v="158"/>
    <x v="91"/>
    <s v="Karan Desai"/>
    <s v="Corporate"/>
    <x v="1"/>
    <x v="13"/>
    <x v="0"/>
    <s v="Mobiles"/>
    <x v="4"/>
    <n v="1"/>
    <n v="26774.32"/>
    <n v="20080.740000000002"/>
    <x v="4"/>
    <n v="-644.41999999999996"/>
    <n v="177.84"/>
    <x v="0"/>
    <x v="1"/>
    <n v="-3.2091446829150716E-2"/>
  </r>
  <r>
    <x v="159"/>
    <x v="92"/>
    <s v="Ishaan Nair"/>
    <s v="Small Business"/>
    <x v="1"/>
    <x v="1"/>
    <x v="5"/>
    <s v="Kids Wear"/>
    <x v="52"/>
    <n v="3"/>
    <n v="535.94000000000005"/>
    <n v="1366.65"/>
    <x v="1"/>
    <n v="231.86"/>
    <n v="93.73"/>
    <x v="1"/>
    <x v="0"/>
    <n v="0.16965572750887206"/>
  </r>
  <r>
    <x v="160"/>
    <x v="93"/>
    <s v="Vivaan Chopra"/>
    <s v="Consumer"/>
    <x v="3"/>
    <x v="5"/>
    <x v="4"/>
    <s v="Fragrances"/>
    <x v="79"/>
    <n v="1"/>
    <n v="1156.28"/>
    <n v="809.4"/>
    <x v="6"/>
    <n v="135.24"/>
    <n v="252.86"/>
    <x v="4"/>
    <x v="1"/>
    <n v="0.16708673091178652"/>
  </r>
  <r>
    <x v="161"/>
    <x v="93"/>
    <s v="Sai Sharma"/>
    <s v="Corporate"/>
    <x v="1"/>
    <x v="13"/>
    <x v="4"/>
    <s v="Fragrances"/>
    <x v="79"/>
    <n v="2"/>
    <n v="1155.52"/>
    <n v="2311.04"/>
    <x v="0"/>
    <n v="807.29"/>
    <n v="52.68"/>
    <x v="0"/>
    <x v="2"/>
    <n v="0.34931892135142617"/>
  </r>
  <r>
    <x v="162"/>
    <x v="93"/>
    <s v="Pooja Iyer"/>
    <s v="Corporate"/>
    <x v="3"/>
    <x v="7"/>
    <x v="3"/>
    <s v="Footwear"/>
    <x v="37"/>
    <n v="2"/>
    <n v="1610.37"/>
    <n v="2898.67"/>
    <x v="2"/>
    <n v="263.45"/>
    <n v="63.25"/>
    <x v="0"/>
    <x v="0"/>
    <n v="9.0886510020112665E-2"/>
  </r>
  <r>
    <x v="163"/>
    <x v="94"/>
    <s v="Dhruv Verma"/>
    <s v="Consumer"/>
    <x v="2"/>
    <x v="8"/>
    <x v="1"/>
    <s v="Appliances"/>
    <x v="45"/>
    <n v="1"/>
    <n v="11148.42"/>
    <n v="10033.58"/>
    <x v="2"/>
    <n v="349.48"/>
    <n v="176.92"/>
    <x v="0"/>
    <x v="0"/>
    <n v="3.4831037376489751E-2"/>
  </r>
  <r>
    <x v="164"/>
    <x v="95"/>
    <s v="Myra Rao"/>
    <s v="Consumer"/>
    <x v="2"/>
    <x v="9"/>
    <x v="1"/>
    <s v="Appliances"/>
    <x v="16"/>
    <n v="1"/>
    <n v="2804.78"/>
    <n v="2804.78"/>
    <x v="0"/>
    <n v="604.48"/>
    <n v="126.16"/>
    <x v="3"/>
    <x v="1"/>
    <n v="0.21551779462203807"/>
  </r>
  <r>
    <x v="165"/>
    <x v="96"/>
    <s v="Aditya Nair"/>
    <s v="Consumer"/>
    <x v="0"/>
    <x v="12"/>
    <x v="3"/>
    <s v="Footwear"/>
    <x v="11"/>
    <n v="1"/>
    <n v="9163.61"/>
    <n v="7789.07"/>
    <x v="1"/>
    <n v="875.83"/>
    <n v="102.99"/>
    <x v="3"/>
    <x v="3"/>
    <n v="0.11244346244160087"/>
  </r>
  <r>
    <x v="166"/>
    <x v="97"/>
    <s v="Vihaan Mishra"/>
    <s v="Consumer"/>
    <x v="2"/>
    <x v="8"/>
    <x v="1"/>
    <s v="Appliances"/>
    <x v="7"/>
    <n v="1"/>
    <n v="8877.52"/>
    <n v="6214.26"/>
    <x v="6"/>
    <n v="-345.02"/>
    <n v="210.91"/>
    <x v="1"/>
    <x v="0"/>
    <n v="-5.552068951089912E-2"/>
  </r>
  <r>
    <x v="167"/>
    <x v="98"/>
    <s v="Meera Joshi"/>
    <s v="Consumer"/>
    <x v="2"/>
    <x v="11"/>
    <x v="1"/>
    <s v="Furniture"/>
    <x v="46"/>
    <n v="4"/>
    <n v="2183.89"/>
    <n v="8735.56"/>
    <x v="0"/>
    <n v="1437.37"/>
    <n v="358.57"/>
    <x v="1"/>
    <x v="3"/>
    <n v="0.16454239911350846"/>
  </r>
  <r>
    <x v="168"/>
    <x v="99"/>
    <s v="Ayaan Kapoor"/>
    <s v="Small Business"/>
    <x v="1"/>
    <x v="1"/>
    <x v="3"/>
    <s v="Apparel"/>
    <x v="5"/>
    <n v="1"/>
    <n v="6919.73"/>
    <n v="6919.73"/>
    <x v="0"/>
    <n v="2084.4699999999998"/>
    <n v="123.83"/>
    <x v="2"/>
    <x v="2"/>
    <n v="0.30123574185697993"/>
  </r>
  <r>
    <x v="169"/>
    <x v="99"/>
    <s v="Navya Agarwal"/>
    <s v="Small Business"/>
    <x v="1"/>
    <x v="1"/>
    <x v="1"/>
    <s v="Cookware"/>
    <x v="80"/>
    <n v="1"/>
    <n v="10448.99"/>
    <n v="9404.09"/>
    <x v="2"/>
    <n v="988.47"/>
    <n v="34.590000000000003"/>
    <x v="2"/>
    <x v="3"/>
    <n v="0.10511064866457041"/>
  </r>
  <r>
    <x v="170"/>
    <x v="100"/>
    <s v="Saanvi Mishra"/>
    <s v="Consumer"/>
    <x v="3"/>
    <x v="6"/>
    <x v="3"/>
    <s v="Apparel"/>
    <x v="66"/>
    <n v="1"/>
    <n v="3881.89"/>
    <n v="3687.8"/>
    <x v="3"/>
    <n v="684.54"/>
    <n v="95.61"/>
    <x v="0"/>
    <x v="3"/>
    <n v="0.1856228645805087"/>
  </r>
  <r>
    <x v="171"/>
    <x v="100"/>
    <s v="Diya Mishra"/>
    <s v="Small Business"/>
    <x v="3"/>
    <x v="10"/>
    <x v="5"/>
    <s v="Footwear"/>
    <x v="29"/>
    <n v="4"/>
    <n v="3789.68"/>
    <n v="12126.98"/>
    <x v="5"/>
    <n v="1433.99"/>
    <n v="351.67"/>
    <x v="3"/>
    <x v="3"/>
    <n v="0.11824790673358083"/>
  </r>
  <r>
    <x v="172"/>
    <x v="100"/>
    <s v="Vihaan Agarwal"/>
    <s v="Corporate"/>
    <x v="0"/>
    <x v="0"/>
    <x v="3"/>
    <s v="Apparel"/>
    <x v="18"/>
    <n v="1"/>
    <n v="5373.88"/>
    <n v="5373.88"/>
    <x v="0"/>
    <n v="784.17"/>
    <n v="181.67"/>
    <x v="2"/>
    <x v="0"/>
    <n v="0.14592249919983324"/>
  </r>
  <r>
    <x v="173"/>
    <x v="101"/>
    <s v="Ishaan Verma"/>
    <s v="Corporate"/>
    <x v="0"/>
    <x v="12"/>
    <x v="0"/>
    <s v="Cameras"/>
    <x v="0"/>
    <n v="1"/>
    <n v="4816.21"/>
    <n v="4816.21"/>
    <x v="0"/>
    <n v="591.41"/>
    <n v="41.1"/>
    <x v="3"/>
    <x v="0"/>
    <n v="0.12279572526945461"/>
  </r>
  <r>
    <x v="174"/>
    <x v="102"/>
    <s v="Sai Rao"/>
    <s v="Small Business"/>
    <x v="0"/>
    <x v="4"/>
    <x v="0"/>
    <s v="Headphones"/>
    <x v="81"/>
    <n v="2"/>
    <n v="64522.43"/>
    <n v="129044.86"/>
    <x v="0"/>
    <n v="16148.12"/>
    <n v="310.8"/>
    <x v="0"/>
    <x v="0"/>
    <n v="0.12513570862101753"/>
  </r>
  <r>
    <x v="175"/>
    <x v="102"/>
    <s v="Ananya Agarwal"/>
    <s v="Consumer"/>
    <x v="0"/>
    <x v="4"/>
    <x v="3"/>
    <s v="Gym Equipment"/>
    <x v="51"/>
    <n v="1"/>
    <n v="13294.22"/>
    <n v="12629.51"/>
    <x v="3"/>
    <n v="1793.01"/>
    <n v="116.6"/>
    <x v="1"/>
    <x v="2"/>
    <n v="0.14196987848301321"/>
  </r>
  <r>
    <x v="176"/>
    <x v="103"/>
    <s v="Krishna Gupta"/>
    <s v="Consumer"/>
    <x v="2"/>
    <x v="9"/>
    <x v="3"/>
    <s v="Outdoor Gear"/>
    <x v="82"/>
    <n v="2"/>
    <n v="2184.67"/>
    <n v="4150.87"/>
    <x v="3"/>
    <n v="495.91"/>
    <n v="200.52"/>
    <x v="1"/>
    <x v="3"/>
    <n v="0.11947133974323455"/>
  </r>
  <r>
    <x v="177"/>
    <x v="104"/>
    <s v="Vivaan Mehta"/>
    <s v="Small Business"/>
    <x v="0"/>
    <x v="0"/>
    <x v="4"/>
    <s v="Fragrances"/>
    <x v="19"/>
    <n v="1"/>
    <n v="1449.59"/>
    <n v="1304.6300000000001"/>
    <x v="2"/>
    <n v="191.5"/>
    <n v="194.48"/>
    <x v="2"/>
    <x v="0"/>
    <n v="0.14678491219732798"/>
  </r>
  <r>
    <x v="178"/>
    <x v="105"/>
    <s v="Neha Kapoor"/>
    <s v="Consumer"/>
    <x v="3"/>
    <x v="10"/>
    <x v="4"/>
    <s v="Skincare"/>
    <x v="67"/>
    <n v="5"/>
    <n v="787.98"/>
    <n v="3939.9"/>
    <x v="0"/>
    <n v="1313.93"/>
    <n v="362.38"/>
    <x v="3"/>
    <x v="0"/>
    <n v="0.3334932358689307"/>
  </r>
  <r>
    <x v="179"/>
    <x v="105"/>
    <s v="Kabir Iyer"/>
    <s v="Corporate"/>
    <x v="2"/>
    <x v="2"/>
    <x v="5"/>
    <s v="Women's Wear"/>
    <x v="42"/>
    <n v="4"/>
    <n v="1795.09"/>
    <n v="6462.32"/>
    <x v="2"/>
    <n v="1759.3"/>
    <n v="317.51"/>
    <x v="0"/>
    <x v="3"/>
    <n v="0.2722396910088018"/>
  </r>
  <r>
    <x v="180"/>
    <x v="105"/>
    <s v="Vihaan Verma"/>
    <s v="Corporate"/>
    <x v="3"/>
    <x v="10"/>
    <x v="2"/>
    <s v="Fiction"/>
    <x v="9"/>
    <n v="2"/>
    <n v="1164.56"/>
    <n v="2329.12"/>
    <x v="0"/>
    <n v="239.6"/>
    <n v="85.79"/>
    <x v="1"/>
    <x v="0"/>
    <n v="0.10287147077007626"/>
  </r>
  <r>
    <x v="181"/>
    <x v="106"/>
    <s v="Diya Iyer"/>
    <s v="Consumer"/>
    <x v="2"/>
    <x v="11"/>
    <x v="1"/>
    <s v="Furniture"/>
    <x v="39"/>
    <n v="1"/>
    <n v="9222.68"/>
    <n v="8761.5499999999993"/>
    <x v="3"/>
    <n v="1393.79"/>
    <n v="79.44"/>
    <x v="4"/>
    <x v="1"/>
    <n v="0.15908029971865709"/>
  </r>
  <r>
    <x v="182"/>
    <x v="106"/>
    <s v="Myra Malhotra"/>
    <s v="Small Business"/>
    <x v="3"/>
    <x v="5"/>
    <x v="0"/>
    <s v="Headphones"/>
    <x v="60"/>
    <n v="4"/>
    <n v="38157.19"/>
    <n v="106840.13"/>
    <x v="6"/>
    <n v="-12847.48"/>
    <n v="317.99"/>
    <x v="3"/>
    <x v="2"/>
    <n v="-0.12024957288988697"/>
  </r>
  <r>
    <x v="183"/>
    <x v="106"/>
    <s v="Diya Nair"/>
    <s v="Consumer"/>
    <x v="0"/>
    <x v="4"/>
    <x v="1"/>
    <s v="Appliances"/>
    <x v="7"/>
    <n v="1"/>
    <n v="6654.27"/>
    <n v="5656.13"/>
    <x v="1"/>
    <n v="230.69"/>
    <n v="129.62"/>
    <x v="0"/>
    <x v="2"/>
    <n v="4.0785837666390268E-2"/>
  </r>
  <r>
    <x v="184"/>
    <x v="107"/>
    <s v="Aarav Verma"/>
    <s v="Corporate"/>
    <x v="0"/>
    <x v="0"/>
    <x v="0"/>
    <s v="Cameras"/>
    <x v="8"/>
    <n v="2"/>
    <n v="35652.76"/>
    <n v="60609.69"/>
    <x v="1"/>
    <n v="1608.82"/>
    <n v="215.55"/>
    <x v="1"/>
    <x v="2"/>
    <n v="2.6543940416128179E-2"/>
  </r>
  <r>
    <x v="185"/>
    <x v="108"/>
    <s v="Aarav Das"/>
    <s v="Consumer"/>
    <x v="0"/>
    <x v="12"/>
    <x v="4"/>
    <s v="Skincare"/>
    <x v="56"/>
    <n v="3"/>
    <n v="1140.0899999999999"/>
    <n v="2394.19"/>
    <x v="6"/>
    <n v="351.43"/>
    <n v="68.67"/>
    <x v="3"/>
    <x v="3"/>
    <n v="0.14678450749522803"/>
  </r>
  <r>
    <x v="186"/>
    <x v="109"/>
    <s v="Kiara Mishra"/>
    <s v="Consumer"/>
    <x v="1"/>
    <x v="13"/>
    <x v="5"/>
    <s v="Men's Wear"/>
    <x v="69"/>
    <n v="3"/>
    <n v="1524.98"/>
    <n v="4346.1899999999996"/>
    <x v="3"/>
    <n v="996.54"/>
    <n v="309.55"/>
    <x v="1"/>
    <x v="3"/>
    <n v="0.22929048200837976"/>
  </r>
  <r>
    <x v="187"/>
    <x v="110"/>
    <s v="Dhruv Khan"/>
    <s v="Corporate"/>
    <x v="2"/>
    <x v="8"/>
    <x v="4"/>
    <s v="Fragrances"/>
    <x v="19"/>
    <n v="2"/>
    <n v="803.39"/>
    <n v="1526.44"/>
    <x v="3"/>
    <n v="265.81"/>
    <n v="145.18"/>
    <x v="0"/>
    <x v="0"/>
    <n v="0.17413720814444064"/>
  </r>
  <r>
    <x v="188"/>
    <x v="111"/>
    <s v="Sai Iyer"/>
    <s v="Consumer"/>
    <x v="1"/>
    <x v="3"/>
    <x v="5"/>
    <s v="Kids Wear"/>
    <x v="73"/>
    <n v="2"/>
    <n v="930.71"/>
    <n v="1768.35"/>
    <x v="3"/>
    <n v="343.82"/>
    <n v="262.67"/>
    <x v="0"/>
    <x v="2"/>
    <n v="0.19442983572256625"/>
  </r>
  <r>
    <x v="189"/>
    <x v="112"/>
    <s v="Diya Mehta"/>
    <s v="Consumer"/>
    <x v="1"/>
    <x v="3"/>
    <x v="4"/>
    <s v="Haircare"/>
    <x v="53"/>
    <n v="2"/>
    <n v="1165.6500000000001"/>
    <n v="2098.17"/>
    <x v="2"/>
    <n v="551.02"/>
    <n v="293.41000000000003"/>
    <x v="4"/>
    <x v="2"/>
    <n v="0.26261933017820288"/>
  </r>
  <r>
    <x v="190"/>
    <x v="113"/>
    <s v="Ishaan Desai"/>
    <s v="Consumer"/>
    <x v="0"/>
    <x v="4"/>
    <x v="3"/>
    <s v="Apparel"/>
    <x v="75"/>
    <n v="3"/>
    <n v="2301.12"/>
    <n v="6558.19"/>
    <x v="3"/>
    <n v="940.62"/>
    <n v="251.78"/>
    <x v="4"/>
    <x v="3"/>
    <n v="0.14342676866635459"/>
  </r>
  <r>
    <x v="191"/>
    <x v="114"/>
    <s v="Meera Gupta"/>
    <s v="Corporate"/>
    <x v="1"/>
    <x v="3"/>
    <x v="0"/>
    <s v="Mobiles"/>
    <x v="62"/>
    <n v="2"/>
    <n v="47136.51"/>
    <n v="89559.37"/>
    <x v="3"/>
    <n v="2583.2600000000002"/>
    <n v="263.8"/>
    <x v="3"/>
    <x v="2"/>
    <n v="2.8844106429064879E-2"/>
  </r>
  <r>
    <x v="192"/>
    <x v="115"/>
    <s v="Aditya Khan"/>
    <s v="Consumer"/>
    <x v="0"/>
    <x v="4"/>
    <x v="1"/>
    <s v="Decor"/>
    <x v="83"/>
    <n v="3"/>
    <n v="748.3"/>
    <n v="2132.66"/>
    <x v="3"/>
    <n v="266.22000000000003"/>
    <n v="347.16"/>
    <x v="2"/>
    <x v="0"/>
    <n v="0.12483002447647541"/>
  </r>
  <r>
    <x v="193"/>
    <x v="115"/>
    <s v="Priya Kapoor"/>
    <s v="Consumer"/>
    <x v="0"/>
    <x v="4"/>
    <x v="1"/>
    <s v="Furniture"/>
    <x v="46"/>
    <n v="5"/>
    <n v="3279.43"/>
    <n v="14757.44"/>
    <x v="2"/>
    <n v="889.67"/>
    <n v="100.84"/>
    <x v="0"/>
    <x v="3"/>
    <n v="6.0286201400784958E-2"/>
  </r>
  <r>
    <x v="194"/>
    <x v="116"/>
    <s v="Navya Khan"/>
    <s v="Corporate"/>
    <x v="2"/>
    <x v="11"/>
    <x v="5"/>
    <s v="Men's Wear"/>
    <x v="21"/>
    <n v="1"/>
    <n v="1160.93"/>
    <n v="812.65"/>
    <x v="6"/>
    <n v="56.61"/>
    <n v="34.159999999999997"/>
    <x v="0"/>
    <x v="3"/>
    <n v="6.9660985664185077E-2"/>
  </r>
  <r>
    <x v="195"/>
    <x v="117"/>
    <s v="Ananya Agarwal"/>
    <s v="Consumer"/>
    <x v="0"/>
    <x v="12"/>
    <x v="1"/>
    <s v="Furniture"/>
    <x v="39"/>
    <n v="4"/>
    <n v="5092.03"/>
    <n v="17312.900000000001"/>
    <x v="1"/>
    <n v="2782.22"/>
    <n v="258.18"/>
    <x v="1"/>
    <x v="1"/>
    <n v="0.16070213540192571"/>
  </r>
  <r>
    <x v="196"/>
    <x v="118"/>
    <s v="Myra Agarwal"/>
    <s v="Corporate"/>
    <x v="1"/>
    <x v="3"/>
    <x v="3"/>
    <s v="Footwear"/>
    <x v="29"/>
    <n v="2"/>
    <n v="5679.81"/>
    <n v="8519.7199999999993"/>
    <x v="4"/>
    <n v="195.96"/>
    <n v="220.12"/>
    <x v="4"/>
    <x v="3"/>
    <n v="2.3000755893386172E-2"/>
  </r>
  <r>
    <x v="197"/>
    <x v="118"/>
    <s v="Kiara Rao"/>
    <s v="Consumer"/>
    <x v="1"/>
    <x v="13"/>
    <x v="3"/>
    <s v="Gym Equipment"/>
    <x v="13"/>
    <n v="1"/>
    <n v="5002.1000000000004"/>
    <n v="4501.8900000000003"/>
    <x v="2"/>
    <n v="1013.56"/>
    <n v="301.39"/>
    <x v="2"/>
    <x v="3"/>
    <n v="0.22514099633709395"/>
  </r>
  <r>
    <x v="198"/>
    <x v="119"/>
    <s v="Meera Patel"/>
    <s v="Consumer"/>
    <x v="0"/>
    <x v="0"/>
    <x v="5"/>
    <s v="Women's Wear"/>
    <x v="24"/>
    <n v="1"/>
    <n v="3867.67"/>
    <n v="3094.14"/>
    <x v="5"/>
    <n v="265.14"/>
    <n v="327.24"/>
    <x v="1"/>
    <x v="3"/>
    <n v="8.5691015920417307E-2"/>
  </r>
  <r>
    <x v="199"/>
    <x v="119"/>
    <s v="Diya Iyer"/>
    <s v="Small Business"/>
    <x v="1"/>
    <x v="3"/>
    <x v="2"/>
    <s v="Non-Fiction"/>
    <x v="64"/>
    <n v="1"/>
    <n v="361.15"/>
    <n v="361.15"/>
    <x v="0"/>
    <n v="69.69"/>
    <n v="218.87"/>
    <x v="1"/>
    <x v="2"/>
    <n v="0.19296691125571092"/>
  </r>
  <r>
    <x v="200"/>
    <x v="120"/>
    <s v="Simran Joshi"/>
    <s v="Consumer"/>
    <x v="1"/>
    <x v="1"/>
    <x v="2"/>
    <s v="Academic"/>
    <x v="2"/>
    <n v="1"/>
    <n v="180.61"/>
    <n v="162.55000000000001"/>
    <x v="2"/>
    <n v="15.43"/>
    <n v="257.24"/>
    <x v="1"/>
    <x v="0"/>
    <n v="9.4924638572746842E-2"/>
  </r>
  <r>
    <x v="201"/>
    <x v="120"/>
    <s v="Riya Desai"/>
    <s v="Small Business"/>
    <x v="3"/>
    <x v="6"/>
    <x v="0"/>
    <s v="Headphones"/>
    <x v="15"/>
    <n v="1"/>
    <n v="49844.12"/>
    <n v="42367.5"/>
    <x v="1"/>
    <n v="-131.97"/>
    <n v="70.319999999999993"/>
    <x v="2"/>
    <x v="2"/>
    <n v="-3.114887590724022E-3"/>
  </r>
  <r>
    <x v="202"/>
    <x v="120"/>
    <s v="Navya Mishra"/>
    <s v="Consumer"/>
    <x v="0"/>
    <x v="4"/>
    <x v="5"/>
    <s v="Kids Wear"/>
    <x v="52"/>
    <n v="2"/>
    <n v="893.14"/>
    <n v="1607.65"/>
    <x v="2"/>
    <n v="153.41"/>
    <n v="134.16999999999999"/>
    <x v="0"/>
    <x v="3"/>
    <n v="9.5424999222467569E-2"/>
  </r>
  <r>
    <x v="203"/>
    <x v="120"/>
    <s v="Ananya Chopra"/>
    <s v="Consumer"/>
    <x v="1"/>
    <x v="13"/>
    <x v="4"/>
    <s v="Skincare"/>
    <x v="56"/>
    <n v="1"/>
    <n v="1145.74"/>
    <n v="1031.17"/>
    <x v="2"/>
    <n v="132.19"/>
    <n v="210.55"/>
    <x v="3"/>
    <x v="0"/>
    <n v="0.12819418718543013"/>
  </r>
  <r>
    <x v="204"/>
    <x v="121"/>
    <s v="Krishna Malhotra"/>
    <s v="Consumer"/>
    <x v="1"/>
    <x v="1"/>
    <x v="1"/>
    <s v="Cookware"/>
    <x v="80"/>
    <n v="2"/>
    <n v="8227.52"/>
    <n v="13986.78"/>
    <x v="1"/>
    <n v="1759.09"/>
    <n v="261.81"/>
    <x v="0"/>
    <x v="0"/>
    <n v="0.12576804668408309"/>
  </r>
  <r>
    <x v="205"/>
    <x v="122"/>
    <s v="Karan Agarwal"/>
    <s v="Consumer"/>
    <x v="3"/>
    <x v="5"/>
    <x v="0"/>
    <s v="Cameras"/>
    <x v="8"/>
    <n v="1"/>
    <n v="54671.76"/>
    <n v="41003.82"/>
    <x v="4"/>
    <n v="-1741.8"/>
    <n v="189.1"/>
    <x v="3"/>
    <x v="3"/>
    <n v="-4.2478969032641346E-2"/>
  </r>
  <r>
    <x v="206"/>
    <x v="123"/>
    <s v="Kabir Das"/>
    <s v="Consumer"/>
    <x v="0"/>
    <x v="4"/>
    <x v="2"/>
    <s v="Fiction"/>
    <x v="76"/>
    <n v="2"/>
    <n v="711.18"/>
    <n v="1280.1199999999999"/>
    <x v="2"/>
    <n v="122.02"/>
    <n v="198.95"/>
    <x v="3"/>
    <x v="3"/>
    <n v="9.5319188826047563E-2"/>
  </r>
  <r>
    <x v="207"/>
    <x v="123"/>
    <s v="Saanvi Mishra"/>
    <s v="Corporate"/>
    <x v="2"/>
    <x v="8"/>
    <x v="0"/>
    <s v="Headphones"/>
    <x v="84"/>
    <n v="3"/>
    <n v="7860.98"/>
    <n v="18866.349999999999"/>
    <x v="5"/>
    <n v="1075.01"/>
    <n v="149.71"/>
    <x v="3"/>
    <x v="3"/>
    <n v="5.6980285004783651E-2"/>
  </r>
  <r>
    <x v="208"/>
    <x v="124"/>
    <s v="Ira Desai"/>
    <s v="Consumer"/>
    <x v="2"/>
    <x v="9"/>
    <x v="4"/>
    <s v="Makeup"/>
    <x v="71"/>
    <n v="2"/>
    <n v="354.64"/>
    <n v="567.41999999999996"/>
    <x v="5"/>
    <n v="83.74"/>
    <n v="235.35"/>
    <x v="1"/>
    <x v="2"/>
    <n v="0.14758027563356949"/>
  </r>
  <r>
    <x v="209"/>
    <x v="125"/>
    <s v="Aditya Rao"/>
    <s v="Consumer"/>
    <x v="2"/>
    <x v="8"/>
    <x v="3"/>
    <s v="Outdoor Gear"/>
    <x v="3"/>
    <n v="2"/>
    <n v="6192.78"/>
    <n v="11766.28"/>
    <x v="3"/>
    <n v="2301.73"/>
    <n v="93.23"/>
    <x v="1"/>
    <x v="3"/>
    <n v="0.195620875926801"/>
  </r>
  <r>
    <x v="210"/>
    <x v="126"/>
    <s v="Myra Mehta"/>
    <s v="Corporate"/>
    <x v="1"/>
    <x v="13"/>
    <x v="3"/>
    <s v="Apparel"/>
    <x v="75"/>
    <n v="2"/>
    <n v="13448.48"/>
    <n v="25552.11"/>
    <x v="3"/>
    <n v="6146.63"/>
    <n v="197.43"/>
    <x v="1"/>
    <x v="1"/>
    <n v="0.24055273713208028"/>
  </r>
  <r>
    <x v="211"/>
    <x v="127"/>
    <s v="Vihaan Verma"/>
    <s v="Corporate"/>
    <x v="1"/>
    <x v="3"/>
    <x v="1"/>
    <s v="Appliances"/>
    <x v="45"/>
    <n v="1"/>
    <n v="11576.37"/>
    <n v="10997.55"/>
    <x v="3"/>
    <n v="1619.99"/>
    <n v="217.38"/>
    <x v="2"/>
    <x v="0"/>
    <n v="0.14730462693963656"/>
  </r>
  <r>
    <x v="212"/>
    <x v="127"/>
    <s v="Ira Khan"/>
    <s v="Consumer"/>
    <x v="2"/>
    <x v="9"/>
    <x v="5"/>
    <s v="Women's Wear"/>
    <x v="22"/>
    <n v="2"/>
    <n v="656.13"/>
    <n v="1181.03"/>
    <x v="2"/>
    <n v="290.66000000000003"/>
    <n v="274.22000000000003"/>
    <x v="4"/>
    <x v="3"/>
    <n v="0.24610721150182471"/>
  </r>
  <r>
    <x v="213"/>
    <x v="127"/>
    <s v="Rohan Malhotra"/>
    <s v="Consumer"/>
    <x v="2"/>
    <x v="9"/>
    <x v="0"/>
    <s v="Mobiles"/>
    <x v="72"/>
    <n v="2"/>
    <n v="15680.35"/>
    <n v="26656.6"/>
    <x v="1"/>
    <n v="1494.57"/>
    <n v="329.61"/>
    <x v="2"/>
    <x v="3"/>
    <n v="5.6067540496537442E-2"/>
  </r>
  <r>
    <x v="214"/>
    <x v="128"/>
    <s v="Kiara Reddy"/>
    <s v="Consumer"/>
    <x v="0"/>
    <x v="0"/>
    <x v="4"/>
    <s v="Haircare"/>
    <x v="85"/>
    <n v="1"/>
    <n v="1962.07"/>
    <n v="1863.97"/>
    <x v="3"/>
    <n v="410.65"/>
    <n v="300.69"/>
    <x v="1"/>
    <x v="3"/>
    <n v="0.2203093397425924"/>
  </r>
  <r>
    <x v="215"/>
    <x v="128"/>
    <s v="Ananya Reddy"/>
    <s v="Corporate"/>
    <x v="0"/>
    <x v="0"/>
    <x v="3"/>
    <s v="Gym Equipment"/>
    <x v="13"/>
    <n v="1"/>
    <n v="7566.14"/>
    <n v="5296.3"/>
    <x v="6"/>
    <n v="12.7"/>
    <n v="184.62"/>
    <x v="3"/>
    <x v="0"/>
    <n v="2.3979004210486566E-3"/>
  </r>
  <r>
    <x v="216"/>
    <x v="128"/>
    <s v="Aadhya Mishra"/>
    <s v="Corporate"/>
    <x v="1"/>
    <x v="1"/>
    <x v="3"/>
    <s v="Apparel"/>
    <x v="75"/>
    <n v="3"/>
    <n v="7211.04"/>
    <n v="20551.46"/>
    <x v="3"/>
    <n v="1304.44"/>
    <n v="307.54000000000002"/>
    <x v="2"/>
    <x v="3"/>
    <n v="6.3471889588379612E-2"/>
  </r>
  <r>
    <x v="217"/>
    <x v="129"/>
    <s v="Rohan Iyer"/>
    <s v="Consumer"/>
    <x v="2"/>
    <x v="11"/>
    <x v="3"/>
    <s v="Apparel"/>
    <x v="75"/>
    <n v="3"/>
    <n v="12209.61"/>
    <n v="36628.83"/>
    <x v="0"/>
    <n v="5653.76"/>
    <n v="305.33"/>
    <x v="3"/>
    <x v="2"/>
    <n v="0.15435273253336237"/>
  </r>
  <r>
    <x v="218"/>
    <x v="129"/>
    <s v="Reyansh Joshi"/>
    <s v="Consumer"/>
    <x v="1"/>
    <x v="13"/>
    <x v="3"/>
    <s v="Gym Equipment"/>
    <x v="57"/>
    <n v="1"/>
    <n v="8745.07"/>
    <n v="8745.07"/>
    <x v="0"/>
    <n v="1043.8699999999999"/>
    <n v="134.07"/>
    <x v="1"/>
    <x v="3"/>
    <n v="0.11936668317120389"/>
  </r>
  <r>
    <x v="219"/>
    <x v="130"/>
    <s v="Sai Patel"/>
    <s v="Small Business"/>
    <x v="1"/>
    <x v="13"/>
    <x v="1"/>
    <s v="Appliances"/>
    <x v="40"/>
    <n v="1"/>
    <n v="11061.74"/>
    <n v="10508.65"/>
    <x v="3"/>
    <n v="2019.54"/>
    <n v="54.14"/>
    <x v="3"/>
    <x v="2"/>
    <n v="0.19217882411156523"/>
  </r>
  <r>
    <x v="220"/>
    <x v="131"/>
    <s v="Kiara Mehta"/>
    <s v="Consumer"/>
    <x v="2"/>
    <x v="2"/>
    <x v="1"/>
    <s v="Decor"/>
    <x v="61"/>
    <n v="1"/>
    <n v="7042.66"/>
    <n v="6690.53"/>
    <x v="3"/>
    <n v="1478.12"/>
    <n v="112.16"/>
    <x v="4"/>
    <x v="3"/>
    <n v="0.22092719111938813"/>
  </r>
  <r>
    <x v="221"/>
    <x v="132"/>
    <s v="Karan Gupta"/>
    <s v="Small Business"/>
    <x v="2"/>
    <x v="11"/>
    <x v="3"/>
    <s v="Footwear"/>
    <x v="11"/>
    <n v="1"/>
    <n v="10555.59"/>
    <n v="10555.59"/>
    <x v="0"/>
    <n v="2511"/>
    <n v="170.51"/>
    <x v="3"/>
    <x v="0"/>
    <n v="0.23788343427510922"/>
  </r>
  <r>
    <x v="222"/>
    <x v="132"/>
    <s v="Priya Das"/>
    <s v="Consumer"/>
    <x v="1"/>
    <x v="13"/>
    <x v="2"/>
    <s v="Comics"/>
    <x v="43"/>
    <n v="1"/>
    <n v="934.82"/>
    <n v="934.82"/>
    <x v="0"/>
    <n v="107.74"/>
    <n v="336.49"/>
    <x v="1"/>
    <x v="3"/>
    <n v="0.11525213410068247"/>
  </r>
  <r>
    <x v="223"/>
    <x v="133"/>
    <s v="Krishna Nair"/>
    <s v="Corporate"/>
    <x v="3"/>
    <x v="10"/>
    <x v="4"/>
    <s v="Haircare"/>
    <x v="77"/>
    <n v="2"/>
    <n v="471.9"/>
    <n v="943.8"/>
    <x v="0"/>
    <n v="277.81"/>
    <n v="45.01"/>
    <x v="3"/>
    <x v="3"/>
    <n v="0.2943526170798898"/>
  </r>
  <r>
    <x v="224"/>
    <x v="134"/>
    <s v="Reyansh Iyer"/>
    <s v="Consumer"/>
    <x v="1"/>
    <x v="13"/>
    <x v="1"/>
    <s v="Furniture"/>
    <x v="39"/>
    <n v="3"/>
    <n v="3419.33"/>
    <n v="8719.2900000000009"/>
    <x v="1"/>
    <n v="903.62"/>
    <n v="239.34"/>
    <x v="3"/>
    <x v="3"/>
    <n v="0.10363458492606621"/>
  </r>
  <r>
    <x v="225"/>
    <x v="135"/>
    <s v="Priya Sharma"/>
    <s v="Small Business"/>
    <x v="3"/>
    <x v="5"/>
    <x v="3"/>
    <s v="Apparel"/>
    <x v="75"/>
    <n v="1"/>
    <n v="9589.76"/>
    <n v="8630.7800000000007"/>
    <x v="2"/>
    <n v="2016.04"/>
    <n v="76.06"/>
    <x v="3"/>
    <x v="3"/>
    <n v="0.23358723081807203"/>
  </r>
  <r>
    <x v="226"/>
    <x v="135"/>
    <s v="Simran Bose"/>
    <s v="Consumer"/>
    <x v="3"/>
    <x v="7"/>
    <x v="5"/>
    <s v="Men's Wear"/>
    <x v="21"/>
    <n v="3"/>
    <n v="2599.89"/>
    <n v="6629.72"/>
    <x v="1"/>
    <n v="796.24"/>
    <n v="265.94"/>
    <x v="2"/>
    <x v="2"/>
    <n v="0.12010160308429314"/>
  </r>
  <r>
    <x v="227"/>
    <x v="135"/>
    <s v="Rohan Bose"/>
    <s v="Corporate"/>
    <x v="1"/>
    <x v="13"/>
    <x v="0"/>
    <s v="Cameras"/>
    <x v="0"/>
    <n v="1"/>
    <n v="58435.63"/>
    <n v="49670.29"/>
    <x v="1"/>
    <n v="1118.81"/>
    <n v="235.45"/>
    <x v="2"/>
    <x v="0"/>
    <n v="2.2524732591655897E-2"/>
  </r>
  <r>
    <x v="228"/>
    <x v="136"/>
    <s v="Raj Iyer"/>
    <s v="Consumer"/>
    <x v="2"/>
    <x v="9"/>
    <x v="3"/>
    <s v="Footwear"/>
    <x v="33"/>
    <n v="1"/>
    <n v="14933.79"/>
    <n v="12693.72"/>
    <x v="1"/>
    <n v="157.96"/>
    <n v="215.75"/>
    <x v="3"/>
    <x v="3"/>
    <n v="1.2443948661227758E-2"/>
  </r>
  <r>
    <x v="229"/>
    <x v="137"/>
    <s v="Raj Nair"/>
    <s v="Consumer"/>
    <x v="1"/>
    <x v="1"/>
    <x v="1"/>
    <s v="Furniture"/>
    <x v="10"/>
    <n v="2"/>
    <n v="8033.76"/>
    <n v="13657.39"/>
    <x v="1"/>
    <n v="1369.34"/>
    <n v="84.43"/>
    <x v="1"/>
    <x v="0"/>
    <n v="0.10026366677674138"/>
  </r>
  <r>
    <x v="230"/>
    <x v="137"/>
    <s v="Myra Iyer"/>
    <s v="Consumer"/>
    <x v="1"/>
    <x v="13"/>
    <x v="4"/>
    <s v="Haircare"/>
    <x v="77"/>
    <n v="1"/>
    <n v="2491.5700000000002"/>
    <n v="1868.68"/>
    <x v="4"/>
    <n v="202.05"/>
    <n v="147.86000000000001"/>
    <x v="4"/>
    <x v="0"/>
    <n v="0.10812445148447032"/>
  </r>
  <r>
    <x v="231"/>
    <x v="138"/>
    <s v="Kabir Chopra"/>
    <s v="Consumer"/>
    <x v="3"/>
    <x v="6"/>
    <x v="0"/>
    <s v="Mobiles"/>
    <x v="74"/>
    <n v="2"/>
    <n v="14216.77"/>
    <n v="21325.15"/>
    <x v="4"/>
    <n v="63.42"/>
    <n v="61.01"/>
    <x v="1"/>
    <x v="0"/>
    <n v="2.9739532898947953E-3"/>
  </r>
  <r>
    <x v="232"/>
    <x v="139"/>
    <s v="Simran Das"/>
    <s v="Consumer"/>
    <x v="3"/>
    <x v="5"/>
    <x v="3"/>
    <s v="Footwear"/>
    <x v="29"/>
    <n v="2"/>
    <n v="12187.53"/>
    <n v="24375.06"/>
    <x v="0"/>
    <n v="4662.17"/>
    <n v="306.35000000000002"/>
    <x v="2"/>
    <x v="2"/>
    <n v="0.19126804200687095"/>
  </r>
  <r>
    <x v="233"/>
    <x v="139"/>
    <s v="Vivaan Rao"/>
    <s v="Corporate"/>
    <x v="1"/>
    <x v="3"/>
    <x v="5"/>
    <s v="Women's Wear"/>
    <x v="86"/>
    <n v="1"/>
    <n v="1135.2"/>
    <n v="1078.44"/>
    <x v="3"/>
    <n v="130.06"/>
    <n v="236.75"/>
    <x v="0"/>
    <x v="2"/>
    <n v="0.12060012610808205"/>
  </r>
  <r>
    <x v="234"/>
    <x v="140"/>
    <s v="Neha Mishra"/>
    <s v="Consumer"/>
    <x v="3"/>
    <x v="5"/>
    <x v="3"/>
    <s v="Apparel"/>
    <x v="75"/>
    <n v="1"/>
    <n v="13497.44"/>
    <n v="12822.57"/>
    <x v="3"/>
    <n v="1813.92"/>
    <n v="178.28"/>
    <x v="3"/>
    <x v="1"/>
    <n v="0.14146306083725807"/>
  </r>
  <r>
    <x v="235"/>
    <x v="140"/>
    <s v="Karan Iyer"/>
    <s v="Small Business"/>
    <x v="0"/>
    <x v="12"/>
    <x v="1"/>
    <s v="Cookware"/>
    <x v="1"/>
    <n v="3"/>
    <n v="5518.2"/>
    <n v="14899.14"/>
    <x v="2"/>
    <n v="2340.7199999999998"/>
    <n v="175.93"/>
    <x v="1"/>
    <x v="0"/>
    <n v="0.15710436978241696"/>
  </r>
  <r>
    <x v="236"/>
    <x v="141"/>
    <s v="Kabir Desai"/>
    <s v="Consumer"/>
    <x v="1"/>
    <x v="1"/>
    <x v="3"/>
    <s v="Apparel"/>
    <x v="5"/>
    <n v="2"/>
    <n v="3807.18"/>
    <n v="5710.77"/>
    <x v="4"/>
    <n v="101.33"/>
    <n v="126.94"/>
    <x v="1"/>
    <x v="0"/>
    <n v="1.7743666790993158E-2"/>
  </r>
  <r>
    <x v="237"/>
    <x v="141"/>
    <s v="Sai Mehta"/>
    <s v="Small Business"/>
    <x v="1"/>
    <x v="3"/>
    <x v="0"/>
    <s v="Mobiles"/>
    <x v="62"/>
    <n v="2"/>
    <n v="3543.5"/>
    <n v="7087"/>
    <x v="0"/>
    <n v="734.91"/>
    <n v="351.33"/>
    <x v="4"/>
    <x v="3"/>
    <n v="0.10369832086919711"/>
  </r>
  <r>
    <x v="238"/>
    <x v="141"/>
    <s v="Kiara Sharma"/>
    <s v="Consumer"/>
    <x v="3"/>
    <x v="5"/>
    <x v="2"/>
    <s v="Academic"/>
    <x v="38"/>
    <n v="1"/>
    <n v="742.86"/>
    <n v="705.72"/>
    <x v="3"/>
    <n v="54.96"/>
    <n v="111.35"/>
    <x v="2"/>
    <x v="3"/>
    <n v="7.7877911919741541E-2"/>
  </r>
  <r>
    <x v="239"/>
    <x v="142"/>
    <s v="Anika Rao"/>
    <s v="Consumer"/>
    <x v="1"/>
    <x v="3"/>
    <x v="0"/>
    <s v="Headphones"/>
    <x v="81"/>
    <n v="2"/>
    <n v="58549.87"/>
    <n v="105389.77"/>
    <x v="2"/>
    <n v="8004.11"/>
    <n v="295.39999999999998"/>
    <x v="1"/>
    <x v="2"/>
    <n v="7.5947693974472083E-2"/>
  </r>
  <r>
    <x v="240"/>
    <x v="142"/>
    <s v="Simran Iyer"/>
    <s v="Corporate"/>
    <x v="3"/>
    <x v="7"/>
    <x v="4"/>
    <s v="Fragrances"/>
    <x v="35"/>
    <n v="3"/>
    <n v="1514.39"/>
    <n v="3861.69"/>
    <x v="1"/>
    <n v="898.22"/>
    <n v="323.29000000000002"/>
    <x v="3"/>
    <x v="3"/>
    <n v="0.23259764507249417"/>
  </r>
  <r>
    <x v="241"/>
    <x v="143"/>
    <s v="Kabir Iyer"/>
    <s v="Consumer"/>
    <x v="1"/>
    <x v="1"/>
    <x v="5"/>
    <s v="Kids Wear"/>
    <x v="52"/>
    <n v="1"/>
    <n v="2650.49"/>
    <n v="2650.49"/>
    <x v="0"/>
    <n v="537.69000000000005"/>
    <n v="305.77"/>
    <x v="0"/>
    <x v="0"/>
    <n v="0.20286437602103766"/>
  </r>
  <r>
    <x v="242"/>
    <x v="144"/>
    <s v="Saanvi Reddy"/>
    <s v="Small Business"/>
    <x v="0"/>
    <x v="4"/>
    <x v="3"/>
    <s v="Footwear"/>
    <x v="29"/>
    <n v="4"/>
    <n v="14610.06"/>
    <n v="52596.22"/>
    <x v="2"/>
    <n v="10499.51"/>
    <n v="94.97"/>
    <x v="1"/>
    <x v="3"/>
    <n v="0.1996248019344356"/>
  </r>
  <r>
    <x v="243"/>
    <x v="144"/>
    <s v="Diya Khan"/>
    <s v="Corporate"/>
    <x v="1"/>
    <x v="3"/>
    <x v="1"/>
    <s v="Cookware"/>
    <x v="80"/>
    <n v="3"/>
    <n v="577.53"/>
    <n v="1299.44"/>
    <x v="4"/>
    <n v="39.1"/>
    <n v="232.6"/>
    <x v="1"/>
    <x v="0"/>
    <n v="3.0089884873483963E-2"/>
  </r>
  <r>
    <x v="244"/>
    <x v="145"/>
    <s v="Ira Reddy"/>
    <s v="Consumer"/>
    <x v="1"/>
    <x v="3"/>
    <x v="2"/>
    <s v="Non-Fiction"/>
    <x v="64"/>
    <n v="1"/>
    <n v="666.84"/>
    <n v="466.79"/>
    <x v="6"/>
    <n v="42.69"/>
    <n v="92.4"/>
    <x v="3"/>
    <x v="0"/>
    <n v="9.1454401336789559E-2"/>
  </r>
  <r>
    <x v="245"/>
    <x v="146"/>
    <s v="Priya Chopra"/>
    <s v="Small Business"/>
    <x v="0"/>
    <x v="12"/>
    <x v="4"/>
    <s v="Haircare"/>
    <x v="53"/>
    <n v="3"/>
    <n v="2180.46"/>
    <n v="6541.38"/>
    <x v="0"/>
    <n v="1715.47"/>
    <n v="241.05"/>
    <x v="3"/>
    <x v="2"/>
    <n v="0.26224894441234115"/>
  </r>
  <r>
    <x v="246"/>
    <x v="147"/>
    <s v="Saanvi Gupta"/>
    <s v="Small Business"/>
    <x v="2"/>
    <x v="8"/>
    <x v="4"/>
    <s v="Skincare"/>
    <x v="26"/>
    <n v="4"/>
    <n v="1162.74"/>
    <n v="3255.67"/>
    <x v="6"/>
    <n v="192.34"/>
    <n v="168.61"/>
    <x v="3"/>
    <x v="1"/>
    <n v="5.9078469255176354E-2"/>
  </r>
  <r>
    <x v="247"/>
    <x v="147"/>
    <s v="Ishaan Mehta"/>
    <s v="Consumer"/>
    <x v="0"/>
    <x v="12"/>
    <x v="3"/>
    <s v="Apparel"/>
    <x v="5"/>
    <n v="4"/>
    <n v="11530.23"/>
    <n v="41508.83"/>
    <x v="2"/>
    <n v="8837.14"/>
    <n v="364.15"/>
    <x v="4"/>
    <x v="0"/>
    <n v="0.21289783402712142"/>
  </r>
  <r>
    <x v="248"/>
    <x v="148"/>
    <s v="Arjun Sharma"/>
    <s v="Consumer"/>
    <x v="2"/>
    <x v="8"/>
    <x v="4"/>
    <s v="Fragrances"/>
    <x v="79"/>
    <n v="4"/>
    <n v="1795.75"/>
    <n v="6464.7"/>
    <x v="2"/>
    <n v="1301.08"/>
    <n v="251.88"/>
    <x v="1"/>
    <x v="2"/>
    <n v="0.20125914582269866"/>
  </r>
  <r>
    <x v="249"/>
    <x v="148"/>
    <s v="Sai Joshi"/>
    <s v="Consumer"/>
    <x v="3"/>
    <x v="7"/>
    <x v="1"/>
    <s v="Decor"/>
    <x v="83"/>
    <n v="1"/>
    <n v="3715.09"/>
    <n v="3529.34"/>
    <x v="3"/>
    <n v="819.08"/>
    <n v="95.03"/>
    <x v="3"/>
    <x v="0"/>
    <n v="0.23207738557350666"/>
  </r>
  <r>
    <x v="250"/>
    <x v="148"/>
    <s v="Navya Desai"/>
    <s v="Consumer"/>
    <x v="1"/>
    <x v="1"/>
    <x v="2"/>
    <s v="Fiction"/>
    <x v="87"/>
    <n v="1"/>
    <n v="629.85"/>
    <n v="535.37"/>
    <x v="1"/>
    <n v="39.1"/>
    <n v="223.27"/>
    <x v="3"/>
    <x v="0"/>
    <n v="7.3033602928815583E-2"/>
  </r>
  <r>
    <x v="251"/>
    <x v="149"/>
    <s v="Myra Chopra"/>
    <s v="Consumer"/>
    <x v="3"/>
    <x v="7"/>
    <x v="0"/>
    <s v="Laptops"/>
    <x v="88"/>
    <n v="2"/>
    <n v="1776.14"/>
    <n v="3552.28"/>
    <x v="0"/>
    <n v="660.15"/>
    <n v="171.93"/>
    <x v="0"/>
    <x v="0"/>
    <n v="0.18583839111781728"/>
  </r>
  <r>
    <x v="252"/>
    <x v="149"/>
    <s v="Navya Mishra"/>
    <s v="Small Business"/>
    <x v="2"/>
    <x v="8"/>
    <x v="1"/>
    <s v="Decor"/>
    <x v="70"/>
    <n v="4"/>
    <n v="2738.88"/>
    <n v="9859.9699999999993"/>
    <x v="2"/>
    <n v="1026.19"/>
    <n v="335.66"/>
    <x v="0"/>
    <x v="3"/>
    <n v="0.1040763815711407"/>
  </r>
  <r>
    <x v="253"/>
    <x v="150"/>
    <s v="Dhruv Agarwal"/>
    <s v="Small Business"/>
    <x v="2"/>
    <x v="11"/>
    <x v="0"/>
    <s v="Accessories"/>
    <x v="89"/>
    <n v="3"/>
    <n v="7218.09"/>
    <n v="18406.13"/>
    <x v="1"/>
    <n v="-84.91"/>
    <n v="299.36"/>
    <x v="3"/>
    <x v="3"/>
    <n v="-4.6131370364112384E-3"/>
  </r>
  <r>
    <x v="254"/>
    <x v="150"/>
    <s v="Ira Iyer"/>
    <s v="Corporate"/>
    <x v="3"/>
    <x v="6"/>
    <x v="1"/>
    <s v="Furniture"/>
    <x v="10"/>
    <n v="2"/>
    <n v="1375.64"/>
    <n v="2751.28"/>
    <x v="0"/>
    <n v="435.62"/>
    <n v="308"/>
    <x v="4"/>
    <x v="3"/>
    <n v="0.15833357564479078"/>
  </r>
  <r>
    <x v="255"/>
    <x v="150"/>
    <s v="Ananya Reddy"/>
    <s v="Small Business"/>
    <x v="0"/>
    <x v="0"/>
    <x v="5"/>
    <s v="Men's Wear"/>
    <x v="21"/>
    <n v="4"/>
    <n v="2531.4299999999998"/>
    <n v="9113.15"/>
    <x v="2"/>
    <n v="1773.75"/>
    <n v="291.77999999999997"/>
    <x v="1"/>
    <x v="0"/>
    <n v="0.1946363222376456"/>
  </r>
  <r>
    <x v="256"/>
    <x v="151"/>
    <s v="Ira Singh"/>
    <s v="Consumer"/>
    <x v="0"/>
    <x v="4"/>
    <x v="3"/>
    <s v="Apparel"/>
    <x v="5"/>
    <n v="1"/>
    <n v="3277.67"/>
    <n v="3113.79"/>
    <x v="3"/>
    <n v="544.78"/>
    <n v="238.49"/>
    <x v="3"/>
    <x v="0"/>
    <n v="0.17495720649112495"/>
  </r>
  <r>
    <x v="257"/>
    <x v="152"/>
    <s v="Navya Verma"/>
    <s v="Corporate"/>
    <x v="3"/>
    <x v="7"/>
    <x v="0"/>
    <s v="Accessories"/>
    <x v="27"/>
    <n v="1"/>
    <n v="41439.769999999997"/>
    <n v="41439.769999999997"/>
    <x v="0"/>
    <n v="3422.32"/>
    <n v="266.7"/>
    <x v="2"/>
    <x v="0"/>
    <n v="8.2585400449857724E-2"/>
  </r>
  <r>
    <x v="258"/>
    <x v="152"/>
    <s v="Aditya Das"/>
    <s v="Consumer"/>
    <x v="0"/>
    <x v="12"/>
    <x v="3"/>
    <s v="Footwear"/>
    <x v="33"/>
    <n v="1"/>
    <n v="3252.1"/>
    <n v="2764.28"/>
    <x v="1"/>
    <n v="454.41"/>
    <n v="51.02"/>
    <x v="3"/>
    <x v="2"/>
    <n v="0.16438638632844718"/>
  </r>
  <r>
    <x v="259"/>
    <x v="152"/>
    <s v="Kiara Joshi"/>
    <s v="Consumer"/>
    <x v="3"/>
    <x v="7"/>
    <x v="0"/>
    <s v="Laptops"/>
    <x v="90"/>
    <n v="1"/>
    <n v="15032.42"/>
    <n v="11274.32"/>
    <x v="4"/>
    <n v="-1164.82"/>
    <n v="124.24"/>
    <x v="1"/>
    <x v="3"/>
    <n v="-0.10331620887113369"/>
  </r>
  <r>
    <x v="260"/>
    <x v="153"/>
    <s v="Diya Verma"/>
    <s v="Consumer"/>
    <x v="0"/>
    <x v="0"/>
    <x v="5"/>
    <s v="Women's Wear"/>
    <x v="24"/>
    <n v="4"/>
    <n v="3098.82"/>
    <n v="10535.99"/>
    <x v="1"/>
    <n v="1585.92"/>
    <n v="384.14"/>
    <x v="1"/>
    <x v="0"/>
    <n v="0.1505240608618649"/>
  </r>
  <r>
    <x v="261"/>
    <x v="153"/>
    <s v="Riya Bose"/>
    <s v="Consumer"/>
    <x v="1"/>
    <x v="13"/>
    <x v="3"/>
    <s v="Outdoor Gear"/>
    <x v="3"/>
    <n v="1"/>
    <n v="428.32"/>
    <n v="428.32"/>
    <x v="0"/>
    <n v="109.51"/>
    <n v="330.29"/>
    <x v="3"/>
    <x v="2"/>
    <n v="0.25567332835263357"/>
  </r>
  <r>
    <x v="262"/>
    <x v="153"/>
    <s v="Ananya Malhotra"/>
    <s v="Small Business"/>
    <x v="1"/>
    <x v="3"/>
    <x v="3"/>
    <s v="Gym Equipment"/>
    <x v="57"/>
    <n v="1"/>
    <n v="6527.96"/>
    <n v="5548.77"/>
    <x v="1"/>
    <n v="916.39"/>
    <n v="293.23"/>
    <x v="4"/>
    <x v="0"/>
    <n v="0.16515191655087522"/>
  </r>
  <r>
    <x v="263"/>
    <x v="154"/>
    <s v="Raj Singh"/>
    <s v="Consumer"/>
    <x v="1"/>
    <x v="13"/>
    <x v="0"/>
    <s v="Headphones"/>
    <x v="15"/>
    <n v="3"/>
    <n v="6027.18"/>
    <n v="17177.46"/>
    <x v="3"/>
    <n v="574.12"/>
    <n v="247.23"/>
    <x v="0"/>
    <x v="3"/>
    <n v="3.3422869271708393E-2"/>
  </r>
  <r>
    <x v="264"/>
    <x v="154"/>
    <s v="Vivaan Reddy"/>
    <s v="Consumer"/>
    <x v="2"/>
    <x v="2"/>
    <x v="5"/>
    <s v="Footwear"/>
    <x v="33"/>
    <n v="2"/>
    <n v="2674.76"/>
    <n v="4814.57"/>
    <x v="2"/>
    <n v="768.8"/>
    <n v="186.52"/>
    <x v="3"/>
    <x v="0"/>
    <n v="0.15968196536762369"/>
  </r>
  <r>
    <x v="265"/>
    <x v="155"/>
    <s v="Vivaan Patel"/>
    <s v="Consumer"/>
    <x v="0"/>
    <x v="4"/>
    <x v="1"/>
    <s v="Cookware"/>
    <x v="80"/>
    <n v="2"/>
    <n v="8328.06"/>
    <n v="16656.12"/>
    <x v="0"/>
    <n v="4008.15"/>
    <n v="328.07"/>
    <x v="0"/>
    <x v="3"/>
    <n v="0.24064127780059225"/>
  </r>
  <r>
    <x v="266"/>
    <x v="156"/>
    <s v="Pooja Bose"/>
    <s v="Consumer"/>
    <x v="2"/>
    <x v="11"/>
    <x v="1"/>
    <s v="Appliances"/>
    <x v="45"/>
    <n v="1"/>
    <n v="4595.1099999999997"/>
    <n v="4135.6000000000004"/>
    <x v="2"/>
    <n v="421.26"/>
    <n v="235.47"/>
    <x v="3"/>
    <x v="0"/>
    <n v="0.10186188219363573"/>
  </r>
  <r>
    <x v="267"/>
    <x v="157"/>
    <s v="Dhruv Chopra"/>
    <s v="Consumer"/>
    <x v="3"/>
    <x v="10"/>
    <x v="5"/>
    <s v="Footwear"/>
    <x v="37"/>
    <n v="1"/>
    <n v="1671.14"/>
    <n v="1253.3599999999999"/>
    <x v="4"/>
    <n v="32.82"/>
    <n v="142.19999999999999"/>
    <x v="4"/>
    <x v="3"/>
    <n v="2.6185613072062301E-2"/>
  </r>
  <r>
    <x v="268"/>
    <x v="157"/>
    <s v="Aadhya Chopra"/>
    <s v="Consumer"/>
    <x v="3"/>
    <x v="6"/>
    <x v="4"/>
    <s v="Haircare"/>
    <x v="53"/>
    <n v="1"/>
    <n v="288.38"/>
    <n v="259.54000000000002"/>
    <x v="2"/>
    <n v="55.95"/>
    <n v="233.9"/>
    <x v="3"/>
    <x v="0"/>
    <n v="0.21557370732835016"/>
  </r>
  <r>
    <x v="269"/>
    <x v="158"/>
    <s v="Raj Chopra"/>
    <s v="Consumer"/>
    <x v="3"/>
    <x v="10"/>
    <x v="2"/>
    <s v="Fiction"/>
    <x v="76"/>
    <n v="3"/>
    <n v="830.65"/>
    <n v="2491.9499999999998"/>
    <x v="0"/>
    <n v="370.01"/>
    <n v="79.66"/>
    <x v="1"/>
    <x v="3"/>
    <n v="0.14848211240193424"/>
  </r>
  <r>
    <x v="270"/>
    <x v="159"/>
    <s v="Ira Agarwal"/>
    <s v="Small Business"/>
    <x v="3"/>
    <x v="5"/>
    <x v="1"/>
    <s v="Cookware"/>
    <x v="80"/>
    <n v="4"/>
    <n v="7026.62"/>
    <n v="25295.83"/>
    <x v="2"/>
    <n v="2592.8000000000002"/>
    <n v="330.27"/>
    <x v="1"/>
    <x v="2"/>
    <n v="0.10249910756041608"/>
  </r>
  <r>
    <x v="271"/>
    <x v="159"/>
    <s v="Aadhya Chopra"/>
    <s v="Consumer"/>
    <x v="2"/>
    <x v="8"/>
    <x v="4"/>
    <s v="Haircare"/>
    <x v="77"/>
    <n v="3"/>
    <n v="1723.91"/>
    <n v="5171.7299999999996"/>
    <x v="0"/>
    <n v="1494.06"/>
    <n v="321.14999999999998"/>
    <x v="2"/>
    <x v="0"/>
    <n v="0.28888979123040065"/>
  </r>
  <r>
    <x v="272"/>
    <x v="159"/>
    <s v="Arjun Malhotra"/>
    <s v="Consumer"/>
    <x v="1"/>
    <x v="3"/>
    <x v="4"/>
    <s v="Skincare"/>
    <x v="67"/>
    <n v="1"/>
    <n v="2314.92"/>
    <n v="2199.17"/>
    <x v="3"/>
    <n v="478.39"/>
    <n v="155.59"/>
    <x v="3"/>
    <x v="0"/>
    <n v="0.21753206891690954"/>
  </r>
  <r>
    <x v="273"/>
    <x v="160"/>
    <s v="Simran Reddy"/>
    <s v="Consumer"/>
    <x v="3"/>
    <x v="6"/>
    <x v="3"/>
    <s v="Outdoor Gear"/>
    <x v="12"/>
    <n v="3"/>
    <n v="10975.02"/>
    <n v="26340.05"/>
    <x v="5"/>
    <n v="3527.83"/>
    <n v="348.22"/>
    <x v="3"/>
    <x v="3"/>
    <n v="0.13393406618438461"/>
  </r>
  <r>
    <x v="274"/>
    <x v="160"/>
    <s v="Ananya Kapoor"/>
    <s v="Consumer"/>
    <x v="0"/>
    <x v="4"/>
    <x v="4"/>
    <s v="Fragrances"/>
    <x v="35"/>
    <n v="1"/>
    <n v="211.56"/>
    <n v="211.56"/>
    <x v="0"/>
    <n v="64.37"/>
    <n v="49.23"/>
    <x v="4"/>
    <x v="2"/>
    <n v="0.30426356589147291"/>
  </r>
  <r>
    <x v="275"/>
    <x v="161"/>
    <s v="Simran Das"/>
    <s v="Consumer"/>
    <x v="0"/>
    <x v="0"/>
    <x v="4"/>
    <s v="Haircare"/>
    <x v="77"/>
    <n v="1"/>
    <n v="2211.81"/>
    <n v="2211.81"/>
    <x v="0"/>
    <n v="597.6"/>
    <n v="199.26"/>
    <x v="1"/>
    <x v="3"/>
    <n v="0.27018595629823539"/>
  </r>
  <r>
    <x v="276"/>
    <x v="161"/>
    <s v="Sai Gupta"/>
    <s v="Consumer"/>
    <x v="3"/>
    <x v="10"/>
    <x v="1"/>
    <s v="Furniture"/>
    <x v="44"/>
    <n v="1"/>
    <n v="5901.36"/>
    <n v="5901.36"/>
    <x v="0"/>
    <n v="1455.97"/>
    <n v="209.42"/>
    <x v="1"/>
    <x v="2"/>
    <n v="0.24671770574918325"/>
  </r>
  <r>
    <x v="277"/>
    <x v="162"/>
    <s v="Vivaan Kapoor"/>
    <s v="Corporate"/>
    <x v="1"/>
    <x v="1"/>
    <x v="3"/>
    <s v="Gym Equipment"/>
    <x v="51"/>
    <n v="2"/>
    <n v="5296.56"/>
    <n v="10063.459999999999"/>
    <x v="3"/>
    <n v="1778.92"/>
    <n v="212.02"/>
    <x v="0"/>
    <x v="0"/>
    <n v="0.17677021620794442"/>
  </r>
  <r>
    <x v="278"/>
    <x v="163"/>
    <s v="Priya Patel"/>
    <s v="Small Business"/>
    <x v="1"/>
    <x v="3"/>
    <x v="1"/>
    <s v="Furniture"/>
    <x v="39"/>
    <n v="1"/>
    <n v="7141.49"/>
    <n v="6784.42"/>
    <x v="3"/>
    <n v="1065.8499999999999"/>
    <n v="82.75"/>
    <x v="0"/>
    <x v="2"/>
    <n v="0.15710259683215366"/>
  </r>
  <r>
    <x v="279"/>
    <x v="164"/>
    <s v="Kabir Desai"/>
    <s v="Consumer"/>
    <x v="2"/>
    <x v="11"/>
    <x v="2"/>
    <s v="Comics"/>
    <x v="43"/>
    <n v="3"/>
    <n v="177.84"/>
    <n v="533.52"/>
    <x v="0"/>
    <n v="97.29"/>
    <n v="244.15"/>
    <x v="0"/>
    <x v="0"/>
    <n v="0.18235492577597842"/>
  </r>
  <r>
    <x v="280"/>
    <x v="164"/>
    <s v="Anika Nair"/>
    <s v="Small Business"/>
    <x v="0"/>
    <x v="0"/>
    <x v="2"/>
    <s v="Fiction"/>
    <x v="9"/>
    <n v="4"/>
    <n v="1122.79"/>
    <n v="3143.81"/>
    <x v="6"/>
    <n v="-187.67"/>
    <n v="87.61"/>
    <x v="2"/>
    <x v="0"/>
    <n v="-5.9695083354273953E-2"/>
  </r>
  <r>
    <x v="281"/>
    <x v="165"/>
    <s v="Aarav Reddy"/>
    <s v="Consumer"/>
    <x v="1"/>
    <x v="3"/>
    <x v="3"/>
    <s v="Apparel"/>
    <x v="66"/>
    <n v="2"/>
    <n v="3123.01"/>
    <n v="5309.12"/>
    <x v="1"/>
    <n v="1013.61"/>
    <n v="334.77"/>
    <x v="3"/>
    <x v="0"/>
    <n v="0.19091864565125671"/>
  </r>
  <r>
    <x v="282"/>
    <x v="166"/>
    <s v="Simran Reddy"/>
    <s v="Consumer"/>
    <x v="2"/>
    <x v="8"/>
    <x v="1"/>
    <s v="Decor"/>
    <x v="23"/>
    <n v="1"/>
    <n v="2057.36"/>
    <n v="1851.62"/>
    <x v="2"/>
    <n v="153.80000000000001"/>
    <n v="188.94"/>
    <x v="1"/>
    <x v="3"/>
    <n v="8.3062399412406437E-2"/>
  </r>
  <r>
    <x v="283"/>
    <x v="167"/>
    <s v="Rohan Malhotra"/>
    <s v="Consumer"/>
    <x v="1"/>
    <x v="13"/>
    <x v="0"/>
    <s v="Accessories"/>
    <x v="50"/>
    <n v="5"/>
    <n v="5243.32"/>
    <n v="24905.77"/>
    <x v="3"/>
    <n v="993.78"/>
    <n v="308.08"/>
    <x v="1"/>
    <x v="1"/>
    <n v="3.9901597099788522E-2"/>
  </r>
  <r>
    <x v="284"/>
    <x v="168"/>
    <s v="Simran Singh"/>
    <s v="Consumer"/>
    <x v="3"/>
    <x v="10"/>
    <x v="1"/>
    <s v="Furniture"/>
    <x v="44"/>
    <n v="2"/>
    <n v="8115.7"/>
    <n v="14608.26"/>
    <x v="2"/>
    <n v="2147.4299999999998"/>
    <n v="95.34"/>
    <x v="1"/>
    <x v="3"/>
    <n v="0.14700108021078484"/>
  </r>
  <r>
    <x v="285"/>
    <x v="168"/>
    <s v="Aditya Singh"/>
    <s v="Consumer"/>
    <x v="3"/>
    <x v="6"/>
    <x v="5"/>
    <s v="Women's Wear"/>
    <x v="24"/>
    <n v="2"/>
    <n v="3582.79"/>
    <n v="6090.74"/>
    <x v="1"/>
    <n v="457.09"/>
    <n v="268.27"/>
    <x v="1"/>
    <x v="0"/>
    <n v="7.504671025195625E-2"/>
  </r>
  <r>
    <x v="286"/>
    <x v="168"/>
    <s v="Raj Das"/>
    <s v="Corporate"/>
    <x v="3"/>
    <x v="6"/>
    <x v="2"/>
    <s v="Non-Fiction"/>
    <x v="64"/>
    <n v="3"/>
    <n v="697.32"/>
    <n v="1673.57"/>
    <x v="5"/>
    <n v="18.55"/>
    <n v="110.35"/>
    <x v="3"/>
    <x v="0"/>
    <n v="1.1084089700460693E-2"/>
  </r>
  <r>
    <x v="287"/>
    <x v="168"/>
    <s v="Rohan Iyer"/>
    <s v="Consumer"/>
    <x v="2"/>
    <x v="11"/>
    <x v="2"/>
    <s v="Comics"/>
    <x v="43"/>
    <n v="2"/>
    <n v="944.02"/>
    <n v="1793.64"/>
    <x v="3"/>
    <n v="182.05"/>
    <n v="191.73"/>
    <x v="4"/>
    <x v="0"/>
    <n v="0.10149751343636404"/>
  </r>
  <r>
    <x v="288"/>
    <x v="169"/>
    <s v="Ishaan Khan"/>
    <s v="Corporate"/>
    <x v="1"/>
    <x v="13"/>
    <x v="5"/>
    <s v="Kids Wear"/>
    <x v="65"/>
    <n v="2"/>
    <n v="3160.69"/>
    <n v="6005.31"/>
    <x v="3"/>
    <n v="1121.07"/>
    <n v="103.06"/>
    <x v="3"/>
    <x v="0"/>
    <n v="0.18667978838727722"/>
  </r>
  <r>
    <x v="289"/>
    <x v="170"/>
    <s v="Kiara Nair"/>
    <s v="Consumer"/>
    <x v="3"/>
    <x v="7"/>
    <x v="4"/>
    <s v="Makeup"/>
    <x v="59"/>
    <n v="3"/>
    <n v="972.82"/>
    <n v="2772.54"/>
    <x v="3"/>
    <n v="905.5"/>
    <n v="352.79"/>
    <x v="3"/>
    <x v="0"/>
    <n v="0.32659582909534218"/>
  </r>
  <r>
    <x v="290"/>
    <x v="171"/>
    <s v="Ishaan Mehta"/>
    <s v="Corporate"/>
    <x v="2"/>
    <x v="11"/>
    <x v="2"/>
    <s v="Non-Fiction"/>
    <x v="36"/>
    <n v="5"/>
    <n v="1031.81"/>
    <n v="5159.05"/>
    <x v="0"/>
    <n v="566.47"/>
    <n v="396.02"/>
    <x v="2"/>
    <x v="3"/>
    <n v="0.10980122309339899"/>
  </r>
  <r>
    <x v="291"/>
    <x v="171"/>
    <s v="Kiara Reddy"/>
    <s v="Corporate"/>
    <x v="1"/>
    <x v="13"/>
    <x v="5"/>
    <s v="Men's Wear"/>
    <x v="21"/>
    <n v="1"/>
    <n v="2423.14"/>
    <n v="2301.98"/>
    <x v="3"/>
    <n v="479.31"/>
    <n v="76.11"/>
    <x v="3"/>
    <x v="2"/>
    <n v="0.20821640500786279"/>
  </r>
  <r>
    <x v="292"/>
    <x v="172"/>
    <s v="Arjun Malhotra"/>
    <s v="Consumer"/>
    <x v="1"/>
    <x v="3"/>
    <x v="0"/>
    <s v="Accessories"/>
    <x v="89"/>
    <n v="1"/>
    <n v="54068.06"/>
    <n v="37847.64"/>
    <x v="6"/>
    <n v="-4365.21"/>
    <n v="331.08"/>
    <x v="1"/>
    <x v="2"/>
    <n v="-0.11533638557120074"/>
  </r>
  <r>
    <x v="293"/>
    <x v="172"/>
    <s v="Priya Patel"/>
    <s v="Consumer"/>
    <x v="0"/>
    <x v="4"/>
    <x v="5"/>
    <s v="Kids Wear"/>
    <x v="73"/>
    <n v="1"/>
    <n v="1357.49"/>
    <n v="950.24"/>
    <x v="6"/>
    <n v="-53.16"/>
    <n v="121.15"/>
    <x v="3"/>
    <x v="2"/>
    <n v="-5.5943761576022898E-2"/>
  </r>
  <r>
    <x v="294"/>
    <x v="172"/>
    <s v="Anika Malhotra"/>
    <s v="Consumer"/>
    <x v="1"/>
    <x v="3"/>
    <x v="5"/>
    <s v="Footwear"/>
    <x v="33"/>
    <n v="1"/>
    <n v="3731.29"/>
    <n v="3544.73"/>
    <x v="3"/>
    <n v="637.01"/>
    <n v="52.73"/>
    <x v="0"/>
    <x v="0"/>
    <n v="0.1797062117566077"/>
  </r>
  <r>
    <x v="295"/>
    <x v="173"/>
    <s v="Riya Desai"/>
    <s v="Consumer"/>
    <x v="2"/>
    <x v="11"/>
    <x v="0"/>
    <s v="Headphones"/>
    <x v="68"/>
    <n v="1"/>
    <n v="47599.95"/>
    <n v="47599.95"/>
    <x v="0"/>
    <n v="6535.14"/>
    <n v="196.67"/>
    <x v="3"/>
    <x v="0"/>
    <n v="0.13729300135819472"/>
  </r>
  <r>
    <x v="296"/>
    <x v="174"/>
    <s v="Karan Rao"/>
    <s v="Consumer"/>
    <x v="3"/>
    <x v="10"/>
    <x v="2"/>
    <s v="Fiction"/>
    <x v="9"/>
    <n v="1"/>
    <n v="1073.47"/>
    <n v="912.45"/>
    <x v="1"/>
    <n v="58.69"/>
    <n v="177.2"/>
    <x v="3"/>
    <x v="3"/>
    <n v="6.4321332675763052E-2"/>
  </r>
  <r>
    <x v="297"/>
    <x v="175"/>
    <s v="Aditya Khan"/>
    <s v="Small Business"/>
    <x v="1"/>
    <x v="13"/>
    <x v="3"/>
    <s v="Gym Equipment"/>
    <x v="57"/>
    <n v="1"/>
    <n v="4656.3500000000004"/>
    <n v="3957.9"/>
    <x v="1"/>
    <n v="261.94"/>
    <n v="105.87"/>
    <x v="4"/>
    <x v="2"/>
    <n v="6.6181560928775363E-2"/>
  </r>
  <r>
    <x v="298"/>
    <x v="175"/>
    <s v="Kiara Malhotra"/>
    <s v="Consumer"/>
    <x v="3"/>
    <x v="5"/>
    <x v="3"/>
    <s v="Apparel"/>
    <x v="18"/>
    <n v="2"/>
    <n v="14415.99"/>
    <n v="23065.58"/>
    <x v="5"/>
    <n v="2721.03"/>
    <n v="211.87"/>
    <x v="3"/>
    <x v="3"/>
    <n v="0.11796928583629807"/>
  </r>
  <r>
    <x v="299"/>
    <x v="176"/>
    <s v="Ishaan Mehta"/>
    <s v="Corporate"/>
    <x v="2"/>
    <x v="2"/>
    <x v="4"/>
    <s v="Makeup"/>
    <x v="71"/>
    <n v="2"/>
    <n v="1229.05"/>
    <n v="2212.29"/>
    <x v="2"/>
    <n v="377.42"/>
    <n v="215.44"/>
    <x v="3"/>
    <x v="3"/>
    <n v="0.17060150341953362"/>
  </r>
  <r>
    <x v="300"/>
    <x v="176"/>
    <s v="Vivaan Mehta"/>
    <s v="Small Business"/>
    <x v="1"/>
    <x v="3"/>
    <x v="0"/>
    <s v="Mobiles"/>
    <x v="25"/>
    <n v="1"/>
    <n v="48226.76"/>
    <n v="43404.08"/>
    <x v="2"/>
    <n v="3511.15"/>
    <n v="341.87"/>
    <x v="0"/>
    <x v="2"/>
    <n v="8.0894468907070485E-2"/>
  </r>
  <r>
    <x v="301"/>
    <x v="176"/>
    <s v="Kiara Kapoor"/>
    <s v="Consumer"/>
    <x v="1"/>
    <x v="13"/>
    <x v="2"/>
    <s v="Comics"/>
    <x v="58"/>
    <n v="1"/>
    <n v="447.45"/>
    <n v="380.33"/>
    <x v="1"/>
    <n v="37.07"/>
    <n v="158.1"/>
    <x v="1"/>
    <x v="3"/>
    <n v="9.7467988325927485E-2"/>
  </r>
  <r>
    <x v="302"/>
    <x v="177"/>
    <s v="Ira Desai"/>
    <s v="Small Business"/>
    <x v="2"/>
    <x v="2"/>
    <x v="5"/>
    <s v="Kids Wear"/>
    <x v="73"/>
    <n v="3"/>
    <n v="531.92999999999995"/>
    <n v="1595.79"/>
    <x v="0"/>
    <n v="291.5"/>
    <n v="361.56"/>
    <x v="4"/>
    <x v="0"/>
    <n v="0.18266814555799948"/>
  </r>
  <r>
    <x v="303"/>
    <x v="177"/>
    <s v="Karan Sharma"/>
    <s v="Small Business"/>
    <x v="2"/>
    <x v="11"/>
    <x v="1"/>
    <s v="Cookware"/>
    <x v="6"/>
    <n v="2"/>
    <n v="7219.46"/>
    <n v="11551.14"/>
    <x v="5"/>
    <n v="839.87"/>
    <n v="348.55"/>
    <x v="3"/>
    <x v="2"/>
    <n v="7.2708840858997467E-2"/>
  </r>
  <r>
    <x v="304"/>
    <x v="177"/>
    <s v="Navya Patel"/>
    <s v="Consumer"/>
    <x v="2"/>
    <x v="11"/>
    <x v="1"/>
    <s v="Furniture"/>
    <x v="46"/>
    <n v="1"/>
    <n v="4431.08"/>
    <n v="3987.97"/>
    <x v="2"/>
    <n v="454.61"/>
    <n v="169.33"/>
    <x v="3"/>
    <x v="3"/>
    <n v="0.11399534098802148"/>
  </r>
  <r>
    <x v="305"/>
    <x v="177"/>
    <s v="Arjun Bose"/>
    <s v="Consumer"/>
    <x v="3"/>
    <x v="6"/>
    <x v="0"/>
    <s v="Mobiles"/>
    <x v="74"/>
    <n v="1"/>
    <n v="25222.63"/>
    <n v="23961.5"/>
    <x v="3"/>
    <n v="757.88"/>
    <n v="207.39"/>
    <x v="3"/>
    <x v="0"/>
    <n v="3.1629071635749011E-2"/>
  </r>
  <r>
    <x v="306"/>
    <x v="178"/>
    <s v="Diya Mehta"/>
    <s v="Small Business"/>
    <x v="1"/>
    <x v="13"/>
    <x v="0"/>
    <s v="Headphones"/>
    <x v="81"/>
    <n v="3"/>
    <n v="8405.7800000000007"/>
    <n v="25217.34"/>
    <x v="0"/>
    <n v="2828.92"/>
    <n v="194.44"/>
    <x v="3"/>
    <x v="3"/>
    <n v="0.11218153857623366"/>
  </r>
  <r>
    <x v="307"/>
    <x v="178"/>
    <s v="Dhruv Bose"/>
    <s v="Consumer"/>
    <x v="1"/>
    <x v="1"/>
    <x v="4"/>
    <s v="Makeup"/>
    <x v="63"/>
    <n v="1"/>
    <n v="611.29"/>
    <n v="611.29"/>
    <x v="0"/>
    <n v="212.21"/>
    <n v="260.7"/>
    <x v="1"/>
    <x v="0"/>
    <n v="0.34715110667604576"/>
  </r>
  <r>
    <x v="308"/>
    <x v="178"/>
    <s v="Sai Verma"/>
    <s v="Consumer"/>
    <x v="0"/>
    <x v="12"/>
    <x v="2"/>
    <s v="Comics"/>
    <x v="43"/>
    <n v="3"/>
    <n v="677.77"/>
    <n v="2033.31"/>
    <x v="0"/>
    <n v="280.64"/>
    <n v="244.61"/>
    <x v="1"/>
    <x v="3"/>
    <n v="0.13802125598162601"/>
  </r>
  <r>
    <x v="309"/>
    <x v="178"/>
    <s v="Ananya Bose"/>
    <s v="Consumer"/>
    <x v="2"/>
    <x v="8"/>
    <x v="2"/>
    <s v="Non-Fiction"/>
    <x v="64"/>
    <n v="2"/>
    <n v="1165.96"/>
    <n v="2215.3200000000002"/>
    <x v="3"/>
    <n v="20.3"/>
    <n v="226.93"/>
    <x v="0"/>
    <x v="0"/>
    <n v="9.1634617120777122E-3"/>
  </r>
  <r>
    <x v="310"/>
    <x v="179"/>
    <s v="Anika Rao"/>
    <s v="Consumer"/>
    <x v="3"/>
    <x v="5"/>
    <x v="0"/>
    <s v="Accessories"/>
    <x v="27"/>
    <n v="2"/>
    <n v="35741.81"/>
    <n v="60761.08"/>
    <x v="1"/>
    <n v="1609.68"/>
    <n v="94.33"/>
    <x v="4"/>
    <x v="3"/>
    <n v="2.6491958339121029E-2"/>
  </r>
  <r>
    <x v="311"/>
    <x v="179"/>
    <s v="Ayaan Rao"/>
    <s v="Corporate"/>
    <x v="1"/>
    <x v="13"/>
    <x v="1"/>
    <s v="Appliances"/>
    <x v="45"/>
    <n v="2"/>
    <n v="3027.65"/>
    <n v="4541.4799999999996"/>
    <x v="4"/>
    <n v="-185.39"/>
    <n v="229.84"/>
    <x v="3"/>
    <x v="0"/>
    <n v="-4.0821494314628712E-2"/>
  </r>
  <r>
    <x v="312"/>
    <x v="179"/>
    <s v="Sai Agarwal"/>
    <s v="Small Business"/>
    <x v="1"/>
    <x v="3"/>
    <x v="0"/>
    <s v="Cameras"/>
    <x v="31"/>
    <n v="2"/>
    <n v="35794.730000000003"/>
    <n v="60851.040000000001"/>
    <x v="1"/>
    <n v="1341.01"/>
    <n v="140.22"/>
    <x v="0"/>
    <x v="3"/>
    <n v="2.2037585553180358E-2"/>
  </r>
  <r>
    <x v="313"/>
    <x v="179"/>
    <s v="Kiara Rao"/>
    <s v="Consumer"/>
    <x v="0"/>
    <x v="12"/>
    <x v="2"/>
    <s v="Non-Fiction"/>
    <x v="64"/>
    <n v="3"/>
    <n v="1060.1099999999999"/>
    <n v="2703.28"/>
    <x v="1"/>
    <n v="263.04000000000002"/>
    <n v="150.38999999999999"/>
    <x v="4"/>
    <x v="2"/>
    <n v="9.7304015862211837E-2"/>
  </r>
  <r>
    <x v="314"/>
    <x v="180"/>
    <s v="Aadhya Nair"/>
    <s v="Corporate"/>
    <x v="1"/>
    <x v="3"/>
    <x v="0"/>
    <s v="Cameras"/>
    <x v="0"/>
    <n v="2"/>
    <n v="40815.24"/>
    <n v="69385.91"/>
    <x v="1"/>
    <n v="4157.29"/>
    <n v="195.81"/>
    <x v="1"/>
    <x v="0"/>
    <n v="5.9915478517180217E-2"/>
  </r>
  <r>
    <x v="315"/>
    <x v="180"/>
    <s v="Riya Singh"/>
    <s v="Small Business"/>
    <x v="0"/>
    <x v="0"/>
    <x v="1"/>
    <s v="Cookware"/>
    <x v="1"/>
    <n v="3"/>
    <n v="9152.7000000000007"/>
    <n v="19220.669999999998"/>
    <x v="6"/>
    <n v="348.92"/>
    <n v="93"/>
    <x v="4"/>
    <x v="3"/>
    <n v="1.8153373425588183E-2"/>
  </r>
  <r>
    <x v="316"/>
    <x v="181"/>
    <s v="Neha Malhotra"/>
    <s v="Small Business"/>
    <x v="1"/>
    <x v="1"/>
    <x v="0"/>
    <s v="Mobiles"/>
    <x v="25"/>
    <n v="1"/>
    <n v="53946.44"/>
    <n v="53946.44"/>
    <x v="0"/>
    <n v="3633.41"/>
    <n v="293.93"/>
    <x v="3"/>
    <x v="3"/>
    <n v="6.7352173748629188E-2"/>
  </r>
  <r>
    <x v="317"/>
    <x v="181"/>
    <s v="Vihaan Sharma"/>
    <s v="Corporate"/>
    <x v="3"/>
    <x v="6"/>
    <x v="5"/>
    <s v="Men's Wear"/>
    <x v="55"/>
    <n v="1"/>
    <n v="4498.8"/>
    <n v="4498.8"/>
    <x v="0"/>
    <n v="1157.97"/>
    <n v="78.17"/>
    <x v="3"/>
    <x v="0"/>
    <n v="0.25739530541477729"/>
  </r>
  <r>
    <x v="318"/>
    <x v="182"/>
    <s v="Aarav Sharma"/>
    <s v="Corporate"/>
    <x v="3"/>
    <x v="6"/>
    <x v="4"/>
    <s v="Haircare"/>
    <x v="53"/>
    <n v="3"/>
    <n v="793.14"/>
    <n v="1665.59"/>
    <x v="6"/>
    <n v="173.86"/>
    <n v="104.59"/>
    <x v="0"/>
    <x v="0"/>
    <n v="0.10438343169687619"/>
  </r>
  <r>
    <x v="319"/>
    <x v="183"/>
    <s v="Diya Agarwal"/>
    <s v="Small Business"/>
    <x v="0"/>
    <x v="12"/>
    <x v="5"/>
    <s v="Kids Wear"/>
    <x v="48"/>
    <n v="1"/>
    <n v="2451.6"/>
    <n v="1961.28"/>
    <x v="5"/>
    <n v="195.39"/>
    <n v="66.569999999999993"/>
    <x v="4"/>
    <x v="3"/>
    <n v="9.9623715124816437E-2"/>
  </r>
  <r>
    <x v="320"/>
    <x v="183"/>
    <s v="Reyansh Iyer"/>
    <s v="Small Business"/>
    <x v="1"/>
    <x v="3"/>
    <x v="1"/>
    <s v="Furniture"/>
    <x v="46"/>
    <n v="1"/>
    <n v="10140.049999999999"/>
    <n v="8112.04"/>
    <x v="5"/>
    <n v="-147.74"/>
    <n v="76.02"/>
    <x v="3"/>
    <x v="3"/>
    <n v="-1.8212434849926778E-2"/>
  </r>
  <r>
    <x v="321"/>
    <x v="183"/>
    <s v="Diya Mehta"/>
    <s v="Consumer"/>
    <x v="0"/>
    <x v="0"/>
    <x v="4"/>
    <s v="Makeup"/>
    <x v="59"/>
    <n v="1"/>
    <n v="1689.29"/>
    <n v="1520.36"/>
    <x v="2"/>
    <n v="273.97000000000003"/>
    <n v="124.17"/>
    <x v="1"/>
    <x v="0"/>
    <n v="0.18020074192954302"/>
  </r>
  <r>
    <x v="322"/>
    <x v="183"/>
    <s v="Meera Joshi"/>
    <s v="Consumer"/>
    <x v="2"/>
    <x v="8"/>
    <x v="3"/>
    <s v="Footwear"/>
    <x v="33"/>
    <n v="1"/>
    <n v="5930.05"/>
    <n v="5633.55"/>
    <x v="3"/>
    <n v="925.44"/>
    <n v="162.74"/>
    <x v="0"/>
    <x v="1"/>
    <n v="0.16427297174960726"/>
  </r>
  <r>
    <x v="323"/>
    <x v="184"/>
    <s v="Ishaan Khan"/>
    <s v="Consumer"/>
    <x v="2"/>
    <x v="9"/>
    <x v="1"/>
    <s v="Decor"/>
    <x v="23"/>
    <n v="3"/>
    <n v="8241.9"/>
    <n v="22253.13"/>
    <x v="2"/>
    <n v="3733.27"/>
    <n v="286.12"/>
    <x v="1"/>
    <x v="0"/>
    <n v="0.16776381569693791"/>
  </r>
  <r>
    <x v="324"/>
    <x v="184"/>
    <s v="Kabir Iyer"/>
    <s v="Corporate"/>
    <x v="0"/>
    <x v="4"/>
    <x v="1"/>
    <s v="Appliances"/>
    <x v="7"/>
    <n v="4"/>
    <n v="7276.14"/>
    <n v="29104.560000000001"/>
    <x v="0"/>
    <n v="4846.1400000000003"/>
    <n v="356.21"/>
    <x v="2"/>
    <x v="3"/>
    <n v="0.16650792865447889"/>
  </r>
  <r>
    <x v="325"/>
    <x v="184"/>
    <s v="Diya Desai"/>
    <s v="Consumer"/>
    <x v="3"/>
    <x v="5"/>
    <x v="0"/>
    <s v="Accessories"/>
    <x v="89"/>
    <n v="5"/>
    <n v="27463.62"/>
    <n v="116720.38"/>
    <x v="1"/>
    <n v="512.13"/>
    <n v="370.96"/>
    <x v="1"/>
    <x v="0"/>
    <n v="4.3876656330282676E-3"/>
  </r>
  <r>
    <x v="326"/>
    <x v="184"/>
    <s v="Vihaan Patel"/>
    <s v="Corporate"/>
    <x v="3"/>
    <x v="6"/>
    <x v="3"/>
    <s v="Apparel"/>
    <x v="18"/>
    <n v="2"/>
    <n v="1164.6199999999999"/>
    <n v="2329.2399999999998"/>
    <x v="0"/>
    <n v="400.67"/>
    <n v="47.2"/>
    <x v="3"/>
    <x v="0"/>
    <n v="0.17201748209716478"/>
  </r>
  <r>
    <x v="327"/>
    <x v="184"/>
    <s v="Diya Bose"/>
    <s v="Consumer"/>
    <x v="1"/>
    <x v="13"/>
    <x v="0"/>
    <s v="Mobiles"/>
    <x v="4"/>
    <n v="2"/>
    <n v="18866.509999999998"/>
    <n v="37733.019999999997"/>
    <x v="0"/>
    <n v="4174.68"/>
    <n v="359.73"/>
    <x v="3"/>
    <x v="3"/>
    <n v="0.11063731447946654"/>
  </r>
  <r>
    <x v="328"/>
    <x v="185"/>
    <s v="Anika Mishra"/>
    <s v="Corporate"/>
    <x v="0"/>
    <x v="4"/>
    <x v="2"/>
    <s v="Comics"/>
    <x v="58"/>
    <n v="4"/>
    <n v="1045.19"/>
    <n v="3135.57"/>
    <x v="4"/>
    <n v="82.11"/>
    <n v="117.36"/>
    <x v="2"/>
    <x v="0"/>
    <n v="2.6186626355016791E-2"/>
  </r>
  <r>
    <x v="329"/>
    <x v="186"/>
    <s v="Ayaan Patel"/>
    <s v="Small Business"/>
    <x v="2"/>
    <x v="2"/>
    <x v="2"/>
    <s v="Non-Fiction"/>
    <x v="64"/>
    <n v="1"/>
    <n v="632.15"/>
    <n v="632.15"/>
    <x v="0"/>
    <n v="145.22999999999999"/>
    <n v="153.13999999999999"/>
    <x v="2"/>
    <x v="2"/>
    <n v="0.22973977695167286"/>
  </r>
  <r>
    <x v="330"/>
    <x v="186"/>
    <s v="Neha Singh"/>
    <s v="Corporate"/>
    <x v="0"/>
    <x v="0"/>
    <x v="4"/>
    <s v="Skincare"/>
    <x v="67"/>
    <n v="1"/>
    <n v="1535.35"/>
    <n v="1381.82"/>
    <x v="2"/>
    <n v="323.14999999999998"/>
    <n v="232.32"/>
    <x v="1"/>
    <x v="1"/>
    <n v="0.23385824492336194"/>
  </r>
  <r>
    <x v="331"/>
    <x v="187"/>
    <s v="Ira Mehta"/>
    <s v="Corporate"/>
    <x v="1"/>
    <x v="3"/>
    <x v="2"/>
    <s v="Academic"/>
    <x v="91"/>
    <n v="3"/>
    <n v="198.43"/>
    <n v="595.29"/>
    <x v="0"/>
    <n v="38.69"/>
    <n v="323.85000000000002"/>
    <x v="0"/>
    <x v="1"/>
    <n v="6.4993532563960427E-2"/>
  </r>
  <r>
    <x v="332"/>
    <x v="188"/>
    <s v="Saanvi Chopra"/>
    <s v="Consumer"/>
    <x v="2"/>
    <x v="9"/>
    <x v="4"/>
    <s v="Makeup"/>
    <x v="20"/>
    <n v="2"/>
    <n v="546.09"/>
    <n v="982.96"/>
    <x v="2"/>
    <n v="213.54"/>
    <n v="205.49"/>
    <x v="2"/>
    <x v="0"/>
    <n v="0.21724180027671522"/>
  </r>
  <r>
    <x v="333"/>
    <x v="188"/>
    <s v="Raj Gupta"/>
    <s v="Small Business"/>
    <x v="0"/>
    <x v="0"/>
    <x v="1"/>
    <s v="Cookware"/>
    <x v="78"/>
    <n v="1"/>
    <n v="4143.63"/>
    <n v="3936.45"/>
    <x v="3"/>
    <n v="363.69"/>
    <n v="59.47"/>
    <x v="1"/>
    <x v="0"/>
    <n v="9.2390351712837715E-2"/>
  </r>
  <r>
    <x v="334"/>
    <x v="188"/>
    <s v="Dhruv Sharma"/>
    <s v="Consumer"/>
    <x v="2"/>
    <x v="2"/>
    <x v="4"/>
    <s v="Fragrances"/>
    <x v="41"/>
    <n v="4"/>
    <n v="341.1"/>
    <n v="1227.96"/>
    <x v="2"/>
    <n v="255.99"/>
    <n v="324.83999999999997"/>
    <x v="1"/>
    <x v="0"/>
    <n v="0.20846770253102706"/>
  </r>
  <r>
    <x v="335"/>
    <x v="188"/>
    <s v="Kabir Iyer"/>
    <s v="Small Business"/>
    <x v="2"/>
    <x v="8"/>
    <x v="0"/>
    <s v="Cameras"/>
    <x v="47"/>
    <n v="1"/>
    <n v="48031.1"/>
    <n v="43227.99"/>
    <x v="2"/>
    <n v="-4626.2299999999996"/>
    <n v="274.02999999999997"/>
    <x v="3"/>
    <x v="3"/>
    <n v="-0.10701931780774447"/>
  </r>
  <r>
    <x v="336"/>
    <x v="189"/>
    <s v="Meera Das"/>
    <s v="Small Business"/>
    <x v="3"/>
    <x v="6"/>
    <x v="5"/>
    <s v="Kids Wear"/>
    <x v="48"/>
    <n v="3"/>
    <n v="2889.3"/>
    <n v="7801.11"/>
    <x v="2"/>
    <n v="1221.97"/>
    <n v="110.12"/>
    <x v="3"/>
    <x v="3"/>
    <n v="0.15664052936056536"/>
  </r>
  <r>
    <x v="337"/>
    <x v="189"/>
    <s v="Simran Chopra"/>
    <s v="Small Business"/>
    <x v="0"/>
    <x v="4"/>
    <x v="3"/>
    <s v="Gym Equipment"/>
    <x v="92"/>
    <n v="1"/>
    <n v="6704.74"/>
    <n v="4693.32"/>
    <x v="6"/>
    <n v="165.58"/>
    <n v="117.8"/>
    <x v="3"/>
    <x v="3"/>
    <n v="3.5279929772527766E-2"/>
  </r>
  <r>
    <x v="338"/>
    <x v="190"/>
    <s v="Vihaan Iyer"/>
    <s v="Consumer"/>
    <x v="1"/>
    <x v="1"/>
    <x v="3"/>
    <s v="Gym Equipment"/>
    <x v="92"/>
    <n v="2"/>
    <n v="5407.62"/>
    <n v="9733.7199999999993"/>
    <x v="2"/>
    <n v="1441.1"/>
    <n v="177.54"/>
    <x v="1"/>
    <x v="0"/>
    <n v="0.1480523376468606"/>
  </r>
  <r>
    <x v="339"/>
    <x v="190"/>
    <s v="Navya Bose"/>
    <s v="Consumer"/>
    <x v="1"/>
    <x v="3"/>
    <x v="1"/>
    <s v="Decor"/>
    <x v="23"/>
    <n v="3"/>
    <n v="1864.67"/>
    <n v="5594.01"/>
    <x v="0"/>
    <n v="886.2"/>
    <n v="276.38"/>
    <x v="0"/>
    <x v="3"/>
    <n v="0.15841945223551621"/>
  </r>
  <r>
    <x v="340"/>
    <x v="190"/>
    <s v="Arjun Patel"/>
    <s v="Consumer"/>
    <x v="2"/>
    <x v="9"/>
    <x v="1"/>
    <s v="Appliances"/>
    <x v="7"/>
    <n v="1"/>
    <n v="6588.15"/>
    <n v="5270.52"/>
    <x v="5"/>
    <n v="364.16"/>
    <n v="78.540000000000006"/>
    <x v="3"/>
    <x v="3"/>
    <n v="6.9093751660177741E-2"/>
  </r>
  <r>
    <x v="341"/>
    <x v="190"/>
    <s v="Aadhya Singh"/>
    <s v="Small Business"/>
    <x v="2"/>
    <x v="11"/>
    <x v="5"/>
    <s v="Kids Wear"/>
    <x v="65"/>
    <n v="2"/>
    <n v="2498.2399999999998"/>
    <n v="4996.4799999999996"/>
    <x v="0"/>
    <n v="1058.21"/>
    <n v="81.73"/>
    <x v="1"/>
    <x v="3"/>
    <n v="0.21179110093505832"/>
  </r>
  <r>
    <x v="342"/>
    <x v="190"/>
    <s v="Navya Patel"/>
    <s v="Consumer"/>
    <x v="1"/>
    <x v="3"/>
    <x v="1"/>
    <s v="Appliances"/>
    <x v="16"/>
    <n v="3"/>
    <n v="7844.12"/>
    <n v="16472.650000000001"/>
    <x v="6"/>
    <n v="-134.52000000000001"/>
    <n v="274.87"/>
    <x v="3"/>
    <x v="0"/>
    <n v="-8.1662634730902441E-3"/>
  </r>
  <r>
    <x v="343"/>
    <x v="190"/>
    <s v="Aadhya Mehta"/>
    <s v="Corporate"/>
    <x v="1"/>
    <x v="1"/>
    <x v="4"/>
    <s v="Skincare"/>
    <x v="26"/>
    <n v="1"/>
    <n v="2322.34"/>
    <n v="2206.2199999999998"/>
    <x v="3"/>
    <n v="823.46"/>
    <n v="274.74"/>
    <x v="3"/>
    <x v="2"/>
    <n v="0.37324473533917746"/>
  </r>
  <r>
    <x v="344"/>
    <x v="191"/>
    <s v="Navya Rao"/>
    <s v="Consumer"/>
    <x v="3"/>
    <x v="7"/>
    <x v="0"/>
    <s v="Headphones"/>
    <x v="15"/>
    <n v="1"/>
    <n v="9738.25"/>
    <n v="8764.43"/>
    <x v="2"/>
    <n v="740.56"/>
    <n v="231.46"/>
    <x v="2"/>
    <x v="0"/>
    <n v="8.4496082460582142E-2"/>
  </r>
  <r>
    <x v="345"/>
    <x v="191"/>
    <s v="Neha Rao"/>
    <s v="Consumer"/>
    <x v="2"/>
    <x v="8"/>
    <x v="0"/>
    <s v="Mobiles"/>
    <x v="74"/>
    <n v="2"/>
    <n v="57081.34"/>
    <n v="97038.28"/>
    <x v="1"/>
    <n v="6857.61"/>
    <n v="217.51"/>
    <x v="1"/>
    <x v="3"/>
    <n v="7.0669121505451252E-2"/>
  </r>
  <r>
    <x v="346"/>
    <x v="192"/>
    <s v="Myra Reddy"/>
    <s v="Consumer"/>
    <x v="3"/>
    <x v="7"/>
    <x v="3"/>
    <s v="Gym Equipment"/>
    <x v="13"/>
    <n v="2"/>
    <n v="13517.24"/>
    <n v="27034.48"/>
    <x v="0"/>
    <n v="5647.54"/>
    <n v="222"/>
    <x v="3"/>
    <x v="3"/>
    <n v="0.20890137335728301"/>
  </r>
  <r>
    <x v="347"/>
    <x v="192"/>
    <s v="Meera Desai"/>
    <s v="Small Business"/>
    <x v="1"/>
    <x v="3"/>
    <x v="3"/>
    <s v="Footwear"/>
    <x v="33"/>
    <n v="3"/>
    <n v="6905.41"/>
    <n v="15537.17"/>
    <x v="4"/>
    <n v="-414.28"/>
    <n v="211.77"/>
    <x v="2"/>
    <x v="2"/>
    <n v="-2.6663800421827141E-2"/>
  </r>
  <r>
    <x v="348"/>
    <x v="193"/>
    <s v="Ishaan Agarwal"/>
    <s v="Consumer"/>
    <x v="2"/>
    <x v="9"/>
    <x v="3"/>
    <s v="Gym Equipment"/>
    <x v="51"/>
    <n v="1"/>
    <n v="8265.09"/>
    <n v="8265.09"/>
    <x v="0"/>
    <n v="2077.42"/>
    <n v="55.37"/>
    <x v="3"/>
    <x v="0"/>
    <n v="0.25134874514373107"/>
  </r>
  <r>
    <x v="349"/>
    <x v="193"/>
    <s v="Myra Rao"/>
    <s v="Corporate"/>
    <x v="3"/>
    <x v="5"/>
    <x v="3"/>
    <s v="Outdoor Gear"/>
    <x v="34"/>
    <n v="1"/>
    <n v="10842.02"/>
    <n v="7589.41"/>
    <x v="6"/>
    <n v="600.30999999999995"/>
    <n v="336.9"/>
    <x v="2"/>
    <x v="2"/>
    <n v="7.9098375236019661E-2"/>
  </r>
  <r>
    <x v="350"/>
    <x v="194"/>
    <s v="Neha Rao"/>
    <s v="Corporate"/>
    <x v="1"/>
    <x v="3"/>
    <x v="4"/>
    <s v="Haircare"/>
    <x v="77"/>
    <n v="2"/>
    <n v="2235.17"/>
    <n v="4023.31"/>
    <x v="2"/>
    <n v="706.24"/>
    <n v="135.12"/>
    <x v="4"/>
    <x v="0"/>
    <n v="0.17553705779569559"/>
  </r>
  <r>
    <x v="351"/>
    <x v="195"/>
    <s v="Myra Desai"/>
    <s v="Corporate"/>
    <x v="3"/>
    <x v="6"/>
    <x v="0"/>
    <s v="Cameras"/>
    <x v="47"/>
    <n v="2"/>
    <n v="44721.37"/>
    <n v="89442.74"/>
    <x v="0"/>
    <n v="12413.61"/>
    <n v="231.75"/>
    <x v="3"/>
    <x v="3"/>
    <n v="0.13878834660029421"/>
  </r>
  <r>
    <x v="352"/>
    <x v="195"/>
    <s v="Ira Patel"/>
    <s v="Small Business"/>
    <x v="1"/>
    <x v="13"/>
    <x v="5"/>
    <s v="Footwear"/>
    <x v="37"/>
    <n v="1"/>
    <n v="3851.54"/>
    <n v="3273.81"/>
    <x v="1"/>
    <n v="182.51"/>
    <n v="251.6"/>
    <x v="0"/>
    <x v="3"/>
    <n v="5.5748500982036216E-2"/>
  </r>
  <r>
    <x v="353"/>
    <x v="195"/>
    <s v="Sai Kapoor"/>
    <s v="Consumer"/>
    <x v="3"/>
    <x v="10"/>
    <x v="5"/>
    <s v="Women's Wear"/>
    <x v="24"/>
    <n v="2"/>
    <n v="3686.9"/>
    <n v="7373.8"/>
    <x v="0"/>
    <n v="1383.6"/>
    <n v="296.61"/>
    <x v="0"/>
    <x v="0"/>
    <n v="0.18763731047763701"/>
  </r>
  <r>
    <x v="354"/>
    <x v="195"/>
    <s v="Krishna Bose"/>
    <s v="Consumer"/>
    <x v="2"/>
    <x v="2"/>
    <x v="4"/>
    <s v="Fragrances"/>
    <x v="41"/>
    <n v="1"/>
    <n v="1045.9000000000001"/>
    <n v="993.61"/>
    <x v="3"/>
    <n v="190.34"/>
    <n v="232.34"/>
    <x v="0"/>
    <x v="3"/>
    <n v="0.19156409456426565"/>
  </r>
  <r>
    <x v="355"/>
    <x v="195"/>
    <s v="Ananya Singh"/>
    <s v="Consumer"/>
    <x v="1"/>
    <x v="13"/>
    <x v="0"/>
    <s v="Accessories"/>
    <x v="27"/>
    <n v="1"/>
    <n v="26894.78"/>
    <n v="21515.82"/>
    <x v="5"/>
    <n v="-824.32"/>
    <n v="196.28"/>
    <x v="1"/>
    <x v="3"/>
    <n v="-3.831227441017819E-2"/>
  </r>
  <r>
    <x v="356"/>
    <x v="195"/>
    <s v="Rohan Nair"/>
    <s v="Small Business"/>
    <x v="0"/>
    <x v="0"/>
    <x v="1"/>
    <s v="Appliances"/>
    <x v="40"/>
    <n v="2"/>
    <n v="3831.56"/>
    <n v="6896.81"/>
    <x v="2"/>
    <n v="1052.68"/>
    <n v="247.79"/>
    <x v="0"/>
    <x v="3"/>
    <n v="0.152632883898498"/>
  </r>
  <r>
    <x v="357"/>
    <x v="196"/>
    <s v="Vivaan Gupta"/>
    <s v="Consumer"/>
    <x v="3"/>
    <x v="6"/>
    <x v="0"/>
    <s v="Cameras"/>
    <x v="0"/>
    <n v="1"/>
    <n v="18861.61"/>
    <n v="17918.53"/>
    <x v="3"/>
    <n v="1219.8"/>
    <n v="219.55"/>
    <x v="1"/>
    <x v="2"/>
    <n v="6.8074780687924732E-2"/>
  </r>
  <r>
    <x v="358"/>
    <x v="196"/>
    <s v="Ira Kapoor"/>
    <s v="Consumer"/>
    <x v="2"/>
    <x v="8"/>
    <x v="0"/>
    <s v="Cameras"/>
    <x v="8"/>
    <n v="2"/>
    <n v="32874.22"/>
    <n v="65748.44"/>
    <x v="0"/>
    <n v="11269.39"/>
    <n v="184.79"/>
    <x v="4"/>
    <x v="0"/>
    <n v="0.17140163325548102"/>
  </r>
  <r>
    <x v="359"/>
    <x v="196"/>
    <s v="Pooja Singh"/>
    <s v="Consumer"/>
    <x v="1"/>
    <x v="1"/>
    <x v="3"/>
    <s v="Apparel"/>
    <x v="66"/>
    <n v="1"/>
    <n v="4288.7"/>
    <n v="4288.7"/>
    <x v="0"/>
    <n v="784.92"/>
    <n v="147.9"/>
    <x v="1"/>
    <x v="3"/>
    <n v="0.18302049572131415"/>
  </r>
  <r>
    <x v="360"/>
    <x v="196"/>
    <s v="Meera Sharma"/>
    <s v="Corporate"/>
    <x v="3"/>
    <x v="10"/>
    <x v="0"/>
    <s v="Accessories"/>
    <x v="50"/>
    <n v="2"/>
    <n v="12180.66"/>
    <n v="20707.12"/>
    <x v="1"/>
    <n v="713.63"/>
    <n v="341.17"/>
    <x v="1"/>
    <x v="2"/>
    <n v="3.4463025278261776E-2"/>
  </r>
  <r>
    <x v="361"/>
    <x v="197"/>
    <s v="Ayaan Khan"/>
    <s v="Consumer"/>
    <x v="1"/>
    <x v="1"/>
    <x v="4"/>
    <s v="Haircare"/>
    <x v="53"/>
    <n v="2"/>
    <n v="1239.48"/>
    <n v="1859.22"/>
    <x v="4"/>
    <n v="293.06"/>
    <n v="244.71"/>
    <x v="4"/>
    <x v="0"/>
    <n v="0.15762524069233333"/>
  </r>
  <r>
    <x v="362"/>
    <x v="197"/>
    <s v="Vihaan Mehta"/>
    <s v="Corporate"/>
    <x v="0"/>
    <x v="0"/>
    <x v="0"/>
    <s v="Headphones"/>
    <x v="84"/>
    <n v="2"/>
    <n v="1755.45"/>
    <n v="2808.72"/>
    <x v="5"/>
    <n v="-113.95"/>
    <n v="246.79"/>
    <x v="1"/>
    <x v="3"/>
    <n v="-4.0570081745421406E-2"/>
  </r>
  <r>
    <x v="363"/>
    <x v="197"/>
    <s v="Simran Bose"/>
    <s v="Consumer"/>
    <x v="2"/>
    <x v="8"/>
    <x v="2"/>
    <s v="Comics"/>
    <x v="43"/>
    <n v="3"/>
    <n v="247.94"/>
    <n v="706.63"/>
    <x v="3"/>
    <n v="114.13"/>
    <n v="368.42"/>
    <x v="1"/>
    <x v="2"/>
    <n v="0.16151309737769412"/>
  </r>
  <r>
    <x v="364"/>
    <x v="197"/>
    <s v="Navya Iyer"/>
    <s v="Corporate"/>
    <x v="3"/>
    <x v="6"/>
    <x v="1"/>
    <s v="Appliances"/>
    <x v="16"/>
    <n v="4"/>
    <n v="10196.59"/>
    <n v="36707.72"/>
    <x v="2"/>
    <n v="1034.0899999999999"/>
    <n v="314.14"/>
    <x v="1"/>
    <x v="3"/>
    <n v="2.8170913366452614E-2"/>
  </r>
  <r>
    <x v="365"/>
    <x v="198"/>
    <s v="Reyansh Sharma"/>
    <s v="Corporate"/>
    <x v="2"/>
    <x v="2"/>
    <x v="1"/>
    <s v="Cookware"/>
    <x v="80"/>
    <n v="2"/>
    <n v="1342.26"/>
    <n v="2550.29"/>
    <x v="3"/>
    <n v="459.72"/>
    <n v="229.9"/>
    <x v="3"/>
    <x v="2"/>
    <n v="0.18026185257362889"/>
  </r>
  <r>
    <x v="366"/>
    <x v="199"/>
    <s v="Neha Mehta"/>
    <s v="Consumer"/>
    <x v="1"/>
    <x v="13"/>
    <x v="2"/>
    <s v="Comics"/>
    <x v="43"/>
    <n v="1"/>
    <n v="879.17"/>
    <n v="879.17"/>
    <x v="0"/>
    <n v="82.62"/>
    <n v="139.06"/>
    <x v="4"/>
    <x v="0"/>
    <n v="9.3974999146922672E-2"/>
  </r>
  <r>
    <x v="367"/>
    <x v="199"/>
    <s v="Kabir Singh"/>
    <s v="Small Business"/>
    <x v="3"/>
    <x v="7"/>
    <x v="4"/>
    <s v="Fragrances"/>
    <x v="19"/>
    <n v="3"/>
    <n v="1852.39"/>
    <n v="4167.88"/>
    <x v="4"/>
    <n v="710.77"/>
    <n v="72.98"/>
    <x v="0"/>
    <x v="2"/>
    <n v="0.1705351401671833"/>
  </r>
  <r>
    <x v="368"/>
    <x v="199"/>
    <s v="Vivaan Bose"/>
    <s v="Consumer"/>
    <x v="2"/>
    <x v="2"/>
    <x v="4"/>
    <s v="Fragrances"/>
    <x v="41"/>
    <n v="4"/>
    <n v="1932.77"/>
    <n v="7344.53"/>
    <x v="3"/>
    <n v="1660.83"/>
    <n v="195.4"/>
    <x v="3"/>
    <x v="3"/>
    <n v="0.22613155641000854"/>
  </r>
  <r>
    <x v="369"/>
    <x v="200"/>
    <s v="Riya Kapoor"/>
    <s v="Corporate"/>
    <x v="1"/>
    <x v="3"/>
    <x v="1"/>
    <s v="Furniture"/>
    <x v="10"/>
    <n v="2"/>
    <n v="7533.42"/>
    <n v="14313.5"/>
    <x v="3"/>
    <n v="1954.63"/>
    <n v="277.35000000000002"/>
    <x v="3"/>
    <x v="2"/>
    <n v="0.13655849372969575"/>
  </r>
  <r>
    <x v="370"/>
    <x v="200"/>
    <s v="Reyansh Verma"/>
    <s v="Consumer"/>
    <x v="0"/>
    <x v="4"/>
    <x v="0"/>
    <s v="Accessories"/>
    <x v="50"/>
    <n v="2"/>
    <n v="47677.71"/>
    <n v="85819.88"/>
    <x v="2"/>
    <n v="6277.21"/>
    <n v="101.78"/>
    <x v="1"/>
    <x v="1"/>
    <n v="7.314400812492397E-2"/>
  </r>
  <r>
    <x v="371"/>
    <x v="200"/>
    <s v="Kabir Mishra"/>
    <s v="Small Business"/>
    <x v="3"/>
    <x v="5"/>
    <x v="4"/>
    <s v="Haircare"/>
    <x v="53"/>
    <n v="1"/>
    <n v="718.75"/>
    <n v="718.75"/>
    <x v="0"/>
    <n v="195.95"/>
    <n v="150.61000000000001"/>
    <x v="1"/>
    <x v="0"/>
    <n v="0.27262608695652174"/>
  </r>
  <r>
    <x v="372"/>
    <x v="201"/>
    <s v="Sai Kapoor"/>
    <s v="Small Business"/>
    <x v="3"/>
    <x v="7"/>
    <x v="0"/>
    <s v="Laptops"/>
    <x v="90"/>
    <n v="1"/>
    <n v="2807.7"/>
    <n v="2246.16"/>
    <x v="5"/>
    <n v="-125.14"/>
    <n v="143.55000000000001"/>
    <x v="1"/>
    <x v="0"/>
    <n v="-5.571286106065463E-2"/>
  </r>
  <r>
    <x v="373"/>
    <x v="201"/>
    <s v="Diya Sharma"/>
    <s v="Corporate"/>
    <x v="2"/>
    <x v="11"/>
    <x v="4"/>
    <s v="Fragrances"/>
    <x v="79"/>
    <n v="4"/>
    <n v="337.87"/>
    <n v="1148.76"/>
    <x v="1"/>
    <n v="215.08"/>
    <n v="116.91"/>
    <x v="3"/>
    <x v="2"/>
    <n v="0.18722796754761659"/>
  </r>
  <r>
    <x v="374"/>
    <x v="201"/>
    <s v="Riya Mishra"/>
    <s v="Consumer"/>
    <x v="1"/>
    <x v="13"/>
    <x v="1"/>
    <s v="Decor"/>
    <x v="83"/>
    <n v="1"/>
    <n v="3122.22"/>
    <n v="2966.11"/>
    <x v="3"/>
    <n v="672.95"/>
    <n v="312.79000000000002"/>
    <x v="1"/>
    <x v="0"/>
    <n v="0.22687965045126446"/>
  </r>
  <r>
    <x v="375"/>
    <x v="201"/>
    <s v="Vihaan Joshi"/>
    <s v="Small Business"/>
    <x v="3"/>
    <x v="5"/>
    <x v="0"/>
    <s v="Accessories"/>
    <x v="89"/>
    <n v="1"/>
    <n v="44911.57"/>
    <n v="44911.57"/>
    <x v="0"/>
    <n v="3747.18"/>
    <n v="129.13999999999999"/>
    <x v="1"/>
    <x v="0"/>
    <n v="8.343462497525693E-2"/>
  </r>
  <r>
    <x v="376"/>
    <x v="202"/>
    <s v="Ira Das"/>
    <s v="Consumer"/>
    <x v="1"/>
    <x v="3"/>
    <x v="5"/>
    <s v="Women's Wear"/>
    <x v="86"/>
    <n v="1"/>
    <n v="693.42"/>
    <n v="485.39"/>
    <x v="6"/>
    <n v="18.149999999999999"/>
    <n v="126.78"/>
    <x v="0"/>
    <x v="0"/>
    <n v="3.7392612126331402E-2"/>
  </r>
  <r>
    <x v="377"/>
    <x v="202"/>
    <s v="Aadhya Mishra"/>
    <s v="Consumer"/>
    <x v="0"/>
    <x v="12"/>
    <x v="1"/>
    <s v="Cookware"/>
    <x v="78"/>
    <n v="3"/>
    <n v="7954.3"/>
    <n v="22669.759999999998"/>
    <x v="3"/>
    <n v="3560.33"/>
    <n v="94.11"/>
    <x v="0"/>
    <x v="0"/>
    <n v="0.15705194938102565"/>
  </r>
  <r>
    <x v="378"/>
    <x v="202"/>
    <s v="Ira Reddy"/>
    <s v="Consumer"/>
    <x v="1"/>
    <x v="13"/>
    <x v="3"/>
    <s v="Gym Equipment"/>
    <x v="92"/>
    <n v="1"/>
    <n v="4923.68"/>
    <n v="4923.68"/>
    <x v="0"/>
    <n v="837.62"/>
    <n v="35.04"/>
    <x v="1"/>
    <x v="0"/>
    <n v="0.17012072271146783"/>
  </r>
  <r>
    <x v="379"/>
    <x v="203"/>
    <s v="Aarav Desai"/>
    <s v="Corporate"/>
    <x v="2"/>
    <x v="11"/>
    <x v="1"/>
    <s v="Furniture"/>
    <x v="39"/>
    <n v="3"/>
    <n v="8242.82"/>
    <n v="21019.19"/>
    <x v="1"/>
    <n v="863.41"/>
    <n v="236.15"/>
    <x v="3"/>
    <x v="1"/>
    <n v="4.1077225145212545E-2"/>
  </r>
  <r>
    <x v="380"/>
    <x v="203"/>
    <s v="Navya Desai"/>
    <s v="Consumer"/>
    <x v="1"/>
    <x v="1"/>
    <x v="2"/>
    <s v="Academic"/>
    <x v="2"/>
    <n v="4"/>
    <n v="189.22"/>
    <n v="605.5"/>
    <x v="5"/>
    <n v="28.98"/>
    <n v="338.23"/>
    <x v="2"/>
    <x v="0"/>
    <n v="4.7861271676300582E-2"/>
  </r>
  <r>
    <x v="381"/>
    <x v="203"/>
    <s v="Priya Nair"/>
    <s v="Small Business"/>
    <x v="3"/>
    <x v="5"/>
    <x v="3"/>
    <s v="Footwear"/>
    <x v="37"/>
    <n v="1"/>
    <n v="8147.57"/>
    <n v="7740.19"/>
    <x v="3"/>
    <n v="1116.04"/>
    <n v="298.33999999999997"/>
    <x v="3"/>
    <x v="0"/>
    <n v="0.14418767497955476"/>
  </r>
  <r>
    <x v="382"/>
    <x v="203"/>
    <s v="Priya Sharma"/>
    <s v="Consumer"/>
    <x v="3"/>
    <x v="6"/>
    <x v="4"/>
    <s v="Fragrances"/>
    <x v="79"/>
    <n v="3"/>
    <n v="1761.46"/>
    <n v="4755.9399999999996"/>
    <x v="2"/>
    <n v="1174.08"/>
    <n v="334.34"/>
    <x v="2"/>
    <x v="2"/>
    <n v="0.24686602438214109"/>
  </r>
  <r>
    <x v="383"/>
    <x v="204"/>
    <s v="Kabir Chopra"/>
    <s v="Small Business"/>
    <x v="0"/>
    <x v="0"/>
    <x v="2"/>
    <s v="Academic"/>
    <x v="2"/>
    <n v="3"/>
    <n v="1090.8399999999999"/>
    <n v="2454.39"/>
    <x v="4"/>
    <n v="-140.97999999999999"/>
    <n v="321.77"/>
    <x v="3"/>
    <x v="3"/>
    <n v="-5.7439934158793018E-2"/>
  </r>
  <r>
    <x v="384"/>
    <x v="204"/>
    <s v="Vivaan Desai"/>
    <s v="Consumer"/>
    <x v="1"/>
    <x v="3"/>
    <x v="3"/>
    <s v="Outdoor Gear"/>
    <x v="12"/>
    <n v="2"/>
    <n v="6231.42"/>
    <n v="11216.56"/>
    <x v="2"/>
    <n v="1102.94"/>
    <n v="170.36"/>
    <x v="1"/>
    <x v="0"/>
    <n v="9.8331395722039569E-2"/>
  </r>
  <r>
    <x v="385"/>
    <x v="204"/>
    <s v="Myra Chopra"/>
    <s v="Corporate"/>
    <x v="1"/>
    <x v="3"/>
    <x v="1"/>
    <s v="Furniture"/>
    <x v="39"/>
    <n v="1"/>
    <n v="11885.72"/>
    <n v="10697.15"/>
    <x v="2"/>
    <n v="969.94"/>
    <n v="237.22"/>
    <x v="1"/>
    <x v="0"/>
    <n v="9.0672749283687723E-2"/>
  </r>
  <r>
    <x v="386"/>
    <x v="205"/>
    <s v="Arjun Patel"/>
    <s v="Consumer"/>
    <x v="1"/>
    <x v="1"/>
    <x v="2"/>
    <s v="Non-Fiction"/>
    <x v="28"/>
    <n v="5"/>
    <n v="622.87"/>
    <n v="2802.91"/>
    <x v="2"/>
    <n v="187.92"/>
    <n v="329.62"/>
    <x v="0"/>
    <x v="1"/>
    <n v="6.7044607211790605E-2"/>
  </r>
  <r>
    <x v="387"/>
    <x v="205"/>
    <s v="Ishaan Rao"/>
    <s v="Corporate"/>
    <x v="3"/>
    <x v="10"/>
    <x v="3"/>
    <s v="Apparel"/>
    <x v="5"/>
    <n v="2"/>
    <n v="3215.68"/>
    <n v="5788.22"/>
    <x v="2"/>
    <n v="1178.0899999999999"/>
    <n v="133.46"/>
    <x v="3"/>
    <x v="0"/>
    <n v="0.20353234673181045"/>
  </r>
  <r>
    <x v="388"/>
    <x v="205"/>
    <s v="Myra Joshi"/>
    <s v="Consumer"/>
    <x v="3"/>
    <x v="6"/>
    <x v="4"/>
    <s v="Fragrances"/>
    <x v="35"/>
    <n v="1"/>
    <n v="254.27"/>
    <n v="241.56"/>
    <x v="3"/>
    <n v="84.44"/>
    <n v="317.54000000000002"/>
    <x v="3"/>
    <x v="2"/>
    <n v="0.34956118562675936"/>
  </r>
  <r>
    <x v="389"/>
    <x v="206"/>
    <s v="Ira Iyer"/>
    <s v="Corporate"/>
    <x v="1"/>
    <x v="13"/>
    <x v="5"/>
    <s v="Women's Wear"/>
    <x v="24"/>
    <n v="3"/>
    <n v="3259.66"/>
    <n v="9778.98"/>
    <x v="0"/>
    <n v="2450.9899999999998"/>
    <n v="370.37"/>
    <x v="3"/>
    <x v="0"/>
    <n v="0.25063861466124276"/>
  </r>
  <r>
    <x v="390"/>
    <x v="206"/>
    <s v="Dhruv Chopra"/>
    <s v="Small Business"/>
    <x v="2"/>
    <x v="9"/>
    <x v="5"/>
    <s v="Footwear"/>
    <x v="29"/>
    <n v="4"/>
    <n v="1417.28"/>
    <n v="5385.66"/>
    <x v="3"/>
    <n v="818.02"/>
    <n v="122.76"/>
    <x v="4"/>
    <x v="3"/>
    <n v="0.15188853362447685"/>
  </r>
  <r>
    <x v="391"/>
    <x v="207"/>
    <s v="Saanvi Agarwal"/>
    <s v="Corporate"/>
    <x v="0"/>
    <x v="0"/>
    <x v="2"/>
    <s v="Non-Fiction"/>
    <x v="64"/>
    <n v="1"/>
    <n v="770.17"/>
    <n v="577.63"/>
    <x v="4"/>
    <n v="-17.28"/>
    <n v="204.24"/>
    <x v="2"/>
    <x v="3"/>
    <n v="-2.9915343732146878E-2"/>
  </r>
  <r>
    <x v="392"/>
    <x v="207"/>
    <s v="Kabir Chopra"/>
    <s v="Small Business"/>
    <x v="1"/>
    <x v="1"/>
    <x v="3"/>
    <s v="Gym Equipment"/>
    <x v="57"/>
    <n v="2"/>
    <n v="1216.94"/>
    <n v="2068.8000000000002"/>
    <x v="1"/>
    <n v="360.18"/>
    <n v="363.11"/>
    <x v="3"/>
    <x v="2"/>
    <n v="0.17410092807424593"/>
  </r>
  <r>
    <x v="393"/>
    <x v="207"/>
    <s v="Vihaan Verma"/>
    <s v="Consumer"/>
    <x v="0"/>
    <x v="0"/>
    <x v="1"/>
    <s v="Decor"/>
    <x v="83"/>
    <n v="2"/>
    <n v="7449.75"/>
    <n v="13409.55"/>
    <x v="2"/>
    <n v="556.52"/>
    <n v="101.49"/>
    <x v="1"/>
    <x v="0"/>
    <n v="4.1501765532773287E-2"/>
  </r>
  <r>
    <x v="394"/>
    <x v="208"/>
    <s v="Dhruv Nair"/>
    <s v="Consumer"/>
    <x v="2"/>
    <x v="9"/>
    <x v="2"/>
    <s v="Non-Fiction"/>
    <x v="93"/>
    <n v="2"/>
    <n v="756.06"/>
    <n v="1360.91"/>
    <x v="2"/>
    <n v="108.32"/>
    <n v="59"/>
    <x v="1"/>
    <x v="1"/>
    <n v="7.9593801206545606E-2"/>
  </r>
  <r>
    <x v="395"/>
    <x v="208"/>
    <s v="Ira Singh"/>
    <s v="Corporate"/>
    <x v="0"/>
    <x v="12"/>
    <x v="3"/>
    <s v="Footwear"/>
    <x v="33"/>
    <n v="1"/>
    <n v="2719.85"/>
    <n v="2311.87"/>
    <x v="1"/>
    <n v="296.52999999999997"/>
    <n v="211.3"/>
    <x v="2"/>
    <x v="0"/>
    <n v="0.12826413249879967"/>
  </r>
  <r>
    <x v="396"/>
    <x v="208"/>
    <s v="Simran Nair"/>
    <s v="Consumer"/>
    <x v="2"/>
    <x v="8"/>
    <x v="5"/>
    <s v="Footwear"/>
    <x v="33"/>
    <n v="1"/>
    <n v="1198.6199999999999"/>
    <n v="1198.6199999999999"/>
    <x v="0"/>
    <n v="295.77"/>
    <n v="143.61000000000001"/>
    <x v="0"/>
    <x v="3"/>
    <n v="0.24675877258847675"/>
  </r>
  <r>
    <x v="397"/>
    <x v="208"/>
    <s v="Krishna Das"/>
    <s v="Corporate"/>
    <x v="0"/>
    <x v="0"/>
    <x v="1"/>
    <s v="Decor"/>
    <x v="70"/>
    <n v="4"/>
    <n v="2906.3"/>
    <n v="9300.16"/>
    <x v="5"/>
    <n v="340.94"/>
    <n v="333.98"/>
    <x v="3"/>
    <x v="0"/>
    <n v="3.6659584351236965E-2"/>
  </r>
  <r>
    <x v="398"/>
    <x v="209"/>
    <s v="Sai Khan"/>
    <s v="Corporate"/>
    <x v="0"/>
    <x v="4"/>
    <x v="2"/>
    <s v="Non-Fiction"/>
    <x v="93"/>
    <n v="4"/>
    <n v="375.69"/>
    <n v="1277.3499999999999"/>
    <x v="1"/>
    <n v="39.880000000000003"/>
    <n v="233.84"/>
    <x v="1"/>
    <x v="2"/>
    <n v="3.1220886992601875E-2"/>
  </r>
  <r>
    <x v="399"/>
    <x v="209"/>
    <s v="Diya Desai"/>
    <s v="Corporate"/>
    <x v="1"/>
    <x v="1"/>
    <x v="1"/>
    <s v="Decor"/>
    <x v="61"/>
    <n v="3"/>
    <n v="9603.52"/>
    <n v="27370.03"/>
    <x v="3"/>
    <n v="2979.75"/>
    <n v="321.04000000000002"/>
    <x v="0"/>
    <x v="3"/>
    <n v="0.10886908052347768"/>
  </r>
  <r>
    <x v="400"/>
    <x v="210"/>
    <s v="Diya Kapoor"/>
    <s v="Consumer"/>
    <x v="3"/>
    <x v="7"/>
    <x v="4"/>
    <s v="Fragrances"/>
    <x v="41"/>
    <n v="3"/>
    <n v="584.20000000000005"/>
    <n v="1489.71"/>
    <x v="1"/>
    <n v="346.14"/>
    <n v="211.88"/>
    <x v="0"/>
    <x v="3"/>
    <n v="0.23235394808385523"/>
  </r>
  <r>
    <x v="401"/>
    <x v="210"/>
    <s v="Aditya Gupta"/>
    <s v="Corporate"/>
    <x v="1"/>
    <x v="1"/>
    <x v="1"/>
    <s v="Cookware"/>
    <x v="6"/>
    <n v="1"/>
    <n v="481.54"/>
    <n v="457.46"/>
    <x v="3"/>
    <n v="62.35"/>
    <n v="325.24"/>
    <x v="2"/>
    <x v="0"/>
    <n v="0.13629606960171381"/>
  </r>
  <r>
    <x v="402"/>
    <x v="210"/>
    <s v="Saanvi Das"/>
    <s v="Small Business"/>
    <x v="1"/>
    <x v="13"/>
    <x v="3"/>
    <s v="Gym Equipment"/>
    <x v="13"/>
    <n v="2"/>
    <n v="12021.38"/>
    <n v="22840.62"/>
    <x v="3"/>
    <n v="5041.97"/>
    <n v="125.15"/>
    <x v="1"/>
    <x v="0"/>
    <n v="0.22074575909060265"/>
  </r>
  <r>
    <x v="403"/>
    <x v="210"/>
    <s v="Dhruv Patel"/>
    <s v="Consumer"/>
    <x v="2"/>
    <x v="11"/>
    <x v="3"/>
    <s v="Apparel"/>
    <x v="5"/>
    <n v="2"/>
    <n v="3262.63"/>
    <n v="5872.73"/>
    <x v="2"/>
    <n v="509.95"/>
    <n v="67.13"/>
    <x v="1"/>
    <x v="3"/>
    <n v="8.6833551006090873E-2"/>
  </r>
  <r>
    <x v="404"/>
    <x v="210"/>
    <s v="Neha Malhotra"/>
    <s v="Corporate"/>
    <x v="3"/>
    <x v="6"/>
    <x v="2"/>
    <s v="Comics"/>
    <x v="43"/>
    <n v="4"/>
    <n v="437.78"/>
    <n v="1751.12"/>
    <x v="0"/>
    <n v="215.74"/>
    <n v="185.51"/>
    <x v="3"/>
    <x v="3"/>
    <n v="0.12320115126319157"/>
  </r>
  <r>
    <x v="405"/>
    <x v="211"/>
    <s v="Myra Agarwal"/>
    <s v="Small Business"/>
    <x v="3"/>
    <x v="5"/>
    <x v="4"/>
    <s v="Fragrances"/>
    <x v="79"/>
    <n v="1"/>
    <n v="1998.51"/>
    <n v="1898.58"/>
    <x v="3"/>
    <n v="419.68"/>
    <n v="270.56"/>
    <x v="3"/>
    <x v="0"/>
    <n v="0.22104941587923607"/>
  </r>
  <r>
    <x v="406"/>
    <x v="211"/>
    <s v="Ishaan Nair"/>
    <s v="Corporate"/>
    <x v="2"/>
    <x v="2"/>
    <x v="4"/>
    <s v="Makeup"/>
    <x v="63"/>
    <n v="1"/>
    <n v="1135.1600000000001"/>
    <n v="964.89"/>
    <x v="1"/>
    <n v="204.62"/>
    <n v="123.87"/>
    <x v="3"/>
    <x v="0"/>
    <n v="0.21206562406077378"/>
  </r>
  <r>
    <x v="407"/>
    <x v="212"/>
    <s v="Aadhya Nair"/>
    <s v="Consumer"/>
    <x v="1"/>
    <x v="13"/>
    <x v="1"/>
    <s v="Decor"/>
    <x v="61"/>
    <n v="1"/>
    <n v="8943.81"/>
    <n v="6260.67"/>
    <x v="6"/>
    <n v="-67.27"/>
    <n v="218.03"/>
    <x v="3"/>
    <x v="3"/>
    <n v="-1.0744856381186038E-2"/>
  </r>
  <r>
    <x v="408"/>
    <x v="212"/>
    <s v="Karan Iyer"/>
    <s v="Consumer"/>
    <x v="2"/>
    <x v="11"/>
    <x v="2"/>
    <s v="Comics"/>
    <x v="43"/>
    <n v="3"/>
    <n v="676.14"/>
    <n v="2028.42"/>
    <x v="0"/>
    <n v="350.39"/>
    <n v="285.98"/>
    <x v="3"/>
    <x v="3"/>
    <n v="0.172740359491624"/>
  </r>
  <r>
    <x v="409"/>
    <x v="213"/>
    <s v="Vivaan Kapoor"/>
    <s v="Small Business"/>
    <x v="2"/>
    <x v="2"/>
    <x v="2"/>
    <s v="Non-Fiction"/>
    <x v="64"/>
    <n v="1"/>
    <n v="264.94"/>
    <n v="264.94"/>
    <x v="0"/>
    <n v="51.76"/>
    <n v="212.82"/>
    <x v="3"/>
    <x v="1"/>
    <n v="0.19536498829923757"/>
  </r>
  <r>
    <x v="410"/>
    <x v="214"/>
    <s v="Sai Sharma"/>
    <s v="Corporate"/>
    <x v="0"/>
    <x v="0"/>
    <x v="4"/>
    <s v="Fragrances"/>
    <x v="41"/>
    <n v="5"/>
    <n v="1207.81"/>
    <n v="6039.05"/>
    <x v="0"/>
    <n v="2172.86"/>
    <n v="260.13"/>
    <x v="4"/>
    <x v="0"/>
    <n v="0.35980162442768315"/>
  </r>
  <r>
    <x v="411"/>
    <x v="214"/>
    <s v="Rohan Reddy"/>
    <s v="Small Business"/>
    <x v="2"/>
    <x v="11"/>
    <x v="1"/>
    <s v="Cookware"/>
    <x v="80"/>
    <n v="2"/>
    <n v="4375.68"/>
    <n v="8313.7900000000009"/>
    <x v="3"/>
    <n v="931.07"/>
    <n v="173.65"/>
    <x v="2"/>
    <x v="2"/>
    <n v="0.11199104139026846"/>
  </r>
  <r>
    <x v="412"/>
    <x v="214"/>
    <s v="Neha Gupta"/>
    <s v="Corporate"/>
    <x v="2"/>
    <x v="9"/>
    <x v="4"/>
    <s v="Fragrances"/>
    <x v="41"/>
    <n v="1"/>
    <n v="2492.1"/>
    <n v="2367.4899999999998"/>
    <x v="3"/>
    <n v="753.59"/>
    <n v="254.14"/>
    <x v="3"/>
    <x v="2"/>
    <n v="0.31830757468880549"/>
  </r>
  <r>
    <x v="413"/>
    <x v="214"/>
    <s v="Rohan Mehta"/>
    <s v="Corporate"/>
    <x v="2"/>
    <x v="8"/>
    <x v="2"/>
    <s v="Academic"/>
    <x v="91"/>
    <n v="4"/>
    <n v="258.86"/>
    <n v="776.58"/>
    <x v="4"/>
    <n v="4.04"/>
    <n v="211.34"/>
    <x v="1"/>
    <x v="0"/>
    <n v="5.2022972520538767E-3"/>
  </r>
  <r>
    <x v="414"/>
    <x v="215"/>
    <s v="Ananya Desai"/>
    <s v="Consumer"/>
    <x v="2"/>
    <x v="11"/>
    <x v="4"/>
    <s v="Haircare"/>
    <x v="77"/>
    <n v="2"/>
    <n v="671.82"/>
    <n v="1142.0899999999999"/>
    <x v="1"/>
    <n v="124.95"/>
    <n v="106.02"/>
    <x v="3"/>
    <x v="0"/>
    <n v="0.1094046878967507"/>
  </r>
  <r>
    <x v="415"/>
    <x v="215"/>
    <s v="Arjun Khan"/>
    <s v="Consumer"/>
    <x v="1"/>
    <x v="3"/>
    <x v="5"/>
    <s v="Footwear"/>
    <x v="33"/>
    <n v="3"/>
    <n v="3433.09"/>
    <n v="8754.3799999999992"/>
    <x v="1"/>
    <n v="1470.85"/>
    <n v="190.73"/>
    <x v="1"/>
    <x v="3"/>
    <n v="0.16801304032952649"/>
  </r>
  <r>
    <x v="416"/>
    <x v="215"/>
    <s v="Ira Chopra"/>
    <s v="Corporate"/>
    <x v="2"/>
    <x v="2"/>
    <x v="2"/>
    <s v="Fiction"/>
    <x v="76"/>
    <n v="1"/>
    <n v="383.21"/>
    <n v="287.41000000000003"/>
    <x v="4"/>
    <n v="-7.28"/>
    <n v="68.36"/>
    <x v="3"/>
    <x v="3"/>
    <n v="-2.5329668417939526E-2"/>
  </r>
  <r>
    <x v="417"/>
    <x v="215"/>
    <s v="Kabir Agarwal"/>
    <s v="Consumer"/>
    <x v="0"/>
    <x v="4"/>
    <x v="3"/>
    <s v="Apparel"/>
    <x v="18"/>
    <n v="2"/>
    <n v="8488.01"/>
    <n v="16127.22"/>
    <x v="3"/>
    <n v="3016.7"/>
    <n v="110.42"/>
    <x v="0"/>
    <x v="3"/>
    <n v="0.18705641765908818"/>
  </r>
  <r>
    <x v="418"/>
    <x v="215"/>
    <s v="Anika Iyer"/>
    <s v="Corporate"/>
    <x v="0"/>
    <x v="12"/>
    <x v="3"/>
    <s v="Gym Equipment"/>
    <x v="57"/>
    <n v="1"/>
    <n v="14387.2"/>
    <n v="12948.48"/>
    <x v="2"/>
    <n v="2260.56"/>
    <n v="272.89"/>
    <x v="1"/>
    <x v="3"/>
    <n v="0.17458110913404506"/>
  </r>
  <r>
    <x v="419"/>
    <x v="215"/>
    <s v="Saanvi Singh"/>
    <s v="Consumer"/>
    <x v="0"/>
    <x v="0"/>
    <x v="5"/>
    <s v="Kids Wear"/>
    <x v="73"/>
    <n v="1"/>
    <n v="1966.55"/>
    <n v="1966.55"/>
    <x v="0"/>
    <n v="358.68"/>
    <n v="44.2"/>
    <x v="4"/>
    <x v="3"/>
    <n v="0.18239048079123338"/>
  </r>
  <r>
    <x v="420"/>
    <x v="216"/>
    <s v="Simran Mishra"/>
    <s v="Consumer"/>
    <x v="2"/>
    <x v="9"/>
    <x v="5"/>
    <s v="Kids Wear"/>
    <x v="73"/>
    <n v="2"/>
    <n v="2712.79"/>
    <n v="4611.74"/>
    <x v="1"/>
    <n v="313.17"/>
    <n v="314.39"/>
    <x v="0"/>
    <x v="0"/>
    <n v="6.7907123992245882E-2"/>
  </r>
  <r>
    <x v="421"/>
    <x v="216"/>
    <s v="Reyansh Gupta"/>
    <s v="Consumer"/>
    <x v="0"/>
    <x v="12"/>
    <x v="3"/>
    <s v="Apparel"/>
    <x v="75"/>
    <n v="1"/>
    <n v="2348.84"/>
    <n v="2113.96"/>
    <x v="2"/>
    <n v="211.01"/>
    <n v="167.02"/>
    <x v="3"/>
    <x v="0"/>
    <n v="9.9817404302825027E-2"/>
  </r>
  <r>
    <x v="422"/>
    <x v="216"/>
    <s v="Pooja Nair"/>
    <s v="Consumer"/>
    <x v="3"/>
    <x v="6"/>
    <x v="4"/>
    <s v="Fragrances"/>
    <x v="19"/>
    <n v="2"/>
    <n v="1109.75"/>
    <n v="2219.5"/>
    <x v="0"/>
    <n v="616.92999999999995"/>
    <n v="356.9"/>
    <x v="2"/>
    <x v="0"/>
    <n v="0.27795899977472399"/>
  </r>
  <r>
    <x v="423"/>
    <x v="217"/>
    <s v="Navya Reddy"/>
    <s v="Corporate"/>
    <x v="3"/>
    <x v="6"/>
    <x v="3"/>
    <s v="Gym Equipment"/>
    <x v="92"/>
    <n v="1"/>
    <n v="8392.56"/>
    <n v="6294.42"/>
    <x v="4"/>
    <n v="186.8"/>
    <n v="273.08"/>
    <x v="3"/>
    <x v="2"/>
    <n v="2.9677079063678623E-2"/>
  </r>
  <r>
    <x v="424"/>
    <x v="218"/>
    <s v="Myra Mishra"/>
    <s v="Consumer"/>
    <x v="0"/>
    <x v="12"/>
    <x v="5"/>
    <s v="Kids Wear"/>
    <x v="65"/>
    <n v="1"/>
    <n v="4376.84"/>
    <n v="3939.16"/>
    <x v="2"/>
    <n v="577.63"/>
    <n v="66.260000000000005"/>
    <x v="1"/>
    <x v="0"/>
    <n v="0.14663786187918237"/>
  </r>
  <r>
    <x v="425"/>
    <x v="218"/>
    <s v="Rohan Kapoor"/>
    <s v="Corporate"/>
    <x v="2"/>
    <x v="2"/>
    <x v="0"/>
    <s v="Accessories"/>
    <x v="89"/>
    <n v="5"/>
    <n v="34036.81"/>
    <n v="144656.44"/>
    <x v="1"/>
    <n v="-2947.57"/>
    <n v="168.66"/>
    <x v="0"/>
    <x v="3"/>
    <n v="-2.0376348263513189E-2"/>
  </r>
  <r>
    <x v="426"/>
    <x v="219"/>
    <s v="Kabir Chopra"/>
    <s v="Consumer"/>
    <x v="2"/>
    <x v="9"/>
    <x v="3"/>
    <s v="Outdoor Gear"/>
    <x v="82"/>
    <n v="4"/>
    <n v="3574.63"/>
    <n v="10723.89"/>
    <x v="4"/>
    <n v="-136.35"/>
    <n v="96.99"/>
    <x v="3"/>
    <x v="0"/>
    <n v="-1.2714602630202286E-2"/>
  </r>
  <r>
    <x v="427"/>
    <x v="219"/>
    <s v="Priya Mehta"/>
    <s v="Corporate"/>
    <x v="0"/>
    <x v="4"/>
    <x v="0"/>
    <s v="Mobiles"/>
    <x v="62"/>
    <n v="3"/>
    <n v="12013.64"/>
    <n v="27030.69"/>
    <x v="4"/>
    <n v="-301.32"/>
    <n v="238.18"/>
    <x v="0"/>
    <x v="3"/>
    <n v="-1.1147329202473188E-2"/>
  </r>
  <r>
    <x v="428"/>
    <x v="220"/>
    <s v="Vivaan Joshi"/>
    <s v="Corporate"/>
    <x v="2"/>
    <x v="2"/>
    <x v="2"/>
    <s v="Non-Fiction"/>
    <x v="36"/>
    <n v="2"/>
    <n v="1131.1600000000001"/>
    <n v="2036.09"/>
    <x v="2"/>
    <n v="223.16"/>
    <n v="157.52000000000001"/>
    <x v="3"/>
    <x v="3"/>
    <n v="0.10960222779936055"/>
  </r>
  <r>
    <x v="429"/>
    <x v="220"/>
    <s v="Dhruv Kapoor"/>
    <s v="Consumer"/>
    <x v="2"/>
    <x v="8"/>
    <x v="2"/>
    <s v="Non-Fiction"/>
    <x v="93"/>
    <n v="1"/>
    <n v="1061.98"/>
    <n v="902.68"/>
    <x v="1"/>
    <n v="-14.51"/>
    <n v="50.7"/>
    <x v="3"/>
    <x v="3"/>
    <n v="-1.6074356361058181E-2"/>
  </r>
  <r>
    <x v="430"/>
    <x v="220"/>
    <s v="Navya Kapoor"/>
    <s v="Consumer"/>
    <x v="0"/>
    <x v="12"/>
    <x v="2"/>
    <s v="Non-Fiction"/>
    <x v="93"/>
    <n v="2"/>
    <n v="979.59"/>
    <n v="1665.3"/>
    <x v="1"/>
    <n v="49.74"/>
    <n v="67.05"/>
    <x v="1"/>
    <x v="3"/>
    <n v="2.9868492163574133E-2"/>
  </r>
  <r>
    <x v="431"/>
    <x v="220"/>
    <s v="Saanvi Sharma"/>
    <s v="Small Business"/>
    <x v="2"/>
    <x v="8"/>
    <x v="1"/>
    <s v="Cookware"/>
    <x v="78"/>
    <n v="3"/>
    <n v="7945.94"/>
    <n v="21454.04"/>
    <x v="2"/>
    <n v="2303.7600000000002"/>
    <n v="304.86"/>
    <x v="3"/>
    <x v="0"/>
    <n v="0.10738117389545279"/>
  </r>
  <r>
    <x v="432"/>
    <x v="221"/>
    <s v="Aadhya Reddy"/>
    <s v="Consumer"/>
    <x v="0"/>
    <x v="0"/>
    <x v="4"/>
    <s v="Skincare"/>
    <x v="67"/>
    <n v="1"/>
    <n v="780.31"/>
    <n v="741.29"/>
    <x v="3"/>
    <n v="182.98"/>
    <n v="266.02"/>
    <x v="3"/>
    <x v="0"/>
    <n v="0.24683996816360668"/>
  </r>
  <r>
    <x v="433"/>
    <x v="222"/>
    <s v="Ishaan Kapoor"/>
    <s v="Small Business"/>
    <x v="3"/>
    <x v="10"/>
    <x v="2"/>
    <s v="Fiction"/>
    <x v="76"/>
    <n v="4"/>
    <n v="880.6"/>
    <n v="3346.28"/>
    <x v="3"/>
    <n v="492.49"/>
    <n v="349.67"/>
    <x v="3"/>
    <x v="3"/>
    <n v="0.14717537085958138"/>
  </r>
  <r>
    <x v="434"/>
    <x v="222"/>
    <s v="Ananya Joshi"/>
    <s v="Small Business"/>
    <x v="2"/>
    <x v="8"/>
    <x v="5"/>
    <s v="Women's Wear"/>
    <x v="86"/>
    <n v="2"/>
    <n v="2787.67"/>
    <n v="4739.04"/>
    <x v="1"/>
    <n v="382.39"/>
    <n v="281.32"/>
    <x v="4"/>
    <x v="0"/>
    <n v="8.0689337924980578E-2"/>
  </r>
  <r>
    <x v="435"/>
    <x v="222"/>
    <s v="Diya Sharma"/>
    <s v="Corporate"/>
    <x v="3"/>
    <x v="10"/>
    <x v="4"/>
    <s v="Fragrances"/>
    <x v="79"/>
    <n v="1"/>
    <n v="919.69"/>
    <n v="873.71"/>
    <x v="3"/>
    <n v="247.07"/>
    <n v="307.14999999999998"/>
    <x v="1"/>
    <x v="2"/>
    <n v="0.28278261665770105"/>
  </r>
  <r>
    <x v="436"/>
    <x v="222"/>
    <s v="Reyansh Singh"/>
    <s v="Consumer"/>
    <x v="2"/>
    <x v="11"/>
    <x v="3"/>
    <s v="Outdoor Gear"/>
    <x v="82"/>
    <n v="1"/>
    <n v="11291.73"/>
    <n v="10162.56"/>
    <x v="2"/>
    <n v="1509.63"/>
    <n v="258.95999999999998"/>
    <x v="1"/>
    <x v="0"/>
    <n v="0.14854820045342906"/>
  </r>
  <r>
    <x v="437"/>
    <x v="223"/>
    <s v="Simran Mishra"/>
    <s v="Corporate"/>
    <x v="2"/>
    <x v="11"/>
    <x v="4"/>
    <s v="Skincare"/>
    <x v="67"/>
    <n v="2"/>
    <n v="1629.09"/>
    <n v="2769.45"/>
    <x v="1"/>
    <n v="648.71"/>
    <n v="223.94"/>
    <x v="2"/>
    <x v="0"/>
    <n v="0.23423784505948839"/>
  </r>
  <r>
    <x v="438"/>
    <x v="224"/>
    <s v="Priya Chopra"/>
    <s v="Consumer"/>
    <x v="0"/>
    <x v="4"/>
    <x v="2"/>
    <s v="Non-Fiction"/>
    <x v="36"/>
    <n v="1"/>
    <n v="695.04"/>
    <n v="625.54"/>
    <x v="2"/>
    <n v="87.88"/>
    <n v="183.34"/>
    <x v="3"/>
    <x v="0"/>
    <n v="0.14048661956069955"/>
  </r>
  <r>
    <x v="439"/>
    <x v="224"/>
    <s v="Priya Singh"/>
    <s v="Consumer"/>
    <x v="1"/>
    <x v="13"/>
    <x v="5"/>
    <s v="Men's Wear"/>
    <x v="32"/>
    <n v="1"/>
    <n v="737.26"/>
    <n v="663.53"/>
    <x v="2"/>
    <n v="148.35"/>
    <n v="285.97000000000003"/>
    <x v="1"/>
    <x v="3"/>
    <n v="0.22357692945307672"/>
  </r>
  <r>
    <x v="440"/>
    <x v="224"/>
    <s v="Riya Reddy"/>
    <s v="Corporate"/>
    <x v="1"/>
    <x v="3"/>
    <x v="5"/>
    <s v="Men's Wear"/>
    <x v="32"/>
    <n v="3"/>
    <n v="3222"/>
    <n v="7732.8"/>
    <x v="5"/>
    <n v="695.68"/>
    <n v="75.61"/>
    <x v="2"/>
    <x v="0"/>
    <n v="8.996482516035588E-2"/>
  </r>
  <r>
    <x v="441"/>
    <x v="224"/>
    <s v="Ishaan Mishra"/>
    <s v="Consumer"/>
    <x v="1"/>
    <x v="3"/>
    <x v="4"/>
    <s v="Makeup"/>
    <x v="20"/>
    <n v="1"/>
    <n v="1541.2"/>
    <n v="1541.2"/>
    <x v="0"/>
    <n v="369.72"/>
    <n v="235.11"/>
    <x v="1"/>
    <x v="3"/>
    <n v="0.2398909940306255"/>
  </r>
  <r>
    <x v="442"/>
    <x v="225"/>
    <s v="Karan Verma"/>
    <s v="Consumer"/>
    <x v="2"/>
    <x v="8"/>
    <x v="1"/>
    <s v="Cookware"/>
    <x v="80"/>
    <n v="4"/>
    <n v="10781.09"/>
    <n v="34499.49"/>
    <x v="5"/>
    <n v="1840.45"/>
    <n v="200.17"/>
    <x v="3"/>
    <x v="3"/>
    <n v="5.3347165421865662E-2"/>
  </r>
  <r>
    <x v="443"/>
    <x v="225"/>
    <s v="Krishna Malhotra"/>
    <s v="Corporate"/>
    <x v="1"/>
    <x v="13"/>
    <x v="1"/>
    <s v="Furniture"/>
    <x v="39"/>
    <n v="1"/>
    <n v="1089.8699999999999"/>
    <n v="980.88"/>
    <x v="2"/>
    <n v="122.1"/>
    <n v="31.01"/>
    <x v="1"/>
    <x v="2"/>
    <n v="0.12448005872277954"/>
  </r>
  <r>
    <x v="444"/>
    <x v="225"/>
    <s v="Ira Chopra"/>
    <s v="Consumer"/>
    <x v="1"/>
    <x v="1"/>
    <x v="3"/>
    <s v="Apparel"/>
    <x v="75"/>
    <n v="2"/>
    <n v="5945.42"/>
    <n v="10701.76"/>
    <x v="2"/>
    <n v="1325.58"/>
    <n v="241.8"/>
    <x v="2"/>
    <x v="3"/>
    <n v="0.12386560715246837"/>
  </r>
  <r>
    <x v="445"/>
    <x v="225"/>
    <s v="Navya Rao"/>
    <s v="Consumer"/>
    <x v="2"/>
    <x v="11"/>
    <x v="3"/>
    <s v="Apparel"/>
    <x v="75"/>
    <n v="1"/>
    <n v="9210.9"/>
    <n v="8750.35"/>
    <x v="3"/>
    <n v="1924.39"/>
    <n v="128.82"/>
    <x v="3"/>
    <x v="3"/>
    <n v="0.21992148885473153"/>
  </r>
  <r>
    <x v="446"/>
    <x v="226"/>
    <s v="Myra Patel"/>
    <s v="Consumer"/>
    <x v="2"/>
    <x v="2"/>
    <x v="0"/>
    <s v="Laptops"/>
    <x v="94"/>
    <n v="2"/>
    <n v="31659.15"/>
    <n v="47488.73"/>
    <x v="4"/>
    <n v="-1399.58"/>
    <n v="237.58"/>
    <x v="1"/>
    <x v="0"/>
    <n v="-2.9471834685829666E-2"/>
  </r>
  <r>
    <x v="447"/>
    <x v="226"/>
    <s v="Aarav Verma"/>
    <s v="Consumer"/>
    <x v="3"/>
    <x v="5"/>
    <x v="0"/>
    <s v="Mobiles"/>
    <x v="74"/>
    <n v="1"/>
    <n v="14495.89"/>
    <n v="10871.92"/>
    <x v="4"/>
    <n v="-466.54"/>
    <n v="72.540000000000006"/>
    <x v="0"/>
    <x v="2"/>
    <n v="-4.2912383461246956E-2"/>
  </r>
  <r>
    <x v="448"/>
    <x v="227"/>
    <s v="Aditya Desai"/>
    <s v="Corporate"/>
    <x v="2"/>
    <x v="11"/>
    <x v="3"/>
    <s v="Footwear"/>
    <x v="11"/>
    <n v="1"/>
    <n v="9063.8700000000008"/>
    <n v="8157.48"/>
    <x v="2"/>
    <n v="1019.36"/>
    <n v="149.1"/>
    <x v="4"/>
    <x v="3"/>
    <n v="0.12496015926487103"/>
  </r>
  <r>
    <x v="449"/>
    <x v="227"/>
    <s v="Vivaan Agarwal"/>
    <s v="Consumer"/>
    <x v="1"/>
    <x v="3"/>
    <x v="5"/>
    <s v="Kids Wear"/>
    <x v="73"/>
    <n v="2"/>
    <n v="1877.82"/>
    <n v="3380.08"/>
    <x v="2"/>
    <n v="659.31"/>
    <n v="140"/>
    <x v="3"/>
    <x v="3"/>
    <n v="0.19505751343163474"/>
  </r>
  <r>
    <x v="450"/>
    <x v="228"/>
    <s v="Saanvi Desai"/>
    <s v="Consumer"/>
    <x v="0"/>
    <x v="12"/>
    <x v="3"/>
    <s v="Gym Equipment"/>
    <x v="57"/>
    <n v="1"/>
    <n v="868.94"/>
    <n v="825.49"/>
    <x v="3"/>
    <n v="161.25"/>
    <n v="265.27"/>
    <x v="3"/>
    <x v="2"/>
    <n v="0.19533852620867606"/>
  </r>
  <r>
    <x v="451"/>
    <x v="228"/>
    <s v="Pooja Gupta"/>
    <s v="Small Business"/>
    <x v="0"/>
    <x v="0"/>
    <x v="2"/>
    <s v="Fiction"/>
    <x v="76"/>
    <n v="4"/>
    <n v="234.19"/>
    <n v="843.08"/>
    <x v="2"/>
    <n v="34.26"/>
    <n v="188.53"/>
    <x v="0"/>
    <x v="2"/>
    <n v="4.063671300469706E-2"/>
  </r>
  <r>
    <x v="452"/>
    <x v="229"/>
    <s v="Aarav Desai"/>
    <s v="Small Business"/>
    <x v="0"/>
    <x v="0"/>
    <x v="5"/>
    <s v="Kids Wear"/>
    <x v="48"/>
    <n v="1"/>
    <n v="2452.98"/>
    <n v="2452.98"/>
    <x v="0"/>
    <n v="453.35"/>
    <n v="169.89"/>
    <x v="3"/>
    <x v="3"/>
    <n v="0.18481601969848918"/>
  </r>
  <r>
    <x v="453"/>
    <x v="229"/>
    <s v="Aarav Das"/>
    <s v="Corporate"/>
    <x v="3"/>
    <x v="10"/>
    <x v="3"/>
    <s v="Apparel"/>
    <x v="18"/>
    <n v="1"/>
    <n v="11237.78"/>
    <n v="10114"/>
    <x v="2"/>
    <n v="1683.12"/>
    <n v="45.41"/>
    <x v="3"/>
    <x v="0"/>
    <n v="0.16641487047656711"/>
  </r>
  <r>
    <x v="454"/>
    <x v="229"/>
    <s v="Neha Patel"/>
    <s v="Consumer"/>
    <x v="3"/>
    <x v="6"/>
    <x v="4"/>
    <s v="Skincare"/>
    <x v="26"/>
    <n v="2"/>
    <n v="340.54"/>
    <n v="612.97"/>
    <x v="2"/>
    <n v="175.93"/>
    <n v="204.78"/>
    <x v="3"/>
    <x v="0"/>
    <n v="0.28701241496321189"/>
  </r>
  <r>
    <x v="455"/>
    <x v="229"/>
    <s v="Pooja Mehta"/>
    <s v="Corporate"/>
    <x v="0"/>
    <x v="12"/>
    <x v="5"/>
    <s v="Footwear"/>
    <x v="11"/>
    <n v="5"/>
    <n v="4331.12"/>
    <n v="20572.82"/>
    <x v="3"/>
    <n v="6072.76"/>
    <n v="104.59"/>
    <x v="1"/>
    <x v="2"/>
    <n v="0.29518364521733043"/>
  </r>
  <r>
    <x v="456"/>
    <x v="229"/>
    <s v="Ananya Sharma"/>
    <s v="Consumer"/>
    <x v="2"/>
    <x v="8"/>
    <x v="0"/>
    <s v="Accessories"/>
    <x v="14"/>
    <n v="1"/>
    <n v="32198.62"/>
    <n v="28978.76"/>
    <x v="2"/>
    <n v="-102.26"/>
    <n v="128.33000000000001"/>
    <x v="0"/>
    <x v="3"/>
    <n v="-3.5287914320695575E-3"/>
  </r>
  <r>
    <x v="457"/>
    <x v="230"/>
    <s v="Rohan Khan"/>
    <s v="Small Business"/>
    <x v="0"/>
    <x v="4"/>
    <x v="4"/>
    <s v="Skincare"/>
    <x v="54"/>
    <n v="2"/>
    <n v="347.21"/>
    <n v="624.98"/>
    <x v="2"/>
    <n v="120.32"/>
    <n v="187.05"/>
    <x v="4"/>
    <x v="0"/>
    <n v="0.19251816058113858"/>
  </r>
  <r>
    <x v="458"/>
    <x v="230"/>
    <s v="Anika Patel"/>
    <s v="Corporate"/>
    <x v="1"/>
    <x v="3"/>
    <x v="1"/>
    <s v="Appliances"/>
    <x v="40"/>
    <n v="1"/>
    <n v="1172.1500000000001"/>
    <n v="937.72"/>
    <x v="5"/>
    <n v="27.82"/>
    <n v="150.15"/>
    <x v="1"/>
    <x v="2"/>
    <n v="2.9667704645309899E-2"/>
  </r>
  <r>
    <x v="459"/>
    <x v="230"/>
    <s v="Meera Gupta"/>
    <s v="Consumer"/>
    <x v="2"/>
    <x v="8"/>
    <x v="1"/>
    <s v="Cookware"/>
    <x v="1"/>
    <n v="1"/>
    <n v="8490.08"/>
    <n v="6367.56"/>
    <x v="4"/>
    <n v="1020.71"/>
    <n v="125.15"/>
    <x v="0"/>
    <x v="0"/>
    <n v="0.16029845026980508"/>
  </r>
  <r>
    <x v="460"/>
    <x v="230"/>
    <s v="Arjun Khan"/>
    <s v="Corporate"/>
    <x v="2"/>
    <x v="11"/>
    <x v="1"/>
    <s v="Cookware"/>
    <x v="80"/>
    <n v="2"/>
    <n v="11211.53"/>
    <n v="16817.3"/>
    <x v="4"/>
    <n v="305.77999999999997"/>
    <n v="77.8"/>
    <x v="2"/>
    <x v="2"/>
    <n v="1.8182466864478841E-2"/>
  </r>
  <r>
    <x v="461"/>
    <x v="230"/>
    <s v="Vivaan Mishra"/>
    <s v="Consumer"/>
    <x v="0"/>
    <x v="0"/>
    <x v="0"/>
    <s v="Mobiles"/>
    <x v="74"/>
    <n v="1"/>
    <n v="26499.43"/>
    <n v="23849.49"/>
    <x v="2"/>
    <n v="1809.63"/>
    <n v="229.07"/>
    <x v="3"/>
    <x v="0"/>
    <n v="7.5877094227172148E-2"/>
  </r>
  <r>
    <x v="462"/>
    <x v="230"/>
    <s v="Rohan Mehta"/>
    <s v="Corporate"/>
    <x v="3"/>
    <x v="7"/>
    <x v="5"/>
    <s v="Kids Wear"/>
    <x v="73"/>
    <n v="1"/>
    <n v="2137.39"/>
    <n v="1923.65"/>
    <x v="2"/>
    <n v="281.87"/>
    <n v="194.48"/>
    <x v="3"/>
    <x v="3"/>
    <n v="0.14652873443713774"/>
  </r>
  <r>
    <x v="463"/>
    <x v="231"/>
    <s v="Sai Mishra"/>
    <s v="Consumer"/>
    <x v="3"/>
    <x v="6"/>
    <x v="0"/>
    <s v="Headphones"/>
    <x v="15"/>
    <n v="1"/>
    <n v="14179.25"/>
    <n v="13470.29"/>
    <x v="3"/>
    <n v="681.81"/>
    <n v="200.1"/>
    <x v="3"/>
    <x v="0"/>
    <n v="5.061583677856972E-2"/>
  </r>
  <r>
    <x v="464"/>
    <x v="232"/>
    <s v="Vihaan Malhotra"/>
    <s v="Small Business"/>
    <x v="2"/>
    <x v="8"/>
    <x v="2"/>
    <s v="Non-Fiction"/>
    <x v="28"/>
    <n v="1"/>
    <n v="601.08000000000004"/>
    <n v="601.08000000000004"/>
    <x v="0"/>
    <n v="84.73"/>
    <n v="67.92"/>
    <x v="2"/>
    <x v="3"/>
    <n v="0.14096293338657084"/>
  </r>
  <r>
    <x v="465"/>
    <x v="233"/>
    <s v="Sai Patel"/>
    <s v="Small Business"/>
    <x v="2"/>
    <x v="2"/>
    <x v="2"/>
    <s v="Fiction"/>
    <x v="76"/>
    <n v="2"/>
    <n v="962.35"/>
    <n v="1539.76"/>
    <x v="5"/>
    <n v="104.67"/>
    <n v="284.31"/>
    <x v="0"/>
    <x v="2"/>
    <n v="6.7978126461266691E-2"/>
  </r>
  <r>
    <x v="466"/>
    <x v="233"/>
    <s v="Krishna Reddy"/>
    <s v="Consumer"/>
    <x v="0"/>
    <x v="4"/>
    <x v="5"/>
    <s v="Footwear"/>
    <x v="37"/>
    <n v="2"/>
    <n v="2668.46"/>
    <n v="4803.2299999999996"/>
    <x v="2"/>
    <n v="582.85"/>
    <n v="73.760000000000005"/>
    <x v="3"/>
    <x v="2"/>
    <n v="0.12134542797242691"/>
  </r>
  <r>
    <x v="467"/>
    <x v="234"/>
    <s v="Ishaan Agarwal"/>
    <s v="Small Business"/>
    <x v="1"/>
    <x v="13"/>
    <x v="3"/>
    <s v="Footwear"/>
    <x v="29"/>
    <n v="2"/>
    <n v="5366.86"/>
    <n v="9123.66"/>
    <x v="1"/>
    <n v="100.68"/>
    <n v="230.75"/>
    <x v="2"/>
    <x v="3"/>
    <n v="1.103504514635574E-2"/>
  </r>
  <r>
    <x v="468"/>
    <x v="235"/>
    <s v="Ishaan Verma"/>
    <s v="Corporate"/>
    <x v="3"/>
    <x v="7"/>
    <x v="5"/>
    <s v="Women's Wear"/>
    <x v="24"/>
    <n v="3"/>
    <n v="874.92"/>
    <n v="2624.76"/>
    <x v="0"/>
    <n v="574.71"/>
    <n v="348.01"/>
    <x v="0"/>
    <x v="0"/>
    <n v="0.21895716179765007"/>
  </r>
  <r>
    <x v="469"/>
    <x v="235"/>
    <s v="Ishaan Rao"/>
    <s v="Small Business"/>
    <x v="2"/>
    <x v="2"/>
    <x v="0"/>
    <s v="Cameras"/>
    <x v="47"/>
    <n v="1"/>
    <n v="6645.31"/>
    <n v="5316.25"/>
    <x v="5"/>
    <n v="7.83"/>
    <n v="349"/>
    <x v="3"/>
    <x v="0"/>
    <n v="1.4728426992711029E-3"/>
  </r>
  <r>
    <x v="470"/>
    <x v="236"/>
    <s v="Neha Rao"/>
    <s v="Corporate"/>
    <x v="1"/>
    <x v="13"/>
    <x v="5"/>
    <s v="Women's Wear"/>
    <x v="22"/>
    <n v="1"/>
    <n v="1999.85"/>
    <n v="1599.88"/>
    <x v="5"/>
    <n v="152.76"/>
    <n v="132.41"/>
    <x v="0"/>
    <x v="3"/>
    <n v="9.5482161162087145E-2"/>
  </r>
  <r>
    <x v="471"/>
    <x v="236"/>
    <s v="Aarav Khan"/>
    <s v="Corporate"/>
    <x v="3"/>
    <x v="6"/>
    <x v="5"/>
    <s v="Kids Wear"/>
    <x v="73"/>
    <n v="1"/>
    <n v="665.79"/>
    <n v="599.21"/>
    <x v="2"/>
    <n v="69.319999999999993"/>
    <n v="140.47"/>
    <x v="3"/>
    <x v="0"/>
    <n v="0.11568565277615525"/>
  </r>
  <r>
    <x v="472"/>
    <x v="236"/>
    <s v="Myra Das"/>
    <s v="Consumer"/>
    <x v="3"/>
    <x v="5"/>
    <x v="5"/>
    <s v="Women's Wear"/>
    <x v="24"/>
    <n v="1"/>
    <n v="1958.5"/>
    <n v="1958.5"/>
    <x v="0"/>
    <n v="493.18"/>
    <n v="282.86"/>
    <x v="0"/>
    <x v="1"/>
    <n v="0.25181516466683684"/>
  </r>
  <r>
    <x v="473"/>
    <x v="237"/>
    <s v="Saanvi Khan"/>
    <s v="Corporate"/>
    <x v="0"/>
    <x v="4"/>
    <x v="2"/>
    <s v="Fiction"/>
    <x v="87"/>
    <n v="4"/>
    <n v="211.07"/>
    <n v="802.07"/>
    <x v="3"/>
    <n v="73.64"/>
    <n v="113.84"/>
    <x v="1"/>
    <x v="0"/>
    <n v="9.1812435323600186E-2"/>
  </r>
  <r>
    <x v="474"/>
    <x v="238"/>
    <s v="Saanvi Chopra"/>
    <s v="Corporate"/>
    <x v="2"/>
    <x v="2"/>
    <x v="2"/>
    <s v="Comics"/>
    <x v="30"/>
    <n v="3"/>
    <n v="687.7"/>
    <n v="1753.63"/>
    <x v="1"/>
    <n v="162.13"/>
    <n v="115.8"/>
    <x v="4"/>
    <x v="2"/>
    <n v="9.2453938402057442E-2"/>
  </r>
  <r>
    <x v="475"/>
    <x v="238"/>
    <s v="Ayaan Iyer"/>
    <s v="Consumer"/>
    <x v="3"/>
    <x v="6"/>
    <x v="5"/>
    <s v="Men's Wear"/>
    <x v="55"/>
    <n v="1"/>
    <n v="4425.1099999999997"/>
    <n v="3318.83"/>
    <x v="4"/>
    <n v="298.08999999999997"/>
    <n v="195.32"/>
    <x v="3"/>
    <x v="0"/>
    <n v="8.9817797235772837E-2"/>
  </r>
  <r>
    <x v="476"/>
    <x v="239"/>
    <s v="Kabir Desai"/>
    <s v="Consumer"/>
    <x v="0"/>
    <x v="4"/>
    <x v="1"/>
    <s v="Decor"/>
    <x v="23"/>
    <n v="1"/>
    <n v="4533.05"/>
    <n v="3626.44"/>
    <x v="5"/>
    <n v="393.22"/>
    <n v="320.19"/>
    <x v="1"/>
    <x v="3"/>
    <n v="0.10843140931602344"/>
  </r>
  <r>
    <x v="477"/>
    <x v="239"/>
    <s v="Vivaan Malhotra"/>
    <s v="Consumer"/>
    <x v="3"/>
    <x v="10"/>
    <x v="3"/>
    <s v="Footwear"/>
    <x v="33"/>
    <n v="2"/>
    <n v="14621.51"/>
    <n v="29243.02"/>
    <x v="0"/>
    <n v="4747.17"/>
    <n v="259.89999999999998"/>
    <x v="2"/>
    <x v="3"/>
    <n v="0.1623351486953126"/>
  </r>
  <r>
    <x v="478"/>
    <x v="240"/>
    <s v="Rohan Das"/>
    <s v="Small Business"/>
    <x v="0"/>
    <x v="0"/>
    <x v="4"/>
    <s v="Fragrances"/>
    <x v="35"/>
    <n v="1"/>
    <n v="1443.46"/>
    <n v="1443.46"/>
    <x v="0"/>
    <n v="502.57"/>
    <n v="342.27"/>
    <x v="3"/>
    <x v="1"/>
    <n v="0.3481703684203234"/>
  </r>
  <r>
    <x v="479"/>
    <x v="240"/>
    <s v="Ayaan Bose"/>
    <s v="Corporate"/>
    <x v="0"/>
    <x v="4"/>
    <x v="0"/>
    <s v="Headphones"/>
    <x v="15"/>
    <n v="4"/>
    <n v="12261.24"/>
    <n v="46592.71"/>
    <x v="3"/>
    <n v="3165.26"/>
    <n v="361.96"/>
    <x v="3"/>
    <x v="0"/>
    <n v="6.7934661881654881E-2"/>
  </r>
  <r>
    <x v="480"/>
    <x v="240"/>
    <s v="Riya Das"/>
    <s v="Consumer"/>
    <x v="1"/>
    <x v="13"/>
    <x v="3"/>
    <s v="Outdoor Gear"/>
    <x v="34"/>
    <n v="2"/>
    <n v="2649.72"/>
    <n v="4769.5"/>
    <x v="2"/>
    <n v="710.21"/>
    <n v="216.71"/>
    <x v="4"/>
    <x v="0"/>
    <n v="0.14890659398259776"/>
  </r>
  <r>
    <x v="481"/>
    <x v="240"/>
    <s v="Diya Nair"/>
    <s v="Consumer"/>
    <x v="0"/>
    <x v="12"/>
    <x v="5"/>
    <s v="Men's Wear"/>
    <x v="69"/>
    <n v="1"/>
    <n v="896.98"/>
    <n v="717.58"/>
    <x v="5"/>
    <n v="70.569999999999993"/>
    <n v="124.41"/>
    <x v="3"/>
    <x v="0"/>
    <n v="9.8344435463641675E-2"/>
  </r>
  <r>
    <x v="482"/>
    <x v="241"/>
    <s v="Kabir Chopra"/>
    <s v="Consumer"/>
    <x v="1"/>
    <x v="3"/>
    <x v="1"/>
    <s v="Furniture"/>
    <x v="10"/>
    <n v="1"/>
    <n v="10149.25"/>
    <n v="7611.94"/>
    <x v="4"/>
    <n v="443.12"/>
    <n v="85.74"/>
    <x v="3"/>
    <x v="3"/>
    <n v="5.8213806204462995E-2"/>
  </r>
  <r>
    <x v="483"/>
    <x v="242"/>
    <s v="Simran Singh"/>
    <s v="Consumer"/>
    <x v="2"/>
    <x v="11"/>
    <x v="0"/>
    <s v="Laptops"/>
    <x v="94"/>
    <n v="1"/>
    <n v="10862.22"/>
    <n v="9776"/>
    <x v="2"/>
    <n v="249.6"/>
    <n v="168.49"/>
    <x v="3"/>
    <x v="0"/>
    <n v="2.553191489361702E-2"/>
  </r>
  <r>
    <x v="484"/>
    <x v="242"/>
    <s v="Diya Bose"/>
    <s v="Consumer"/>
    <x v="3"/>
    <x v="6"/>
    <x v="1"/>
    <s v="Decor"/>
    <x v="83"/>
    <n v="2"/>
    <n v="1106.46"/>
    <n v="2102.27"/>
    <x v="3"/>
    <n v="282.61"/>
    <n v="54.9"/>
    <x v="1"/>
    <x v="0"/>
    <n v="0.13443087709951623"/>
  </r>
  <r>
    <x v="485"/>
    <x v="242"/>
    <s v="Dhruv Bose"/>
    <s v="Consumer"/>
    <x v="2"/>
    <x v="11"/>
    <x v="4"/>
    <s v="Haircare"/>
    <x v="53"/>
    <n v="2"/>
    <n v="1463"/>
    <n v="2340.8000000000002"/>
    <x v="5"/>
    <n v="293.05"/>
    <n v="247.27"/>
    <x v="1"/>
    <x v="0"/>
    <n v="0.12519224196855774"/>
  </r>
  <r>
    <x v="486"/>
    <x v="243"/>
    <s v="Krishna Reddy"/>
    <s v="Corporate"/>
    <x v="1"/>
    <x v="3"/>
    <x v="2"/>
    <s v="Fiction"/>
    <x v="87"/>
    <n v="1"/>
    <n v="608.85"/>
    <n v="517.52"/>
    <x v="1"/>
    <n v="47.19"/>
    <n v="219.94"/>
    <x v="3"/>
    <x v="3"/>
    <n v="9.1184881743700721E-2"/>
  </r>
  <r>
    <x v="487"/>
    <x v="243"/>
    <s v="Kiara Gupta"/>
    <s v="Consumer"/>
    <x v="1"/>
    <x v="13"/>
    <x v="3"/>
    <s v="Apparel"/>
    <x v="5"/>
    <n v="5"/>
    <n v="6188.09"/>
    <n v="24752.36"/>
    <x v="5"/>
    <n v="2722.63"/>
    <n v="287.07"/>
    <x v="3"/>
    <x v="1"/>
    <n v="0.10999476413562181"/>
  </r>
  <r>
    <x v="488"/>
    <x v="244"/>
    <s v="Ishaan Reddy"/>
    <s v="Consumer"/>
    <x v="2"/>
    <x v="8"/>
    <x v="0"/>
    <s v="Headphones"/>
    <x v="60"/>
    <n v="1"/>
    <n v="30270.9"/>
    <n v="25730.26"/>
    <x v="1"/>
    <n v="-1611.81"/>
    <n v="90.2"/>
    <x v="3"/>
    <x v="0"/>
    <n v="-6.2642585034119361E-2"/>
  </r>
  <r>
    <x v="489"/>
    <x v="245"/>
    <s v="Raj Sharma"/>
    <s v="Consumer"/>
    <x v="3"/>
    <x v="7"/>
    <x v="5"/>
    <s v="Women's Wear"/>
    <x v="42"/>
    <n v="2"/>
    <n v="4106.97"/>
    <n v="7803.24"/>
    <x v="3"/>
    <n v="1578.79"/>
    <n v="97.44"/>
    <x v="1"/>
    <x v="3"/>
    <n v="0.20232493169503948"/>
  </r>
  <r>
    <x v="490"/>
    <x v="246"/>
    <s v="Rohan Gupta"/>
    <s v="Small Business"/>
    <x v="0"/>
    <x v="12"/>
    <x v="2"/>
    <s v="Non-Fiction"/>
    <x v="64"/>
    <n v="2"/>
    <n v="681.58"/>
    <n v="1295"/>
    <x v="3"/>
    <n v="115.08"/>
    <n v="126.41"/>
    <x v="1"/>
    <x v="1"/>
    <n v="8.8864864864864862E-2"/>
  </r>
  <r>
    <x v="491"/>
    <x v="247"/>
    <s v="Karan Khan"/>
    <s v="Small Business"/>
    <x v="3"/>
    <x v="10"/>
    <x v="5"/>
    <s v="Men's Wear"/>
    <x v="21"/>
    <n v="1"/>
    <n v="503.12"/>
    <n v="402.5"/>
    <x v="5"/>
    <n v="35"/>
    <n v="292.56"/>
    <x v="1"/>
    <x v="3"/>
    <n v="8.6956521739130432E-2"/>
  </r>
  <r>
    <x v="492"/>
    <x v="248"/>
    <s v="Saanvi Iyer"/>
    <s v="Consumer"/>
    <x v="3"/>
    <x v="6"/>
    <x v="0"/>
    <s v="Cameras"/>
    <x v="0"/>
    <n v="5"/>
    <n v="11068.08"/>
    <n v="55340.4"/>
    <x v="0"/>
    <n v="5871.64"/>
    <n v="289.47000000000003"/>
    <x v="4"/>
    <x v="2"/>
    <n v="0.10610042572876235"/>
  </r>
  <r>
    <x v="493"/>
    <x v="248"/>
    <s v="Kabir Chopra"/>
    <s v="Corporate"/>
    <x v="2"/>
    <x v="11"/>
    <x v="0"/>
    <s v="Accessories"/>
    <x v="14"/>
    <n v="2"/>
    <n v="50954.14"/>
    <n v="86622.04"/>
    <x v="1"/>
    <n v="1534.97"/>
    <n v="79.23"/>
    <x v="2"/>
    <x v="0"/>
    <n v="1.7720316907798524E-2"/>
  </r>
  <r>
    <x v="494"/>
    <x v="248"/>
    <s v="Meera Bose"/>
    <s v="Consumer"/>
    <x v="3"/>
    <x v="7"/>
    <x v="0"/>
    <s v="Accessories"/>
    <x v="27"/>
    <n v="3"/>
    <n v="30919.68"/>
    <n v="88121.09"/>
    <x v="3"/>
    <n v="8867.0499999999993"/>
    <n v="242.77"/>
    <x v="2"/>
    <x v="2"/>
    <n v="0.10062347163431591"/>
  </r>
  <r>
    <x v="495"/>
    <x v="249"/>
    <s v="Karan Reddy"/>
    <s v="Consumer"/>
    <x v="0"/>
    <x v="4"/>
    <x v="4"/>
    <s v="Fragrances"/>
    <x v="79"/>
    <n v="3"/>
    <n v="822.85"/>
    <n v="2468.5500000000002"/>
    <x v="0"/>
    <n v="901.64"/>
    <n v="254.15"/>
    <x v="3"/>
    <x v="2"/>
    <n v="0.36525085576553035"/>
  </r>
  <r>
    <x v="496"/>
    <x v="249"/>
    <s v="Dhruv Chopra"/>
    <s v="Consumer"/>
    <x v="0"/>
    <x v="4"/>
    <x v="0"/>
    <s v="Headphones"/>
    <x v="68"/>
    <n v="2"/>
    <n v="57861.94"/>
    <n v="109937.69"/>
    <x v="3"/>
    <n v="11382.62"/>
    <n v="363.77"/>
    <x v="1"/>
    <x v="0"/>
    <n v="0.10353701264780077"/>
  </r>
  <r>
    <x v="497"/>
    <x v="250"/>
    <s v="Priya Chopra"/>
    <s v="Consumer"/>
    <x v="0"/>
    <x v="12"/>
    <x v="2"/>
    <s v="Non-Fiction"/>
    <x v="93"/>
    <n v="1"/>
    <n v="1071"/>
    <n v="963.9"/>
    <x v="2"/>
    <n v="29.25"/>
    <n v="208.57"/>
    <x v="0"/>
    <x v="3"/>
    <n v="3.034547152194211E-2"/>
  </r>
  <r>
    <x v="498"/>
    <x v="250"/>
    <s v="Pooja Nair"/>
    <s v="Consumer"/>
    <x v="3"/>
    <x v="5"/>
    <x v="1"/>
    <s v="Decor"/>
    <x v="61"/>
    <n v="1"/>
    <n v="2263.88"/>
    <n v="2263.88"/>
    <x v="0"/>
    <n v="356.14"/>
    <n v="37.99"/>
    <x v="1"/>
    <x v="3"/>
    <n v="0.15731399190769826"/>
  </r>
  <r>
    <x v="499"/>
    <x v="250"/>
    <s v="Aditya Joshi"/>
    <s v="Consumer"/>
    <x v="0"/>
    <x v="0"/>
    <x v="0"/>
    <s v="Mobiles"/>
    <x v="25"/>
    <n v="1"/>
    <n v="14456.58"/>
    <n v="14456.58"/>
    <x v="0"/>
    <n v="770.05"/>
    <n v="136.24"/>
    <x v="2"/>
    <x v="2"/>
    <n v="5.3266401873748835E-2"/>
  </r>
  <r>
    <x v="500"/>
    <x v="250"/>
    <s v="Anika Malhotra"/>
    <s v="Small Business"/>
    <x v="2"/>
    <x v="11"/>
    <x v="0"/>
    <s v="Headphones"/>
    <x v="60"/>
    <n v="1"/>
    <n v="36505.58"/>
    <n v="34680.300000000003"/>
    <x v="3"/>
    <n v="4811.08"/>
    <n v="149.44"/>
    <x v="0"/>
    <x v="0"/>
    <n v="0.1387265969440864"/>
  </r>
  <r>
    <x v="501"/>
    <x v="250"/>
    <s v="Pooja Patel"/>
    <s v="Consumer"/>
    <x v="1"/>
    <x v="3"/>
    <x v="2"/>
    <s v="Fiction"/>
    <x v="49"/>
    <n v="1"/>
    <n v="512.91"/>
    <n v="487.26"/>
    <x v="3"/>
    <n v="55.03"/>
    <n v="54.55"/>
    <x v="1"/>
    <x v="3"/>
    <n v="0.11293765135656529"/>
  </r>
  <r>
    <x v="502"/>
    <x v="251"/>
    <s v="Rohan Mishra"/>
    <s v="Consumer"/>
    <x v="0"/>
    <x v="12"/>
    <x v="1"/>
    <s v="Cookware"/>
    <x v="6"/>
    <n v="3"/>
    <n v="6947.72"/>
    <n v="16674.53"/>
    <x v="5"/>
    <n v="997.72"/>
    <n v="181.21"/>
    <x v="1"/>
    <x v="1"/>
    <n v="5.9834969861219479E-2"/>
  </r>
  <r>
    <x v="503"/>
    <x v="251"/>
    <s v="Aadhya Nair"/>
    <s v="Small Business"/>
    <x v="3"/>
    <x v="10"/>
    <x v="2"/>
    <s v="Comics"/>
    <x v="95"/>
    <n v="2"/>
    <n v="231.05"/>
    <n v="415.89"/>
    <x v="2"/>
    <n v="35.53"/>
    <n v="84.45"/>
    <x v="2"/>
    <x v="1"/>
    <n v="8.5431243838514997E-2"/>
  </r>
  <r>
    <x v="504"/>
    <x v="251"/>
    <s v="Meera Das"/>
    <s v="Consumer"/>
    <x v="3"/>
    <x v="7"/>
    <x v="2"/>
    <s v="Comics"/>
    <x v="30"/>
    <n v="5"/>
    <n v="242.61"/>
    <n v="1031.0899999999999"/>
    <x v="1"/>
    <n v="6.43"/>
    <n v="99.9"/>
    <x v="0"/>
    <x v="0"/>
    <n v="6.2361190584721022E-3"/>
  </r>
  <r>
    <x v="505"/>
    <x v="251"/>
    <s v="Vihaan Rao"/>
    <s v="Consumer"/>
    <x v="0"/>
    <x v="12"/>
    <x v="4"/>
    <s v="Skincare"/>
    <x v="26"/>
    <n v="3"/>
    <n v="1611.37"/>
    <n v="4108.99"/>
    <x v="1"/>
    <n v="936.13"/>
    <n v="347.34"/>
    <x v="4"/>
    <x v="0"/>
    <n v="0.22782484260122318"/>
  </r>
  <r>
    <x v="506"/>
    <x v="252"/>
    <s v="Myra Mishra"/>
    <s v="Corporate"/>
    <x v="0"/>
    <x v="0"/>
    <x v="0"/>
    <s v="Headphones"/>
    <x v="84"/>
    <n v="2"/>
    <n v="60865.88"/>
    <n v="115645.17"/>
    <x v="3"/>
    <n v="8940.81"/>
    <n v="295.7"/>
    <x v="3"/>
    <x v="2"/>
    <n v="7.73124376919503E-2"/>
  </r>
  <r>
    <x v="507"/>
    <x v="253"/>
    <s v="Sai Malhotra"/>
    <s v="Corporate"/>
    <x v="3"/>
    <x v="5"/>
    <x v="1"/>
    <s v="Furniture"/>
    <x v="46"/>
    <n v="1"/>
    <n v="11675.26"/>
    <n v="8756.44"/>
    <x v="4"/>
    <n v="510.96"/>
    <n v="224.73"/>
    <x v="1"/>
    <x v="0"/>
    <n v="5.8352481145305619E-2"/>
  </r>
  <r>
    <x v="508"/>
    <x v="254"/>
    <s v="Vivaan Agarwal"/>
    <s v="Corporate"/>
    <x v="2"/>
    <x v="2"/>
    <x v="1"/>
    <s v="Appliances"/>
    <x v="16"/>
    <n v="1"/>
    <n v="10196.77"/>
    <n v="9686.93"/>
    <x v="3"/>
    <n v="1278.95"/>
    <n v="132.11000000000001"/>
    <x v="0"/>
    <x v="3"/>
    <n v="0.13202841354278394"/>
  </r>
  <r>
    <x v="509"/>
    <x v="255"/>
    <s v="Pooja Chopra"/>
    <s v="Consumer"/>
    <x v="3"/>
    <x v="6"/>
    <x v="1"/>
    <s v="Decor"/>
    <x v="70"/>
    <n v="3"/>
    <n v="9802.42"/>
    <n v="27936.9"/>
    <x v="3"/>
    <n v="5639.28"/>
    <n v="375.93"/>
    <x v="0"/>
    <x v="3"/>
    <n v="0.20185775801896413"/>
  </r>
  <r>
    <x v="510"/>
    <x v="256"/>
    <s v="Kabir Reddy"/>
    <s v="Small Business"/>
    <x v="2"/>
    <x v="8"/>
    <x v="2"/>
    <s v="Academic"/>
    <x v="2"/>
    <n v="2"/>
    <n v="892.01"/>
    <n v="1516.42"/>
    <x v="1"/>
    <n v="9.92"/>
    <n v="198.12"/>
    <x v="0"/>
    <x v="3"/>
    <n v="6.5417232692789595E-3"/>
  </r>
  <r>
    <x v="511"/>
    <x v="256"/>
    <s v="Dhruv Mishra"/>
    <s v="Consumer"/>
    <x v="3"/>
    <x v="6"/>
    <x v="4"/>
    <s v="Fragrances"/>
    <x v="35"/>
    <n v="2"/>
    <n v="1425.15"/>
    <n v="2850.3"/>
    <x v="0"/>
    <n v="687.42"/>
    <n v="114.9"/>
    <x v="4"/>
    <x v="1"/>
    <n v="0.24117461319861064"/>
  </r>
  <r>
    <x v="512"/>
    <x v="257"/>
    <s v="Vivaan Agarwal"/>
    <s v="Small Business"/>
    <x v="0"/>
    <x v="0"/>
    <x v="3"/>
    <s v="Gym Equipment"/>
    <x v="92"/>
    <n v="1"/>
    <n v="14669.67"/>
    <n v="12469.22"/>
    <x v="1"/>
    <n v="1460.06"/>
    <n v="200.21"/>
    <x v="3"/>
    <x v="1"/>
    <n v="0.1170931301236164"/>
  </r>
  <r>
    <x v="513"/>
    <x v="257"/>
    <s v="Neha Bose"/>
    <s v="Small Business"/>
    <x v="2"/>
    <x v="2"/>
    <x v="1"/>
    <s v="Decor"/>
    <x v="23"/>
    <n v="1"/>
    <n v="6507.39"/>
    <n v="6182.02"/>
    <x v="3"/>
    <n v="880.83"/>
    <n v="65.94"/>
    <x v="3"/>
    <x v="0"/>
    <n v="0.14248255424602313"/>
  </r>
  <r>
    <x v="514"/>
    <x v="257"/>
    <s v="Ira Verma"/>
    <s v="Consumer"/>
    <x v="3"/>
    <x v="6"/>
    <x v="5"/>
    <s v="Men's Wear"/>
    <x v="32"/>
    <n v="2"/>
    <n v="4461.8999999999996"/>
    <n v="7139.04"/>
    <x v="5"/>
    <n v="532.42999999999995"/>
    <n v="341.46"/>
    <x v="1"/>
    <x v="0"/>
    <n v="7.4580055581702859E-2"/>
  </r>
  <r>
    <x v="515"/>
    <x v="257"/>
    <s v="Pooja Agarwal"/>
    <s v="Consumer"/>
    <x v="2"/>
    <x v="11"/>
    <x v="4"/>
    <s v="Makeup"/>
    <x v="20"/>
    <n v="1"/>
    <n v="390.29"/>
    <n v="390.29"/>
    <x v="0"/>
    <n v="114.88"/>
    <n v="185.05"/>
    <x v="1"/>
    <x v="2"/>
    <n v="0.29434523046965072"/>
  </r>
  <r>
    <x v="516"/>
    <x v="258"/>
    <s v="Ira Joshi"/>
    <s v="Consumer"/>
    <x v="1"/>
    <x v="13"/>
    <x v="3"/>
    <s v="Apparel"/>
    <x v="75"/>
    <n v="4"/>
    <n v="9838.66"/>
    <n v="39354.639999999999"/>
    <x v="0"/>
    <n v="6158.4"/>
    <n v="245.91"/>
    <x v="1"/>
    <x v="3"/>
    <n v="0.1564847245458223"/>
  </r>
  <r>
    <x v="517"/>
    <x v="258"/>
    <s v="Reyansh Reddy"/>
    <s v="Consumer"/>
    <x v="1"/>
    <x v="3"/>
    <x v="4"/>
    <s v="Fragrances"/>
    <x v="35"/>
    <n v="3"/>
    <n v="745.62"/>
    <n v="2013.17"/>
    <x v="2"/>
    <n v="635.1"/>
    <n v="92.57"/>
    <x v="3"/>
    <x v="0"/>
    <n v="0.31547261284441952"/>
  </r>
  <r>
    <x v="518"/>
    <x v="259"/>
    <s v="Ishaan Bose"/>
    <s v="Consumer"/>
    <x v="0"/>
    <x v="4"/>
    <x v="4"/>
    <s v="Skincare"/>
    <x v="26"/>
    <n v="2"/>
    <n v="1393.77"/>
    <n v="2369.41"/>
    <x v="1"/>
    <n v="310.3"/>
    <n v="292.68"/>
    <x v="1"/>
    <x v="0"/>
    <n v="0.1309608721158432"/>
  </r>
  <r>
    <x v="519"/>
    <x v="260"/>
    <s v="Kiara Iyer"/>
    <s v="Small Business"/>
    <x v="1"/>
    <x v="1"/>
    <x v="3"/>
    <s v="Gym Equipment"/>
    <x v="51"/>
    <n v="1"/>
    <n v="5923.15"/>
    <n v="5034.68"/>
    <x v="1"/>
    <n v="552.46"/>
    <n v="278.2"/>
    <x v="0"/>
    <x v="3"/>
    <n v="0.10973090643298085"/>
  </r>
  <r>
    <x v="520"/>
    <x v="260"/>
    <s v="Reyansh Mehta"/>
    <s v="Consumer"/>
    <x v="1"/>
    <x v="13"/>
    <x v="2"/>
    <s v="Comics"/>
    <x v="95"/>
    <n v="1"/>
    <n v="227.75"/>
    <n v="193.59"/>
    <x v="1"/>
    <n v="2.84"/>
    <n v="144.71"/>
    <x v="1"/>
    <x v="0"/>
    <n v="1.4670179244795701E-2"/>
  </r>
  <r>
    <x v="521"/>
    <x v="261"/>
    <s v="Aadhya Iyer"/>
    <s v="Consumer"/>
    <x v="1"/>
    <x v="3"/>
    <x v="0"/>
    <s v="Headphones"/>
    <x v="84"/>
    <n v="1"/>
    <n v="45120.24"/>
    <n v="31584.17"/>
    <x v="6"/>
    <n v="-677.09"/>
    <n v="149.86000000000001"/>
    <x v="3"/>
    <x v="1"/>
    <n v="-2.1437637905317761E-2"/>
  </r>
  <r>
    <x v="522"/>
    <x v="261"/>
    <s v="Meera Mehta"/>
    <s v="Small Business"/>
    <x v="3"/>
    <x v="6"/>
    <x v="5"/>
    <s v="Footwear"/>
    <x v="11"/>
    <n v="1"/>
    <n v="3269.76"/>
    <n v="2615.81"/>
    <x v="5"/>
    <n v="365.29"/>
    <n v="46.07"/>
    <x v="3"/>
    <x v="0"/>
    <n v="0.13964699270971517"/>
  </r>
  <r>
    <x v="523"/>
    <x v="262"/>
    <s v="Neha Iyer"/>
    <s v="Consumer"/>
    <x v="0"/>
    <x v="4"/>
    <x v="2"/>
    <s v="Comics"/>
    <x v="95"/>
    <n v="1"/>
    <n v="483.41"/>
    <n v="459.24"/>
    <x v="3"/>
    <n v="48.22"/>
    <n v="334.9"/>
    <x v="3"/>
    <x v="3"/>
    <n v="0.10499956449786603"/>
  </r>
  <r>
    <x v="524"/>
    <x v="262"/>
    <s v="Sai Nair"/>
    <s v="Consumer"/>
    <x v="2"/>
    <x v="2"/>
    <x v="5"/>
    <s v="Footwear"/>
    <x v="37"/>
    <n v="3"/>
    <n v="2170.2800000000002"/>
    <n v="6510.84"/>
    <x v="0"/>
    <n v="1386.15"/>
    <n v="224.74"/>
    <x v="1"/>
    <x v="2"/>
    <n v="0.21289879646865842"/>
  </r>
  <r>
    <x v="525"/>
    <x v="262"/>
    <s v="Vivaan Malhotra"/>
    <s v="Corporate"/>
    <x v="1"/>
    <x v="3"/>
    <x v="3"/>
    <s v="Apparel"/>
    <x v="5"/>
    <n v="2"/>
    <n v="7042.98"/>
    <n v="11973.07"/>
    <x v="1"/>
    <n v="1816.03"/>
    <n v="105.9"/>
    <x v="1"/>
    <x v="0"/>
    <n v="0.15167622005049666"/>
  </r>
  <r>
    <x v="526"/>
    <x v="263"/>
    <s v="Reyansh Malhotra"/>
    <s v="Consumer"/>
    <x v="2"/>
    <x v="11"/>
    <x v="3"/>
    <s v="Outdoor Gear"/>
    <x v="34"/>
    <n v="3"/>
    <n v="13170.71"/>
    <n v="35560.92"/>
    <x v="2"/>
    <n v="6576.37"/>
    <n v="370.7"/>
    <x v="3"/>
    <x v="0"/>
    <n v="0.18493250455837476"/>
  </r>
  <r>
    <x v="527"/>
    <x v="263"/>
    <s v="Rohan Joshi"/>
    <s v="Consumer"/>
    <x v="3"/>
    <x v="7"/>
    <x v="3"/>
    <s v="Apparel"/>
    <x v="66"/>
    <n v="2"/>
    <n v="9600.8700000000008"/>
    <n v="18241.650000000001"/>
    <x v="3"/>
    <n v="1518.68"/>
    <n v="296.01"/>
    <x v="0"/>
    <x v="0"/>
    <n v="8.3253433762844914E-2"/>
  </r>
  <r>
    <x v="528"/>
    <x v="263"/>
    <s v="Meera Verma"/>
    <s v="Consumer"/>
    <x v="0"/>
    <x v="12"/>
    <x v="5"/>
    <s v="Kids Wear"/>
    <x v="65"/>
    <n v="1"/>
    <n v="1405.64"/>
    <n v="1405.64"/>
    <x v="0"/>
    <n v="191.98"/>
    <n v="30.21"/>
    <x v="0"/>
    <x v="2"/>
    <n v="0.13657835576676813"/>
  </r>
  <r>
    <x v="529"/>
    <x v="264"/>
    <s v="Ananya Reddy"/>
    <s v="Consumer"/>
    <x v="2"/>
    <x v="11"/>
    <x v="3"/>
    <s v="Gym Equipment"/>
    <x v="51"/>
    <n v="2"/>
    <n v="3853.44"/>
    <n v="7706.88"/>
    <x v="0"/>
    <n v="1459.96"/>
    <n v="208.94"/>
    <x v="0"/>
    <x v="3"/>
    <n v="0.18943593256934063"/>
  </r>
  <r>
    <x v="530"/>
    <x v="265"/>
    <s v="Arjun Agarwal"/>
    <s v="Consumer"/>
    <x v="3"/>
    <x v="6"/>
    <x v="5"/>
    <s v="Men's Wear"/>
    <x v="21"/>
    <n v="5"/>
    <n v="4180.91"/>
    <n v="15678.41"/>
    <x v="4"/>
    <n v="1130.79"/>
    <n v="341.69"/>
    <x v="1"/>
    <x v="2"/>
    <n v="7.2124022780371222E-2"/>
  </r>
  <r>
    <x v="531"/>
    <x v="265"/>
    <s v="Kabir Joshi"/>
    <s v="Small Business"/>
    <x v="2"/>
    <x v="9"/>
    <x v="2"/>
    <s v="Non-Fiction"/>
    <x v="64"/>
    <n v="2"/>
    <n v="401.54"/>
    <n v="602.30999999999995"/>
    <x v="4"/>
    <n v="-1.05"/>
    <n v="360.41"/>
    <x v="2"/>
    <x v="3"/>
    <n v="-1.7432883398914184E-3"/>
  </r>
  <r>
    <x v="532"/>
    <x v="265"/>
    <s v="Kabir Mehta"/>
    <s v="Consumer"/>
    <x v="0"/>
    <x v="12"/>
    <x v="0"/>
    <s v="Mobiles"/>
    <x v="4"/>
    <n v="2"/>
    <n v="2072.27"/>
    <n v="3937.31"/>
    <x v="3"/>
    <n v="519.29999999999995"/>
    <n v="69.11"/>
    <x v="3"/>
    <x v="3"/>
    <n v="0.13189207860188809"/>
  </r>
  <r>
    <x v="533"/>
    <x v="266"/>
    <s v="Ananya Reddy"/>
    <s v="Small Business"/>
    <x v="3"/>
    <x v="10"/>
    <x v="1"/>
    <s v="Appliances"/>
    <x v="7"/>
    <n v="1"/>
    <n v="4141.59"/>
    <n v="3520.35"/>
    <x v="1"/>
    <n v="396"/>
    <n v="124.88"/>
    <x v="0"/>
    <x v="1"/>
    <n v="0.1124888150325962"/>
  </r>
  <r>
    <x v="534"/>
    <x v="266"/>
    <s v="Raj Bose"/>
    <s v="Corporate"/>
    <x v="1"/>
    <x v="13"/>
    <x v="4"/>
    <s v="Skincare"/>
    <x v="67"/>
    <n v="2"/>
    <n v="1035.04"/>
    <n v="1656.06"/>
    <x v="5"/>
    <n v="286.66000000000003"/>
    <n v="55.95"/>
    <x v="4"/>
    <x v="3"/>
    <n v="0.17309759308237627"/>
  </r>
  <r>
    <x v="535"/>
    <x v="266"/>
    <s v="Kabir Singh"/>
    <s v="Corporate"/>
    <x v="0"/>
    <x v="0"/>
    <x v="5"/>
    <s v="Men's Wear"/>
    <x v="32"/>
    <n v="5"/>
    <n v="1063.6600000000001"/>
    <n v="4254.6400000000003"/>
    <x v="5"/>
    <n v="460.39"/>
    <n v="148.69"/>
    <x v="2"/>
    <x v="3"/>
    <n v="0.10820892014365492"/>
  </r>
  <r>
    <x v="536"/>
    <x v="267"/>
    <s v="Myra Mehta"/>
    <s v="Corporate"/>
    <x v="1"/>
    <x v="1"/>
    <x v="5"/>
    <s v="Kids Wear"/>
    <x v="65"/>
    <n v="3"/>
    <n v="4054.74"/>
    <n v="12164.22"/>
    <x v="0"/>
    <n v="2070.3200000000002"/>
    <n v="167.99"/>
    <x v="2"/>
    <x v="0"/>
    <n v="0.17019751369179448"/>
  </r>
  <r>
    <x v="537"/>
    <x v="267"/>
    <s v="Dhruv Das"/>
    <s v="Consumer"/>
    <x v="2"/>
    <x v="9"/>
    <x v="4"/>
    <s v="Fragrances"/>
    <x v="41"/>
    <n v="1"/>
    <n v="917.49"/>
    <n v="779.87"/>
    <x v="1"/>
    <n v="193.54"/>
    <n v="268.67"/>
    <x v="2"/>
    <x v="2"/>
    <n v="0.24816956672265889"/>
  </r>
  <r>
    <x v="538"/>
    <x v="268"/>
    <s v="Neha Khan"/>
    <s v="Corporate"/>
    <x v="0"/>
    <x v="0"/>
    <x v="0"/>
    <s v="Mobiles"/>
    <x v="25"/>
    <n v="1"/>
    <n v="61312.47"/>
    <n v="58246.85"/>
    <x v="3"/>
    <n v="-1825.22"/>
    <n v="35.11"/>
    <x v="1"/>
    <x v="0"/>
    <n v="-3.1335943488789521E-2"/>
  </r>
  <r>
    <x v="539"/>
    <x v="269"/>
    <s v="Diya Desai"/>
    <s v="Corporate"/>
    <x v="2"/>
    <x v="11"/>
    <x v="5"/>
    <s v="Footwear"/>
    <x v="11"/>
    <n v="2"/>
    <n v="671.31"/>
    <n v="939.83"/>
    <x v="6"/>
    <n v="79.55"/>
    <n v="298.38"/>
    <x v="1"/>
    <x v="2"/>
    <n v="8.4642967345158165E-2"/>
  </r>
  <r>
    <x v="540"/>
    <x v="269"/>
    <s v="Kiara Das"/>
    <s v="Small Business"/>
    <x v="2"/>
    <x v="11"/>
    <x v="1"/>
    <s v="Furniture"/>
    <x v="46"/>
    <n v="1"/>
    <n v="4190.21"/>
    <n v="3980.7"/>
    <x v="3"/>
    <n v="614.20000000000005"/>
    <n v="331.16"/>
    <x v="3"/>
    <x v="0"/>
    <n v="0.1542944708217148"/>
  </r>
  <r>
    <x v="541"/>
    <x v="269"/>
    <s v="Ananya Iyer"/>
    <s v="Small Business"/>
    <x v="1"/>
    <x v="1"/>
    <x v="0"/>
    <s v="Headphones"/>
    <x v="81"/>
    <n v="3"/>
    <n v="47918.94"/>
    <n v="136568.98000000001"/>
    <x v="3"/>
    <n v="5768.51"/>
    <n v="61.07"/>
    <x v="3"/>
    <x v="3"/>
    <n v="4.2238801227042919E-2"/>
  </r>
  <r>
    <x v="542"/>
    <x v="270"/>
    <s v="Simran Das"/>
    <s v="Consumer"/>
    <x v="2"/>
    <x v="11"/>
    <x v="5"/>
    <s v="Kids Wear"/>
    <x v="65"/>
    <n v="2"/>
    <n v="1453.76"/>
    <n v="2762.14"/>
    <x v="3"/>
    <n v="499.89"/>
    <n v="219.9"/>
    <x v="1"/>
    <x v="2"/>
    <n v="0.18097924073363408"/>
  </r>
  <r>
    <x v="543"/>
    <x v="270"/>
    <s v="Ira Desai"/>
    <s v="Small Business"/>
    <x v="2"/>
    <x v="8"/>
    <x v="4"/>
    <s v="Makeup"/>
    <x v="63"/>
    <n v="3"/>
    <n v="1505.77"/>
    <n v="4291.4399999999996"/>
    <x v="3"/>
    <n v="997.5"/>
    <n v="266.32"/>
    <x v="3"/>
    <x v="2"/>
    <n v="0.23243946088026399"/>
  </r>
  <r>
    <x v="544"/>
    <x v="270"/>
    <s v="Aarav Chopra"/>
    <s v="Corporate"/>
    <x v="3"/>
    <x v="6"/>
    <x v="4"/>
    <s v="Haircare"/>
    <x v="85"/>
    <n v="1"/>
    <n v="200.76"/>
    <n v="180.68"/>
    <x v="2"/>
    <n v="40.19"/>
    <n v="146.74"/>
    <x v="1"/>
    <x v="0"/>
    <n v="0.22243745849014832"/>
  </r>
  <r>
    <x v="545"/>
    <x v="270"/>
    <s v="Meera Mishra"/>
    <s v="Consumer"/>
    <x v="2"/>
    <x v="2"/>
    <x v="0"/>
    <s v="Headphones"/>
    <x v="60"/>
    <n v="2"/>
    <n v="24543.51"/>
    <n v="39269.620000000003"/>
    <x v="5"/>
    <n v="1417.45"/>
    <n v="182.96"/>
    <x v="3"/>
    <x v="2"/>
    <n v="3.6095332727945927E-2"/>
  </r>
  <r>
    <x v="546"/>
    <x v="270"/>
    <s v="Kabir Nair"/>
    <s v="Corporate"/>
    <x v="2"/>
    <x v="11"/>
    <x v="1"/>
    <s v="Furniture"/>
    <x v="39"/>
    <n v="3"/>
    <n v="8775.9699999999993"/>
    <n v="26327.91"/>
    <x v="0"/>
    <n v="4605.57"/>
    <n v="225.21"/>
    <x v="2"/>
    <x v="2"/>
    <n v="0.17493109023845796"/>
  </r>
  <r>
    <x v="547"/>
    <x v="270"/>
    <s v="Sai Desai"/>
    <s v="Corporate"/>
    <x v="0"/>
    <x v="0"/>
    <x v="5"/>
    <s v="Kids Wear"/>
    <x v="52"/>
    <n v="1"/>
    <n v="1336.66"/>
    <n v="1269.83"/>
    <x v="3"/>
    <n v="186.76"/>
    <n v="62.61"/>
    <x v="1"/>
    <x v="0"/>
    <n v="0.14707480528889694"/>
  </r>
  <r>
    <x v="548"/>
    <x v="271"/>
    <s v="Simran Gupta"/>
    <s v="Corporate"/>
    <x v="3"/>
    <x v="10"/>
    <x v="2"/>
    <s v="Fiction"/>
    <x v="87"/>
    <n v="5"/>
    <n v="910.5"/>
    <n v="4097.25"/>
    <x v="2"/>
    <n v="455.91"/>
    <n v="329.73"/>
    <x v="2"/>
    <x v="3"/>
    <n v="0.11127219476478126"/>
  </r>
  <r>
    <x v="549"/>
    <x v="271"/>
    <s v="Karan Gupta"/>
    <s v="Consumer"/>
    <x v="1"/>
    <x v="3"/>
    <x v="4"/>
    <s v="Makeup"/>
    <x v="63"/>
    <n v="4"/>
    <n v="271.64"/>
    <n v="814.92"/>
    <x v="4"/>
    <n v="92.39"/>
    <n v="253.35"/>
    <x v="1"/>
    <x v="3"/>
    <n v="0.11337309183723557"/>
  </r>
  <r>
    <x v="550"/>
    <x v="271"/>
    <s v="Meera Mishra"/>
    <s v="Consumer"/>
    <x v="3"/>
    <x v="10"/>
    <x v="4"/>
    <s v="Makeup"/>
    <x v="59"/>
    <n v="3"/>
    <n v="1296.22"/>
    <n v="2916.49"/>
    <x v="4"/>
    <n v="316.32"/>
    <n v="369.76"/>
    <x v="1"/>
    <x v="3"/>
    <n v="0.10845914095368063"/>
  </r>
  <r>
    <x v="551"/>
    <x v="272"/>
    <s v="Sai Khan"/>
    <s v="Consumer"/>
    <x v="2"/>
    <x v="2"/>
    <x v="0"/>
    <s v="Cameras"/>
    <x v="0"/>
    <n v="1"/>
    <n v="39705.14"/>
    <n v="39705.14"/>
    <x v="0"/>
    <n v="6516.34"/>
    <n v="68.52"/>
    <x v="1"/>
    <x v="2"/>
    <n v="0.16411829803395733"/>
  </r>
  <r>
    <x v="552"/>
    <x v="272"/>
    <s v="Reyansh Khan"/>
    <s v="Consumer"/>
    <x v="2"/>
    <x v="2"/>
    <x v="1"/>
    <s v="Furniture"/>
    <x v="44"/>
    <n v="1"/>
    <n v="8643.69"/>
    <n v="6482.77"/>
    <x v="4"/>
    <n v="145.69"/>
    <n v="94.55"/>
    <x v="1"/>
    <x v="3"/>
    <n v="2.2473417998787555E-2"/>
  </r>
  <r>
    <x v="553"/>
    <x v="272"/>
    <s v="Meera Singh"/>
    <s v="Consumer"/>
    <x v="3"/>
    <x v="7"/>
    <x v="4"/>
    <s v="Skincare"/>
    <x v="56"/>
    <n v="1"/>
    <n v="750.07"/>
    <n v="750.07"/>
    <x v="0"/>
    <n v="208.48"/>
    <n v="199.84"/>
    <x v="1"/>
    <x v="0"/>
    <n v="0.27794739157678611"/>
  </r>
  <r>
    <x v="554"/>
    <x v="273"/>
    <s v="Kabir Iyer"/>
    <s v="Consumer"/>
    <x v="3"/>
    <x v="10"/>
    <x v="1"/>
    <s v="Appliances"/>
    <x v="45"/>
    <n v="2"/>
    <n v="9554.39"/>
    <n v="14331.58"/>
    <x v="4"/>
    <n v="-196.32"/>
    <n v="216.87"/>
    <x v="0"/>
    <x v="1"/>
    <n v="-1.3698419853219254E-2"/>
  </r>
  <r>
    <x v="555"/>
    <x v="274"/>
    <s v="Riya Joshi"/>
    <s v="Consumer"/>
    <x v="3"/>
    <x v="7"/>
    <x v="0"/>
    <s v="Accessories"/>
    <x v="50"/>
    <n v="4"/>
    <n v="58702.69"/>
    <n v="223070.22"/>
    <x v="3"/>
    <n v="803.76"/>
    <n v="156.38"/>
    <x v="1"/>
    <x v="3"/>
    <n v="3.6031703380218121E-3"/>
  </r>
  <r>
    <x v="556"/>
    <x v="275"/>
    <s v="Karan Rao"/>
    <s v="Consumer"/>
    <x v="1"/>
    <x v="3"/>
    <x v="0"/>
    <s v="Headphones"/>
    <x v="81"/>
    <n v="3"/>
    <n v="26910.14"/>
    <n v="64584.34"/>
    <x v="5"/>
    <n v="440.82"/>
    <n v="170.75"/>
    <x v="1"/>
    <x v="3"/>
    <n v="6.8254936103705642E-3"/>
  </r>
  <r>
    <x v="557"/>
    <x v="275"/>
    <s v="Aditya Verma"/>
    <s v="Consumer"/>
    <x v="0"/>
    <x v="0"/>
    <x v="4"/>
    <s v="Makeup"/>
    <x v="20"/>
    <n v="3"/>
    <n v="658.27"/>
    <n v="1974.81"/>
    <x v="0"/>
    <n v="445.12"/>
    <n v="74.39"/>
    <x v="3"/>
    <x v="3"/>
    <n v="0.22539889913460029"/>
  </r>
  <r>
    <x v="558"/>
    <x v="275"/>
    <s v="Anika Das"/>
    <s v="Corporate"/>
    <x v="2"/>
    <x v="11"/>
    <x v="2"/>
    <s v="Academic"/>
    <x v="2"/>
    <n v="1"/>
    <n v="721.73"/>
    <n v="721.73"/>
    <x v="0"/>
    <n v="93.63"/>
    <n v="95.43"/>
    <x v="0"/>
    <x v="3"/>
    <n v="0.12972995441508597"/>
  </r>
  <r>
    <x v="559"/>
    <x v="276"/>
    <s v="Raj Mehta"/>
    <s v="Consumer"/>
    <x v="3"/>
    <x v="5"/>
    <x v="2"/>
    <s v="Fiction"/>
    <x v="49"/>
    <n v="3"/>
    <n v="581.75"/>
    <n v="1657.99"/>
    <x v="3"/>
    <n v="299.66000000000003"/>
    <n v="241.18"/>
    <x v="3"/>
    <x v="0"/>
    <n v="0.18073691638670922"/>
  </r>
  <r>
    <x v="560"/>
    <x v="277"/>
    <s v="Kabir Malhotra"/>
    <s v="Consumer"/>
    <x v="2"/>
    <x v="2"/>
    <x v="1"/>
    <s v="Decor"/>
    <x v="61"/>
    <n v="2"/>
    <n v="9286.35"/>
    <n v="14858.16"/>
    <x v="5"/>
    <n v="508.4"/>
    <n v="297.3"/>
    <x v="1"/>
    <x v="3"/>
    <n v="3.4216888228421283E-2"/>
  </r>
  <r>
    <x v="561"/>
    <x v="277"/>
    <s v="Sai Mishra"/>
    <s v="Small Business"/>
    <x v="3"/>
    <x v="6"/>
    <x v="1"/>
    <s v="Decor"/>
    <x v="61"/>
    <n v="1"/>
    <n v="3395.48"/>
    <n v="2376.84"/>
    <x v="6"/>
    <n v="-149.94"/>
    <n v="277.77999999999997"/>
    <x v="1"/>
    <x v="3"/>
    <n v="-6.3083758267279244E-2"/>
  </r>
  <r>
    <x v="562"/>
    <x v="277"/>
    <s v="Neha Rao"/>
    <s v="Small Business"/>
    <x v="1"/>
    <x v="1"/>
    <x v="3"/>
    <s v="Footwear"/>
    <x v="29"/>
    <n v="1"/>
    <n v="2313.3200000000002"/>
    <n v="1619.32"/>
    <x v="6"/>
    <n v="152.94999999999999"/>
    <n v="98.15"/>
    <x v="3"/>
    <x v="3"/>
    <n v="9.4453227280586916E-2"/>
  </r>
  <r>
    <x v="563"/>
    <x v="278"/>
    <s v="Riya Chopra"/>
    <s v="Corporate"/>
    <x v="1"/>
    <x v="1"/>
    <x v="0"/>
    <s v="Accessories"/>
    <x v="89"/>
    <n v="1"/>
    <n v="15530.48"/>
    <n v="13977.43"/>
    <x v="2"/>
    <n v="-171.09"/>
    <n v="170.61"/>
    <x v="0"/>
    <x v="2"/>
    <n v="-1.2240447635938796E-2"/>
  </r>
  <r>
    <x v="564"/>
    <x v="279"/>
    <s v="Neha Khan"/>
    <s v="Consumer"/>
    <x v="0"/>
    <x v="0"/>
    <x v="0"/>
    <s v="Headphones"/>
    <x v="81"/>
    <n v="3"/>
    <n v="18927.009999999998"/>
    <n v="53941.98"/>
    <x v="3"/>
    <n v="5559.86"/>
    <n v="148.41999999999999"/>
    <x v="1"/>
    <x v="1"/>
    <n v="0.10307111455678859"/>
  </r>
  <r>
    <x v="565"/>
    <x v="279"/>
    <s v="Myra Mishra"/>
    <s v="Consumer"/>
    <x v="3"/>
    <x v="6"/>
    <x v="3"/>
    <s v="Gym Equipment"/>
    <x v="92"/>
    <n v="3"/>
    <n v="10391.040000000001"/>
    <n v="28055.81"/>
    <x v="2"/>
    <n v="1131.74"/>
    <n v="279.42"/>
    <x v="1"/>
    <x v="0"/>
    <n v="4.0338881679053286E-2"/>
  </r>
  <r>
    <x v="566"/>
    <x v="280"/>
    <s v="Priya Das"/>
    <s v="Consumer"/>
    <x v="3"/>
    <x v="5"/>
    <x v="0"/>
    <s v="Laptops"/>
    <x v="90"/>
    <n v="1"/>
    <n v="36208.04"/>
    <n v="28966.43"/>
    <x v="5"/>
    <n v="-3687.22"/>
    <n v="316.14999999999998"/>
    <x v="1"/>
    <x v="1"/>
    <n v="-0.12729286971159373"/>
  </r>
  <r>
    <x v="567"/>
    <x v="281"/>
    <s v="Diya Rao"/>
    <s v="Consumer"/>
    <x v="0"/>
    <x v="12"/>
    <x v="0"/>
    <s v="Cameras"/>
    <x v="0"/>
    <n v="2"/>
    <n v="39932.32"/>
    <n v="79864.639999999999"/>
    <x v="0"/>
    <n v="7547.46"/>
    <n v="247.02"/>
    <x v="3"/>
    <x v="3"/>
    <n v="9.4503149328664104E-2"/>
  </r>
  <r>
    <x v="568"/>
    <x v="282"/>
    <s v="Aarav Gupta"/>
    <s v="Consumer"/>
    <x v="2"/>
    <x v="8"/>
    <x v="2"/>
    <s v="Comics"/>
    <x v="30"/>
    <n v="1"/>
    <n v="278.95"/>
    <n v="251.06"/>
    <x v="2"/>
    <n v="14.72"/>
    <n v="89.62"/>
    <x v="0"/>
    <x v="3"/>
    <n v="5.8631402851907911E-2"/>
  </r>
  <r>
    <x v="569"/>
    <x v="283"/>
    <s v="Aadhya Nair"/>
    <s v="Consumer"/>
    <x v="2"/>
    <x v="2"/>
    <x v="0"/>
    <s v="Laptops"/>
    <x v="90"/>
    <n v="5"/>
    <n v="19700.09"/>
    <n v="98500.45"/>
    <x v="0"/>
    <n v="20777.39"/>
    <n v="270.25"/>
    <x v="3"/>
    <x v="0"/>
    <n v="0.21093700587154679"/>
  </r>
  <r>
    <x v="570"/>
    <x v="284"/>
    <s v="Sai Malhotra"/>
    <s v="Consumer"/>
    <x v="1"/>
    <x v="1"/>
    <x v="3"/>
    <s v="Footwear"/>
    <x v="29"/>
    <n v="2"/>
    <n v="11248.81"/>
    <n v="20247.86"/>
    <x v="2"/>
    <n v="3086"/>
    <n v="55.73"/>
    <x v="2"/>
    <x v="3"/>
    <n v="0.15241116839014099"/>
  </r>
  <r>
    <x v="571"/>
    <x v="285"/>
    <s v="Reyansh Agarwal"/>
    <s v="Consumer"/>
    <x v="0"/>
    <x v="4"/>
    <x v="4"/>
    <s v="Skincare"/>
    <x v="67"/>
    <n v="4"/>
    <n v="1515.4"/>
    <n v="6061.6"/>
    <x v="0"/>
    <n v="1526.08"/>
    <n v="390.6"/>
    <x v="1"/>
    <x v="1"/>
    <n v="0.25176191104658835"/>
  </r>
  <r>
    <x v="572"/>
    <x v="286"/>
    <s v="Ananya Singh"/>
    <s v="Corporate"/>
    <x v="1"/>
    <x v="1"/>
    <x v="0"/>
    <s v="Accessories"/>
    <x v="50"/>
    <n v="2"/>
    <n v="2375.69"/>
    <n v="4276.24"/>
    <x v="2"/>
    <n v="424.71"/>
    <n v="170.49"/>
    <x v="2"/>
    <x v="3"/>
    <n v="9.9318560230482855E-2"/>
  </r>
  <r>
    <x v="573"/>
    <x v="286"/>
    <s v="Navya Das"/>
    <s v="Small Business"/>
    <x v="0"/>
    <x v="4"/>
    <x v="5"/>
    <s v="Men's Wear"/>
    <x v="21"/>
    <n v="4"/>
    <n v="2144.6799999999998"/>
    <n v="8578.7199999999993"/>
    <x v="0"/>
    <n v="1980.75"/>
    <n v="270.37"/>
    <x v="0"/>
    <x v="2"/>
    <n v="0.23089108864725741"/>
  </r>
  <r>
    <x v="574"/>
    <x v="286"/>
    <s v="Rohan Desai"/>
    <s v="Small Business"/>
    <x v="2"/>
    <x v="2"/>
    <x v="0"/>
    <s v="Headphones"/>
    <x v="15"/>
    <n v="2"/>
    <n v="60426.66"/>
    <n v="114810.65"/>
    <x v="3"/>
    <n v="-3251.19"/>
    <n v="261.31"/>
    <x v="3"/>
    <x v="2"/>
    <n v="-2.8317843335962302E-2"/>
  </r>
  <r>
    <x v="575"/>
    <x v="287"/>
    <s v="Aditya Agarwal"/>
    <s v="Consumer"/>
    <x v="2"/>
    <x v="9"/>
    <x v="3"/>
    <s v="Apparel"/>
    <x v="18"/>
    <n v="2"/>
    <n v="4590.29"/>
    <n v="7344.46"/>
    <x v="5"/>
    <n v="997.17"/>
    <n v="194.66"/>
    <x v="3"/>
    <x v="3"/>
    <n v="0.13577172453795106"/>
  </r>
  <r>
    <x v="576"/>
    <x v="287"/>
    <s v="Raj Desai"/>
    <s v="Consumer"/>
    <x v="1"/>
    <x v="13"/>
    <x v="5"/>
    <s v="Footwear"/>
    <x v="37"/>
    <n v="1"/>
    <n v="1573.8"/>
    <n v="1573.8"/>
    <x v="0"/>
    <n v="361.22"/>
    <n v="200.1"/>
    <x v="2"/>
    <x v="2"/>
    <n v="0.22952090481636805"/>
  </r>
  <r>
    <x v="577"/>
    <x v="287"/>
    <s v="Diya Mehta"/>
    <s v="Consumer"/>
    <x v="2"/>
    <x v="8"/>
    <x v="2"/>
    <s v="Non-Fiction"/>
    <x v="93"/>
    <n v="3"/>
    <n v="655.75"/>
    <n v="1672.16"/>
    <x v="1"/>
    <n v="223.92"/>
    <n v="139.59"/>
    <x v="1"/>
    <x v="3"/>
    <n v="0.13391063056166871"/>
  </r>
  <r>
    <x v="578"/>
    <x v="288"/>
    <s v="Ananya Nair"/>
    <s v="Small Business"/>
    <x v="1"/>
    <x v="3"/>
    <x v="1"/>
    <s v="Furniture"/>
    <x v="10"/>
    <n v="3"/>
    <n v="11218.04"/>
    <n v="31971.41"/>
    <x v="3"/>
    <n v="4756.8999999999996"/>
    <n v="245.84"/>
    <x v="1"/>
    <x v="3"/>
    <n v="0.14878605604194498"/>
  </r>
  <r>
    <x v="579"/>
    <x v="288"/>
    <s v="Aditya Agarwal"/>
    <s v="Consumer"/>
    <x v="0"/>
    <x v="12"/>
    <x v="5"/>
    <s v="Women's Wear"/>
    <x v="86"/>
    <n v="2"/>
    <n v="3277.86"/>
    <n v="6227.93"/>
    <x v="3"/>
    <n v="972.65"/>
    <n v="101.69"/>
    <x v="1"/>
    <x v="3"/>
    <n v="0.15617548687926805"/>
  </r>
  <r>
    <x v="580"/>
    <x v="288"/>
    <s v="Dhruv Singh"/>
    <s v="Consumer"/>
    <x v="1"/>
    <x v="1"/>
    <x v="2"/>
    <s v="Academic"/>
    <x v="2"/>
    <n v="1"/>
    <n v="1085.4000000000001"/>
    <n v="759.78"/>
    <x v="6"/>
    <n v="-49.75"/>
    <n v="63.71"/>
    <x v="3"/>
    <x v="1"/>
    <n v="-6.547948090236648E-2"/>
  </r>
  <r>
    <x v="581"/>
    <x v="289"/>
    <s v="Meera Kapoor"/>
    <s v="Corporate"/>
    <x v="0"/>
    <x v="4"/>
    <x v="4"/>
    <s v="Haircare"/>
    <x v="53"/>
    <n v="1"/>
    <n v="746.35"/>
    <n v="709.03"/>
    <x v="3"/>
    <n v="118.98"/>
    <n v="149.44"/>
    <x v="1"/>
    <x v="0"/>
    <n v="0.16780672185944179"/>
  </r>
  <r>
    <x v="582"/>
    <x v="290"/>
    <s v="Raj Khan"/>
    <s v="Small Business"/>
    <x v="2"/>
    <x v="11"/>
    <x v="4"/>
    <s v="Haircare"/>
    <x v="17"/>
    <n v="2"/>
    <n v="1850.56"/>
    <n v="2960.9"/>
    <x v="5"/>
    <n v="520.55999999999995"/>
    <n v="308.42"/>
    <x v="1"/>
    <x v="2"/>
    <n v="0.1758114086933027"/>
  </r>
  <r>
    <x v="583"/>
    <x v="290"/>
    <s v="Ishaan Gupta"/>
    <s v="Small Business"/>
    <x v="1"/>
    <x v="13"/>
    <x v="0"/>
    <s v="Cameras"/>
    <x v="0"/>
    <n v="3"/>
    <n v="24745.58"/>
    <n v="70524.899999999994"/>
    <x v="3"/>
    <n v="4192.25"/>
    <n v="300.38"/>
    <x v="2"/>
    <x v="0"/>
    <n v="5.9443544053235105E-2"/>
  </r>
  <r>
    <x v="584"/>
    <x v="291"/>
    <s v="Anika Desai"/>
    <s v="Consumer"/>
    <x v="3"/>
    <x v="10"/>
    <x v="2"/>
    <s v="Fiction"/>
    <x v="9"/>
    <n v="3"/>
    <n v="562.01"/>
    <n v="1517.43"/>
    <x v="2"/>
    <n v="158.68"/>
    <n v="361.71"/>
    <x v="3"/>
    <x v="3"/>
    <n v="0.10457154531016258"/>
  </r>
  <r>
    <x v="585"/>
    <x v="291"/>
    <s v="Karan Bose"/>
    <s v="Consumer"/>
    <x v="0"/>
    <x v="12"/>
    <x v="5"/>
    <s v="Men's Wear"/>
    <x v="21"/>
    <n v="2"/>
    <n v="3109.75"/>
    <n v="5597.55"/>
    <x v="2"/>
    <n v="992.57"/>
    <n v="230.82"/>
    <x v="0"/>
    <x v="0"/>
    <n v="0.17732222132897429"/>
  </r>
  <r>
    <x v="586"/>
    <x v="291"/>
    <s v="Ayaan Iyer"/>
    <s v="Consumer"/>
    <x v="3"/>
    <x v="7"/>
    <x v="2"/>
    <s v="Fiction"/>
    <x v="76"/>
    <n v="1"/>
    <n v="597.39"/>
    <n v="597.39"/>
    <x v="0"/>
    <n v="116.86"/>
    <n v="71.83"/>
    <x v="3"/>
    <x v="3"/>
    <n v="0.19561760324076399"/>
  </r>
  <r>
    <x v="587"/>
    <x v="292"/>
    <s v="Myra Nair"/>
    <s v="Corporate"/>
    <x v="3"/>
    <x v="5"/>
    <x v="2"/>
    <s v="Non-Fiction"/>
    <x v="36"/>
    <n v="3"/>
    <n v="1181.6500000000001"/>
    <n v="2658.71"/>
    <x v="4"/>
    <n v="-89.72"/>
    <n v="200.75"/>
    <x v="1"/>
    <x v="2"/>
    <n v="-3.3745688698654609E-2"/>
  </r>
  <r>
    <x v="588"/>
    <x v="293"/>
    <s v="Priya Agarwal"/>
    <s v="Small Business"/>
    <x v="1"/>
    <x v="3"/>
    <x v="5"/>
    <s v="Footwear"/>
    <x v="11"/>
    <n v="3"/>
    <n v="830.82"/>
    <n v="1869.35"/>
    <x v="4"/>
    <n v="-66.819999999999993"/>
    <n v="68.91"/>
    <x v="1"/>
    <x v="2"/>
    <n v="-3.5745045069141682E-2"/>
  </r>
  <r>
    <x v="589"/>
    <x v="294"/>
    <s v="Simran Mishra"/>
    <s v="Consumer"/>
    <x v="3"/>
    <x v="7"/>
    <x v="0"/>
    <s v="Cameras"/>
    <x v="8"/>
    <n v="3"/>
    <n v="54018"/>
    <n v="162054"/>
    <x v="0"/>
    <n v="20385.900000000001"/>
    <n v="312.07"/>
    <x v="3"/>
    <x v="3"/>
    <n v="0.12579695657003223"/>
  </r>
  <r>
    <x v="590"/>
    <x v="295"/>
    <s v="Meera Nair"/>
    <s v="Consumer"/>
    <x v="3"/>
    <x v="6"/>
    <x v="0"/>
    <s v="Laptops"/>
    <x v="90"/>
    <n v="1"/>
    <n v="32388.41"/>
    <n v="22671.89"/>
    <x v="6"/>
    <n v="-1420.97"/>
    <n v="243.4"/>
    <x v="3"/>
    <x v="2"/>
    <n v="-6.2675409945972746E-2"/>
  </r>
  <r>
    <x v="591"/>
    <x v="295"/>
    <s v="Myra Reddy"/>
    <s v="Small Business"/>
    <x v="0"/>
    <x v="0"/>
    <x v="4"/>
    <s v="Fragrances"/>
    <x v="19"/>
    <n v="3"/>
    <n v="1087.51"/>
    <n v="3262.53"/>
    <x v="0"/>
    <n v="984.7"/>
    <n v="92.4"/>
    <x v="1"/>
    <x v="2"/>
    <n v="0.30182097942394398"/>
  </r>
  <r>
    <x v="592"/>
    <x v="295"/>
    <s v="Aditya Iyer"/>
    <s v="Consumer"/>
    <x v="0"/>
    <x v="12"/>
    <x v="5"/>
    <s v="Kids Wear"/>
    <x v="48"/>
    <n v="3"/>
    <n v="497.29"/>
    <n v="1268.0899999999999"/>
    <x v="1"/>
    <n v="159.72"/>
    <n v="356.98"/>
    <x v="4"/>
    <x v="3"/>
    <n v="0.12595320521414097"/>
  </r>
  <r>
    <x v="593"/>
    <x v="296"/>
    <s v="Ira Nair"/>
    <s v="Consumer"/>
    <x v="1"/>
    <x v="13"/>
    <x v="3"/>
    <s v="Apparel"/>
    <x v="75"/>
    <n v="1"/>
    <n v="13500.93"/>
    <n v="12150.84"/>
    <x v="2"/>
    <n v="1191.58"/>
    <n v="348.39"/>
    <x v="0"/>
    <x v="3"/>
    <n v="9.8065648136260536E-2"/>
  </r>
  <r>
    <x v="594"/>
    <x v="296"/>
    <s v="Ira Das"/>
    <s v="Consumer"/>
    <x v="0"/>
    <x v="4"/>
    <x v="3"/>
    <s v="Outdoor Gear"/>
    <x v="34"/>
    <n v="1"/>
    <n v="8727"/>
    <n v="8727"/>
    <x v="0"/>
    <n v="925.25"/>
    <n v="329.62"/>
    <x v="3"/>
    <x v="3"/>
    <n v="0.10602154233986479"/>
  </r>
  <r>
    <x v="595"/>
    <x v="297"/>
    <s v="Ishaan Nair"/>
    <s v="Consumer"/>
    <x v="0"/>
    <x v="4"/>
    <x v="3"/>
    <s v="Outdoor Gear"/>
    <x v="3"/>
    <n v="1"/>
    <n v="2114.5500000000002"/>
    <n v="1585.91"/>
    <x v="4"/>
    <n v="-35.770000000000003"/>
    <n v="217.05"/>
    <x v="1"/>
    <x v="3"/>
    <n v="-2.2554873857911231E-2"/>
  </r>
  <r>
    <x v="596"/>
    <x v="297"/>
    <s v="Ishaan Mehta"/>
    <s v="Consumer"/>
    <x v="0"/>
    <x v="4"/>
    <x v="3"/>
    <s v="Outdoor Gear"/>
    <x v="12"/>
    <n v="2"/>
    <n v="5545.21"/>
    <n v="8317.82"/>
    <x v="4"/>
    <n v="-2.54"/>
    <n v="119.75"/>
    <x v="2"/>
    <x v="3"/>
    <n v="-3.053684739511074E-4"/>
  </r>
  <r>
    <x v="597"/>
    <x v="297"/>
    <s v="Raj Chopra"/>
    <s v="Consumer"/>
    <x v="3"/>
    <x v="10"/>
    <x v="4"/>
    <s v="Skincare"/>
    <x v="26"/>
    <n v="1"/>
    <n v="1337.4"/>
    <n v="1337.4"/>
    <x v="0"/>
    <n v="337.59"/>
    <n v="68.94"/>
    <x v="1"/>
    <x v="3"/>
    <n v="0.25242261103633912"/>
  </r>
  <r>
    <x v="598"/>
    <x v="298"/>
    <s v="Dhruv Agarwal"/>
    <s v="Small Business"/>
    <x v="0"/>
    <x v="0"/>
    <x v="3"/>
    <s v="Apparel"/>
    <x v="18"/>
    <n v="5"/>
    <n v="9793.26"/>
    <n v="41621.360000000001"/>
    <x v="1"/>
    <n v="7638.19"/>
    <n v="155.59"/>
    <x v="3"/>
    <x v="2"/>
    <n v="0.18351610807527671"/>
  </r>
  <r>
    <x v="599"/>
    <x v="299"/>
    <s v="Ira Agarwal"/>
    <s v="Consumer"/>
    <x v="1"/>
    <x v="13"/>
    <x v="2"/>
    <s v="Comics"/>
    <x v="30"/>
    <n v="4"/>
    <n v="224.82"/>
    <n v="854.32"/>
    <x v="3"/>
    <n v="68.239999999999995"/>
    <n v="169.89"/>
    <x v="3"/>
    <x v="2"/>
    <n v="7.9876392920685449E-2"/>
  </r>
  <r>
    <x v="600"/>
    <x v="300"/>
    <s v="Kabir Desai"/>
    <s v="Consumer"/>
    <x v="0"/>
    <x v="4"/>
    <x v="5"/>
    <s v="Women's Wear"/>
    <x v="22"/>
    <n v="1"/>
    <n v="4293"/>
    <n v="4293"/>
    <x v="0"/>
    <n v="1083.49"/>
    <n v="79.930000000000007"/>
    <x v="1"/>
    <x v="3"/>
    <n v="0.25238527836012115"/>
  </r>
  <r>
    <x v="601"/>
    <x v="301"/>
    <s v="Pooja Mehta"/>
    <s v="Small Business"/>
    <x v="3"/>
    <x v="5"/>
    <x v="3"/>
    <s v="Apparel"/>
    <x v="5"/>
    <n v="1"/>
    <n v="5740.33"/>
    <n v="4879.28"/>
    <x v="1"/>
    <n v="320.2"/>
    <n v="127.79"/>
    <x v="0"/>
    <x v="0"/>
    <n v="6.5624436392254598E-2"/>
  </r>
  <r>
    <x v="602"/>
    <x v="301"/>
    <s v="Rohan Mehta"/>
    <s v="Consumer"/>
    <x v="1"/>
    <x v="3"/>
    <x v="0"/>
    <s v="Headphones"/>
    <x v="84"/>
    <n v="3"/>
    <n v="53193.15"/>
    <n v="151600.48000000001"/>
    <x v="3"/>
    <n v="16013.77"/>
    <n v="120.07"/>
    <x v="2"/>
    <x v="1"/>
    <n v="0.10563139377922813"/>
  </r>
  <r>
    <x v="603"/>
    <x v="301"/>
    <s v="Kiara Reddy"/>
    <s v="Consumer"/>
    <x v="2"/>
    <x v="8"/>
    <x v="0"/>
    <s v="Headphones"/>
    <x v="68"/>
    <n v="2"/>
    <n v="35696.559999999998"/>
    <n v="67823.460000000006"/>
    <x v="3"/>
    <n v="11839.55"/>
    <n v="75.89"/>
    <x v="0"/>
    <x v="2"/>
    <n v="0.17456422895558554"/>
  </r>
  <r>
    <x v="604"/>
    <x v="302"/>
    <s v="Arjun Khan"/>
    <s v="Small Business"/>
    <x v="0"/>
    <x v="0"/>
    <x v="0"/>
    <s v="Cameras"/>
    <x v="31"/>
    <n v="1"/>
    <n v="28222.36"/>
    <n v="25400.12"/>
    <x v="2"/>
    <n v="129.69999999999999"/>
    <n v="76.180000000000007"/>
    <x v="3"/>
    <x v="2"/>
    <n v="5.1062750884641487E-3"/>
  </r>
  <r>
    <x v="605"/>
    <x v="303"/>
    <s v="Saanvi Rao"/>
    <s v="Consumer"/>
    <x v="2"/>
    <x v="8"/>
    <x v="5"/>
    <s v="Kids Wear"/>
    <x v="65"/>
    <n v="2"/>
    <n v="4286.95"/>
    <n v="7716.51"/>
    <x v="2"/>
    <n v="1478.91"/>
    <n v="326.47000000000003"/>
    <x v="0"/>
    <x v="3"/>
    <n v="0.19165529494551295"/>
  </r>
  <r>
    <x v="606"/>
    <x v="303"/>
    <s v="Arjun Desai"/>
    <s v="Consumer"/>
    <x v="1"/>
    <x v="13"/>
    <x v="4"/>
    <s v="Makeup"/>
    <x v="20"/>
    <n v="2"/>
    <n v="1549.2"/>
    <n v="2788.56"/>
    <x v="2"/>
    <n v="686.59"/>
    <n v="321.10000000000002"/>
    <x v="3"/>
    <x v="3"/>
    <n v="0.24621668531428409"/>
  </r>
  <r>
    <x v="607"/>
    <x v="303"/>
    <s v="Vihaan Sharma"/>
    <s v="Consumer"/>
    <x v="3"/>
    <x v="10"/>
    <x v="2"/>
    <s v="Academic"/>
    <x v="2"/>
    <n v="2"/>
    <n v="1077.06"/>
    <n v="1938.71"/>
    <x v="2"/>
    <n v="160.04"/>
    <n v="255.89"/>
    <x v="1"/>
    <x v="1"/>
    <n v="8.2549736680576261E-2"/>
  </r>
  <r>
    <x v="608"/>
    <x v="304"/>
    <s v="Ananya Khan"/>
    <s v="Small Business"/>
    <x v="1"/>
    <x v="3"/>
    <x v="0"/>
    <s v="Headphones"/>
    <x v="68"/>
    <n v="1"/>
    <n v="57611.89"/>
    <n v="57611.89"/>
    <x v="0"/>
    <n v="8156.53"/>
    <n v="346.54"/>
    <x v="0"/>
    <x v="2"/>
    <n v="0.14157719873449734"/>
  </r>
  <r>
    <x v="609"/>
    <x v="304"/>
    <s v="Anika Chopra"/>
    <s v="Consumer"/>
    <x v="0"/>
    <x v="12"/>
    <x v="1"/>
    <s v="Decor"/>
    <x v="61"/>
    <n v="1"/>
    <n v="2321.29"/>
    <n v="1973.1"/>
    <x v="1"/>
    <n v="137.69999999999999"/>
    <n v="273.81"/>
    <x v="3"/>
    <x v="1"/>
    <n v="6.9788657442603014E-2"/>
  </r>
  <r>
    <x v="610"/>
    <x v="305"/>
    <s v="Pooja Joshi"/>
    <s v="Small Business"/>
    <x v="1"/>
    <x v="13"/>
    <x v="4"/>
    <s v="Haircare"/>
    <x v="77"/>
    <n v="3"/>
    <n v="818.75"/>
    <n v="2087.81"/>
    <x v="1"/>
    <n v="420.55"/>
    <n v="225.63"/>
    <x v="1"/>
    <x v="3"/>
    <n v="0.20143116471326414"/>
  </r>
  <r>
    <x v="611"/>
    <x v="306"/>
    <s v="Kabir Reddy"/>
    <s v="Consumer"/>
    <x v="0"/>
    <x v="0"/>
    <x v="1"/>
    <s v="Furniture"/>
    <x v="46"/>
    <n v="5"/>
    <n v="5542.36"/>
    <n v="27711.8"/>
    <x v="0"/>
    <n v="4139.8100000000004"/>
    <n v="267.08"/>
    <x v="2"/>
    <x v="0"/>
    <n v="0.14938798634516706"/>
  </r>
  <r>
    <x v="612"/>
    <x v="307"/>
    <s v="Sai Malhotra"/>
    <s v="Consumer"/>
    <x v="2"/>
    <x v="8"/>
    <x v="2"/>
    <s v="Comics"/>
    <x v="43"/>
    <n v="1"/>
    <n v="1100.6500000000001"/>
    <n v="825.49"/>
    <x v="4"/>
    <n v="-34.78"/>
    <n v="59.21"/>
    <x v="3"/>
    <x v="2"/>
    <n v="-4.2132551575427932E-2"/>
  </r>
  <r>
    <x v="613"/>
    <x v="308"/>
    <s v="Aditya Malhotra"/>
    <s v="Small Business"/>
    <x v="0"/>
    <x v="0"/>
    <x v="4"/>
    <s v="Skincare"/>
    <x v="67"/>
    <n v="4"/>
    <n v="2465.15"/>
    <n v="8874.5400000000009"/>
    <x v="2"/>
    <n v="1384.71"/>
    <n v="375.48"/>
    <x v="3"/>
    <x v="3"/>
    <n v="0.15603174925122879"/>
  </r>
  <r>
    <x v="614"/>
    <x v="309"/>
    <s v="Anika Das"/>
    <s v="Consumer"/>
    <x v="0"/>
    <x v="0"/>
    <x v="3"/>
    <s v="Outdoor Gear"/>
    <x v="3"/>
    <n v="1"/>
    <n v="9421.85"/>
    <n v="9421.85"/>
    <x v="0"/>
    <n v="2138.16"/>
    <n v="300.36"/>
    <x v="1"/>
    <x v="1"/>
    <n v="0.22693632354580043"/>
  </r>
  <r>
    <x v="615"/>
    <x v="309"/>
    <s v="Priya Das"/>
    <s v="Corporate"/>
    <x v="0"/>
    <x v="0"/>
    <x v="2"/>
    <s v="Comics"/>
    <x v="30"/>
    <n v="1"/>
    <n v="325.07"/>
    <n v="325.07"/>
    <x v="0"/>
    <n v="72.040000000000006"/>
    <n v="311.16000000000003"/>
    <x v="0"/>
    <x v="0"/>
    <n v="0.22161380625711388"/>
  </r>
  <r>
    <x v="616"/>
    <x v="310"/>
    <s v="Myra Desai"/>
    <s v="Consumer"/>
    <x v="1"/>
    <x v="1"/>
    <x v="1"/>
    <s v="Cookware"/>
    <x v="80"/>
    <n v="2"/>
    <n v="578.58000000000004"/>
    <n v="1157.1600000000001"/>
    <x v="0"/>
    <n v="119.7"/>
    <n v="189.08"/>
    <x v="4"/>
    <x v="2"/>
    <n v="0.1034429119568599"/>
  </r>
  <r>
    <x v="617"/>
    <x v="310"/>
    <s v="Ananya Rao"/>
    <s v="Small Business"/>
    <x v="1"/>
    <x v="1"/>
    <x v="1"/>
    <s v="Furniture"/>
    <x v="39"/>
    <n v="2"/>
    <n v="2762.54"/>
    <n v="4972.57"/>
    <x v="2"/>
    <n v="17.239999999999998"/>
    <n v="149.82"/>
    <x v="4"/>
    <x v="0"/>
    <n v="3.4670200721156263E-3"/>
  </r>
  <r>
    <x v="618"/>
    <x v="310"/>
    <s v="Ananya Patel"/>
    <s v="Small Business"/>
    <x v="2"/>
    <x v="11"/>
    <x v="2"/>
    <s v="Comics"/>
    <x v="30"/>
    <n v="2"/>
    <n v="441.8"/>
    <n v="751.06"/>
    <x v="1"/>
    <n v="54.26"/>
    <n v="255.42"/>
    <x v="0"/>
    <x v="2"/>
    <n v="7.2244561020424466E-2"/>
  </r>
  <r>
    <x v="619"/>
    <x v="311"/>
    <s v="Vivaan Agarwal"/>
    <s v="Consumer"/>
    <x v="3"/>
    <x v="10"/>
    <x v="3"/>
    <s v="Apparel"/>
    <x v="75"/>
    <n v="3"/>
    <n v="14517.32"/>
    <n v="37019.17"/>
    <x v="1"/>
    <n v="6015.59"/>
    <n v="307.39"/>
    <x v="2"/>
    <x v="3"/>
    <n v="0.16249932129758718"/>
  </r>
  <r>
    <x v="620"/>
    <x v="311"/>
    <s v="Karan Chopra"/>
    <s v="Corporate"/>
    <x v="3"/>
    <x v="10"/>
    <x v="2"/>
    <s v="Academic"/>
    <x v="91"/>
    <n v="2"/>
    <n v="895.62"/>
    <n v="1522.55"/>
    <x v="1"/>
    <n v="7.49"/>
    <n v="321.29000000000002"/>
    <x v="3"/>
    <x v="2"/>
    <n v="4.9193786739351745E-3"/>
  </r>
  <r>
    <x v="621"/>
    <x v="312"/>
    <s v="Saanvi Joshi"/>
    <s v="Corporate"/>
    <x v="1"/>
    <x v="3"/>
    <x v="1"/>
    <s v="Cookware"/>
    <x v="80"/>
    <n v="1"/>
    <n v="10777.86"/>
    <n v="9700.07"/>
    <x v="2"/>
    <n v="1532.98"/>
    <n v="30.14"/>
    <x v="2"/>
    <x v="0"/>
    <n v="0.15803803477706863"/>
  </r>
  <r>
    <x v="622"/>
    <x v="313"/>
    <s v="Vihaan Iyer"/>
    <s v="Consumer"/>
    <x v="0"/>
    <x v="12"/>
    <x v="3"/>
    <s v="Outdoor Gear"/>
    <x v="12"/>
    <n v="3"/>
    <n v="5980.8"/>
    <n v="14353.92"/>
    <x v="5"/>
    <n v="1105.04"/>
    <n v="135.19"/>
    <x v="1"/>
    <x v="1"/>
    <n v="7.6985241662207951E-2"/>
  </r>
  <r>
    <x v="623"/>
    <x v="313"/>
    <s v="Navya Patel"/>
    <s v="Corporate"/>
    <x v="0"/>
    <x v="0"/>
    <x v="4"/>
    <s v="Fragrances"/>
    <x v="41"/>
    <n v="2"/>
    <n v="1815.84"/>
    <n v="3086.93"/>
    <x v="1"/>
    <n v="491.18"/>
    <n v="295.18"/>
    <x v="3"/>
    <x v="0"/>
    <n v="0.15911601494041006"/>
  </r>
  <r>
    <x v="624"/>
    <x v="314"/>
    <s v="Myra Agarwal"/>
    <s v="Consumer"/>
    <x v="3"/>
    <x v="5"/>
    <x v="1"/>
    <s v="Appliances"/>
    <x v="40"/>
    <n v="1"/>
    <n v="11498.89"/>
    <n v="9774.06"/>
    <x v="1"/>
    <n v="781.82"/>
    <n v="187.77"/>
    <x v="1"/>
    <x v="3"/>
    <n v="7.9989277741286641E-2"/>
  </r>
  <r>
    <x v="625"/>
    <x v="314"/>
    <s v="Ananya Mehta"/>
    <s v="Consumer"/>
    <x v="1"/>
    <x v="3"/>
    <x v="5"/>
    <s v="Women's Wear"/>
    <x v="86"/>
    <n v="2"/>
    <n v="3523.78"/>
    <n v="7047.56"/>
    <x v="0"/>
    <n v="1985.69"/>
    <n v="317.11"/>
    <x v="0"/>
    <x v="0"/>
    <n v="0.2817556714664366"/>
  </r>
  <r>
    <x v="626"/>
    <x v="315"/>
    <s v="Sai Rao"/>
    <s v="Consumer"/>
    <x v="3"/>
    <x v="10"/>
    <x v="0"/>
    <s v="Headphones"/>
    <x v="15"/>
    <n v="2"/>
    <n v="36587.14"/>
    <n v="69515.570000000007"/>
    <x v="3"/>
    <n v="6344.35"/>
    <n v="193.22"/>
    <x v="1"/>
    <x v="1"/>
    <n v="9.1265165487386488E-2"/>
  </r>
  <r>
    <x v="627"/>
    <x v="316"/>
    <s v="Sai Reddy"/>
    <s v="Consumer"/>
    <x v="3"/>
    <x v="6"/>
    <x v="0"/>
    <s v="Accessories"/>
    <x v="27"/>
    <n v="1"/>
    <n v="64442.13"/>
    <n v="61220.02"/>
    <x v="3"/>
    <n v="9302.74"/>
    <n v="71.09"/>
    <x v="1"/>
    <x v="0"/>
    <n v="0.15195584712321231"/>
  </r>
  <r>
    <x v="628"/>
    <x v="316"/>
    <s v="Dhruv Sharma"/>
    <s v="Consumer"/>
    <x v="0"/>
    <x v="12"/>
    <x v="3"/>
    <s v="Outdoor Gear"/>
    <x v="3"/>
    <n v="2"/>
    <n v="4353.25"/>
    <n v="7400.52"/>
    <x v="1"/>
    <n v="1054.6500000000001"/>
    <n v="179.31"/>
    <x v="1"/>
    <x v="3"/>
    <n v="0.14251025603606232"/>
  </r>
  <r>
    <x v="629"/>
    <x v="317"/>
    <s v="Anika Verma"/>
    <s v="Corporate"/>
    <x v="1"/>
    <x v="13"/>
    <x v="3"/>
    <s v="Gym Equipment"/>
    <x v="92"/>
    <n v="3"/>
    <n v="11806.71"/>
    <n v="35420.129999999997"/>
    <x v="0"/>
    <n v="8481.91"/>
    <n v="286.8"/>
    <x v="1"/>
    <x v="3"/>
    <n v="0.23946580659077199"/>
  </r>
  <r>
    <x v="630"/>
    <x v="317"/>
    <s v="Aadhya Rao"/>
    <s v="Consumer"/>
    <x v="2"/>
    <x v="8"/>
    <x v="0"/>
    <s v="Laptops"/>
    <x v="88"/>
    <n v="5"/>
    <n v="2768.65"/>
    <n v="13151.09"/>
    <x v="3"/>
    <n v="2177.0300000000002"/>
    <n v="97.08"/>
    <x v="1"/>
    <x v="0"/>
    <n v="0.16553989060982779"/>
  </r>
  <r>
    <x v="631"/>
    <x v="317"/>
    <s v="Kabir Khan"/>
    <s v="Corporate"/>
    <x v="0"/>
    <x v="4"/>
    <x v="1"/>
    <s v="Decor"/>
    <x v="83"/>
    <n v="2"/>
    <n v="7495.18"/>
    <n v="14990.36"/>
    <x v="0"/>
    <n v="870.11"/>
    <n v="59.93"/>
    <x v="3"/>
    <x v="3"/>
    <n v="5.8044636686510533E-2"/>
  </r>
  <r>
    <x v="632"/>
    <x v="318"/>
    <s v="Meera Verma"/>
    <s v="Consumer"/>
    <x v="2"/>
    <x v="9"/>
    <x v="5"/>
    <s v="Kids Wear"/>
    <x v="52"/>
    <n v="3"/>
    <n v="4149.7299999999996"/>
    <n v="12449.19"/>
    <x v="0"/>
    <n v="2096.61"/>
    <n v="102.45"/>
    <x v="2"/>
    <x v="0"/>
    <n v="0.16841336665277018"/>
  </r>
  <r>
    <x v="633"/>
    <x v="318"/>
    <s v="Ananya Malhotra"/>
    <s v="Consumer"/>
    <x v="2"/>
    <x v="8"/>
    <x v="3"/>
    <s v="Outdoor Gear"/>
    <x v="12"/>
    <n v="1"/>
    <n v="14038.48"/>
    <n v="13336.56"/>
    <x v="3"/>
    <n v="3135.32"/>
    <n v="326.18"/>
    <x v="0"/>
    <x v="0"/>
    <n v="0.23509210770993422"/>
  </r>
  <r>
    <x v="634"/>
    <x v="318"/>
    <s v="Krishna Agarwal"/>
    <s v="Corporate"/>
    <x v="2"/>
    <x v="2"/>
    <x v="5"/>
    <s v="Women's Wear"/>
    <x v="86"/>
    <n v="3"/>
    <n v="2157.94"/>
    <n v="5826.44"/>
    <x v="2"/>
    <n v="600.79999999999995"/>
    <n v="73.59"/>
    <x v="0"/>
    <x v="3"/>
    <n v="0.10311613952945538"/>
  </r>
  <r>
    <x v="635"/>
    <x v="319"/>
    <s v="Sai Gupta"/>
    <s v="Consumer"/>
    <x v="0"/>
    <x v="12"/>
    <x v="5"/>
    <s v="Kids Wear"/>
    <x v="73"/>
    <n v="4"/>
    <n v="2424.58"/>
    <n v="8728.49"/>
    <x v="2"/>
    <n v="1515.86"/>
    <n v="344.02"/>
    <x v="1"/>
    <x v="0"/>
    <n v="0.17366806858918324"/>
  </r>
  <r>
    <x v="636"/>
    <x v="320"/>
    <s v="Arjun Nair"/>
    <s v="Consumer"/>
    <x v="0"/>
    <x v="12"/>
    <x v="3"/>
    <s v="Gym Equipment"/>
    <x v="92"/>
    <n v="1"/>
    <n v="1931.38"/>
    <n v="1738.24"/>
    <x v="2"/>
    <n v="191.02"/>
    <n v="338.84"/>
    <x v="3"/>
    <x v="0"/>
    <n v="0.10989276509572903"/>
  </r>
  <r>
    <x v="637"/>
    <x v="321"/>
    <s v="Priya Sharma"/>
    <s v="Corporate"/>
    <x v="2"/>
    <x v="8"/>
    <x v="5"/>
    <s v="Footwear"/>
    <x v="33"/>
    <n v="1"/>
    <n v="719.89"/>
    <n v="683.9"/>
    <x v="3"/>
    <n v="182.02"/>
    <n v="176.96"/>
    <x v="1"/>
    <x v="0"/>
    <n v="0.26615002193303117"/>
  </r>
  <r>
    <x v="638"/>
    <x v="322"/>
    <s v="Krishna Singh"/>
    <s v="Consumer"/>
    <x v="0"/>
    <x v="12"/>
    <x v="0"/>
    <s v="Mobiles"/>
    <x v="74"/>
    <n v="2"/>
    <n v="34068.080000000002"/>
    <n v="61322.54"/>
    <x v="2"/>
    <n v="2339.34"/>
    <n v="223.34"/>
    <x v="3"/>
    <x v="3"/>
    <n v="3.8148126284397225E-2"/>
  </r>
  <r>
    <x v="639"/>
    <x v="322"/>
    <s v="Arjun Kapoor"/>
    <s v="Consumer"/>
    <x v="3"/>
    <x v="5"/>
    <x v="2"/>
    <s v="Comics"/>
    <x v="95"/>
    <n v="1"/>
    <n v="939.99"/>
    <n v="845.99"/>
    <x v="2"/>
    <n v="102.54"/>
    <n v="59.19"/>
    <x v="3"/>
    <x v="3"/>
    <n v="0.12120710646697952"/>
  </r>
  <r>
    <x v="640"/>
    <x v="323"/>
    <s v="Krishna Verma"/>
    <s v="Small Business"/>
    <x v="2"/>
    <x v="2"/>
    <x v="0"/>
    <s v="Accessories"/>
    <x v="50"/>
    <n v="2"/>
    <n v="18119.91"/>
    <n v="30803.85"/>
    <x v="1"/>
    <n v="1661.36"/>
    <n v="246.96"/>
    <x v="1"/>
    <x v="2"/>
    <n v="5.3933518050503428E-2"/>
  </r>
  <r>
    <x v="641"/>
    <x v="324"/>
    <s v="Meera Mehta"/>
    <s v="Consumer"/>
    <x v="3"/>
    <x v="10"/>
    <x v="0"/>
    <s v="Laptops"/>
    <x v="96"/>
    <n v="1"/>
    <n v="2961.95"/>
    <n v="2369.56"/>
    <x v="5"/>
    <n v="29.78"/>
    <n v="215.24"/>
    <x v="2"/>
    <x v="0"/>
    <n v="1.2567734094093419E-2"/>
  </r>
  <r>
    <x v="642"/>
    <x v="324"/>
    <s v="Ayaan Desai"/>
    <s v="Consumer"/>
    <x v="3"/>
    <x v="7"/>
    <x v="3"/>
    <s v="Apparel"/>
    <x v="5"/>
    <n v="2"/>
    <n v="9525.6200000000008"/>
    <n v="19051.240000000002"/>
    <x v="0"/>
    <n v="4498.9399999999996"/>
    <n v="342.08"/>
    <x v="1"/>
    <x v="0"/>
    <n v="0.23614945798803644"/>
  </r>
  <r>
    <x v="643"/>
    <x v="325"/>
    <s v="Myra Sharma"/>
    <s v="Corporate"/>
    <x v="1"/>
    <x v="13"/>
    <x v="2"/>
    <s v="Academic"/>
    <x v="97"/>
    <n v="1"/>
    <n v="369.53"/>
    <n v="277.14999999999998"/>
    <x v="4"/>
    <n v="25.95"/>
    <n v="103.14"/>
    <x v="1"/>
    <x v="0"/>
    <n v="9.3631607432798122E-2"/>
  </r>
  <r>
    <x v="644"/>
    <x v="326"/>
    <s v="Meera Mishra"/>
    <s v="Consumer"/>
    <x v="3"/>
    <x v="10"/>
    <x v="4"/>
    <s v="Haircare"/>
    <x v="53"/>
    <n v="2"/>
    <n v="2414.09"/>
    <n v="4586.7700000000004"/>
    <x v="3"/>
    <n v="1262.51"/>
    <n v="175.86"/>
    <x v="1"/>
    <x v="0"/>
    <n v="0.27525033956357087"/>
  </r>
  <r>
    <x v="645"/>
    <x v="326"/>
    <s v="Ishaan Nair"/>
    <s v="Small Business"/>
    <x v="2"/>
    <x v="9"/>
    <x v="5"/>
    <s v="Footwear"/>
    <x v="29"/>
    <n v="2"/>
    <n v="984.75"/>
    <n v="1871.02"/>
    <x v="3"/>
    <n v="154.97999999999999"/>
    <n v="296.58999999999997"/>
    <x v="3"/>
    <x v="1"/>
    <n v="8.2831824352492214E-2"/>
  </r>
  <r>
    <x v="646"/>
    <x v="327"/>
    <s v="Aditya Kapoor"/>
    <s v="Consumer"/>
    <x v="0"/>
    <x v="0"/>
    <x v="2"/>
    <s v="Academic"/>
    <x v="97"/>
    <n v="3"/>
    <n v="1003.55"/>
    <n v="2559.0500000000002"/>
    <x v="1"/>
    <n v="347.55"/>
    <n v="362.33"/>
    <x v="2"/>
    <x v="0"/>
    <n v="0.13581211777808169"/>
  </r>
  <r>
    <x v="647"/>
    <x v="327"/>
    <s v="Riya Malhotra"/>
    <s v="Consumer"/>
    <x v="1"/>
    <x v="1"/>
    <x v="3"/>
    <s v="Outdoor Gear"/>
    <x v="3"/>
    <n v="1"/>
    <n v="11127.46"/>
    <n v="8901.9699999999993"/>
    <x v="5"/>
    <n v="256.29000000000002"/>
    <n v="233.58"/>
    <x v="1"/>
    <x v="3"/>
    <n v="2.879025653872121E-2"/>
  </r>
  <r>
    <x v="648"/>
    <x v="328"/>
    <s v="Anika Iyer"/>
    <s v="Consumer"/>
    <x v="1"/>
    <x v="13"/>
    <x v="4"/>
    <s v="Haircare"/>
    <x v="17"/>
    <n v="3"/>
    <n v="1787.01"/>
    <n v="4824.93"/>
    <x v="2"/>
    <n v="909.76"/>
    <n v="124.3"/>
    <x v="3"/>
    <x v="2"/>
    <n v="0.18855403083568051"/>
  </r>
  <r>
    <x v="649"/>
    <x v="328"/>
    <s v="Aarav Patel"/>
    <s v="Consumer"/>
    <x v="2"/>
    <x v="8"/>
    <x v="4"/>
    <s v="Fragrances"/>
    <x v="19"/>
    <n v="3"/>
    <n v="1285.75"/>
    <n v="3085.8"/>
    <x v="5"/>
    <n v="383.74"/>
    <n v="308.17"/>
    <x v="1"/>
    <x v="0"/>
    <n v="0.12435673083155097"/>
  </r>
  <r>
    <x v="650"/>
    <x v="328"/>
    <s v="Vihaan Verma"/>
    <s v="Small Business"/>
    <x v="1"/>
    <x v="13"/>
    <x v="5"/>
    <s v="Women's Wear"/>
    <x v="22"/>
    <n v="2"/>
    <n v="3820.24"/>
    <n v="7640.48"/>
    <x v="0"/>
    <n v="1467.69"/>
    <n v="130.69"/>
    <x v="1"/>
    <x v="3"/>
    <n v="0.19209395221242645"/>
  </r>
  <r>
    <x v="651"/>
    <x v="328"/>
    <s v="Reyansh Desai"/>
    <s v="Corporate"/>
    <x v="1"/>
    <x v="1"/>
    <x v="5"/>
    <s v="Kids Wear"/>
    <x v="65"/>
    <n v="2"/>
    <n v="4372.26"/>
    <n v="7432.84"/>
    <x v="1"/>
    <n v="1372.1"/>
    <n v="293.04000000000002"/>
    <x v="0"/>
    <x v="3"/>
    <n v="0.18459969540579374"/>
  </r>
  <r>
    <x v="652"/>
    <x v="329"/>
    <s v="Ishaan Bose"/>
    <s v="Consumer"/>
    <x v="3"/>
    <x v="7"/>
    <x v="3"/>
    <s v="Apparel"/>
    <x v="5"/>
    <n v="3"/>
    <n v="2982.36"/>
    <n v="8947.08"/>
    <x v="0"/>
    <n v="2406.81"/>
    <n v="136.01"/>
    <x v="1"/>
    <x v="0"/>
    <n v="0.26900508322268268"/>
  </r>
  <r>
    <x v="653"/>
    <x v="329"/>
    <s v="Ayaan Desai"/>
    <s v="Consumer"/>
    <x v="2"/>
    <x v="11"/>
    <x v="0"/>
    <s v="Cameras"/>
    <x v="47"/>
    <n v="3"/>
    <n v="1535.19"/>
    <n v="3684.46"/>
    <x v="5"/>
    <n v="-130.38999999999999"/>
    <n v="318.38"/>
    <x v="2"/>
    <x v="0"/>
    <n v="-3.5389175075859147E-2"/>
  </r>
  <r>
    <x v="654"/>
    <x v="330"/>
    <s v="Vihaan Patel"/>
    <s v="Small Business"/>
    <x v="1"/>
    <x v="3"/>
    <x v="5"/>
    <s v="Footwear"/>
    <x v="29"/>
    <n v="4"/>
    <n v="2475.63"/>
    <n v="9407.39"/>
    <x v="3"/>
    <n v="1980.14"/>
    <n v="273.55"/>
    <x v="4"/>
    <x v="3"/>
    <n v="0.21048771231978267"/>
  </r>
  <r>
    <x v="655"/>
    <x v="331"/>
    <s v="Karan Mehta"/>
    <s v="Consumer"/>
    <x v="0"/>
    <x v="0"/>
    <x v="2"/>
    <s v="Fiction"/>
    <x v="49"/>
    <n v="1"/>
    <n v="398.78"/>
    <n v="338.96"/>
    <x v="1"/>
    <n v="9.43"/>
    <n v="246.77"/>
    <x v="0"/>
    <x v="3"/>
    <n v="2.7820391786641491E-2"/>
  </r>
  <r>
    <x v="656"/>
    <x v="331"/>
    <s v="Karan Sharma"/>
    <s v="Corporate"/>
    <x v="0"/>
    <x v="4"/>
    <x v="3"/>
    <s v="Apparel"/>
    <x v="66"/>
    <n v="2"/>
    <n v="675.5"/>
    <n v="1148.3499999999999"/>
    <x v="1"/>
    <n v="129.32"/>
    <n v="353.21"/>
    <x v="2"/>
    <x v="1"/>
    <n v="0.11261375016327775"/>
  </r>
  <r>
    <x v="657"/>
    <x v="331"/>
    <s v="Aditya Iyer"/>
    <s v="Corporate"/>
    <x v="2"/>
    <x v="8"/>
    <x v="5"/>
    <s v="Men's Wear"/>
    <x v="21"/>
    <n v="3"/>
    <n v="672.12"/>
    <n v="1613.09"/>
    <x v="5"/>
    <n v="136.86000000000001"/>
    <n v="130.6"/>
    <x v="4"/>
    <x v="3"/>
    <n v="8.484337513715913E-2"/>
  </r>
  <r>
    <x v="658"/>
    <x v="332"/>
    <s v="Ishaan Bose"/>
    <s v="Corporate"/>
    <x v="0"/>
    <x v="4"/>
    <x v="0"/>
    <s v="Mobiles"/>
    <x v="4"/>
    <n v="2"/>
    <n v="18657.38"/>
    <n v="35449.019999999997"/>
    <x v="3"/>
    <n v="3777.48"/>
    <n v="364.08"/>
    <x v="2"/>
    <x v="1"/>
    <n v="0.10656091480102978"/>
  </r>
  <r>
    <x v="659"/>
    <x v="333"/>
    <s v="Priya Malhotra"/>
    <s v="Consumer"/>
    <x v="0"/>
    <x v="4"/>
    <x v="0"/>
    <s v="Headphones"/>
    <x v="60"/>
    <n v="1"/>
    <n v="3028.02"/>
    <n v="3028.02"/>
    <x v="0"/>
    <n v="286.72000000000003"/>
    <n v="216.64"/>
    <x v="1"/>
    <x v="2"/>
    <n v="9.4688938646376189E-2"/>
  </r>
  <r>
    <x v="660"/>
    <x v="333"/>
    <s v="Navya Iyer"/>
    <s v="Consumer"/>
    <x v="2"/>
    <x v="8"/>
    <x v="1"/>
    <s v="Decor"/>
    <x v="23"/>
    <n v="1"/>
    <n v="4666.01"/>
    <n v="4199.41"/>
    <x v="2"/>
    <n v="757.53"/>
    <n v="264.76"/>
    <x v="4"/>
    <x v="2"/>
    <n v="0.18038962616177034"/>
  </r>
  <r>
    <x v="661"/>
    <x v="333"/>
    <s v="Aarav Reddy"/>
    <s v="Corporate"/>
    <x v="0"/>
    <x v="12"/>
    <x v="5"/>
    <s v="Footwear"/>
    <x v="37"/>
    <n v="2"/>
    <n v="3182.57"/>
    <n v="4455.6000000000004"/>
    <x v="6"/>
    <n v="88.65"/>
    <n v="312.85000000000002"/>
    <x v="3"/>
    <x v="3"/>
    <n v="1.9896310261244277E-2"/>
  </r>
  <r>
    <x v="662"/>
    <x v="334"/>
    <s v="Krishna Mishra"/>
    <s v="Consumer"/>
    <x v="2"/>
    <x v="2"/>
    <x v="2"/>
    <s v="Academic"/>
    <x v="2"/>
    <n v="3"/>
    <n v="221.23"/>
    <n v="597.32000000000005"/>
    <x v="2"/>
    <n v="85.82"/>
    <n v="81.55"/>
    <x v="2"/>
    <x v="3"/>
    <n v="0.14367508203308108"/>
  </r>
  <r>
    <x v="663"/>
    <x v="335"/>
    <s v="Ananya Bose"/>
    <s v="Consumer"/>
    <x v="0"/>
    <x v="12"/>
    <x v="1"/>
    <s v="Appliances"/>
    <x v="7"/>
    <n v="1"/>
    <n v="8430.41"/>
    <n v="8430.41"/>
    <x v="0"/>
    <n v="2059.61"/>
    <n v="301.74"/>
    <x v="4"/>
    <x v="3"/>
    <n v="0.24430721637500433"/>
  </r>
  <r>
    <x v="664"/>
    <x v="335"/>
    <s v="Kiara Kapoor"/>
    <s v="Consumer"/>
    <x v="3"/>
    <x v="7"/>
    <x v="4"/>
    <s v="Haircare"/>
    <x v="53"/>
    <n v="2"/>
    <n v="2121.6"/>
    <n v="4031.04"/>
    <x v="3"/>
    <n v="724.83"/>
    <n v="196.68"/>
    <x v="4"/>
    <x v="2"/>
    <n v="0.17981215765658493"/>
  </r>
  <r>
    <x v="665"/>
    <x v="335"/>
    <s v="Aditya Verma"/>
    <s v="Small Business"/>
    <x v="1"/>
    <x v="13"/>
    <x v="5"/>
    <s v="Women's Wear"/>
    <x v="24"/>
    <n v="1"/>
    <n v="2851.69"/>
    <n v="2851.69"/>
    <x v="0"/>
    <n v="622.42999999999995"/>
    <n v="84.57"/>
    <x v="3"/>
    <x v="3"/>
    <n v="0.2182670626891422"/>
  </r>
  <r>
    <x v="666"/>
    <x v="336"/>
    <s v="Ayaan Mishra"/>
    <s v="Corporate"/>
    <x v="1"/>
    <x v="13"/>
    <x v="4"/>
    <s v="Makeup"/>
    <x v="63"/>
    <n v="2"/>
    <n v="1104.24"/>
    <n v="2098.06"/>
    <x v="3"/>
    <n v="576"/>
    <n v="120.82"/>
    <x v="4"/>
    <x v="1"/>
    <n v="0.27453933633928485"/>
  </r>
  <r>
    <x v="667"/>
    <x v="337"/>
    <s v="Rohan Sharma"/>
    <s v="Consumer"/>
    <x v="1"/>
    <x v="13"/>
    <x v="4"/>
    <s v="Skincare"/>
    <x v="56"/>
    <n v="1"/>
    <n v="1276.75"/>
    <n v="1276.75"/>
    <x v="0"/>
    <n v="305.89999999999998"/>
    <n v="43.76"/>
    <x v="1"/>
    <x v="3"/>
    <n v="0.23959271588016445"/>
  </r>
  <r>
    <x v="668"/>
    <x v="337"/>
    <s v="Simran Kapoor"/>
    <s v="Consumer"/>
    <x v="0"/>
    <x v="0"/>
    <x v="1"/>
    <s v="Decor"/>
    <x v="70"/>
    <n v="2"/>
    <n v="11241.52"/>
    <n v="19110.580000000002"/>
    <x v="1"/>
    <n v="1978.96"/>
    <n v="255.28"/>
    <x v="3"/>
    <x v="0"/>
    <n v="0.1035531103713231"/>
  </r>
  <r>
    <x v="669"/>
    <x v="338"/>
    <s v="Riya Malhotra"/>
    <s v="Consumer"/>
    <x v="2"/>
    <x v="2"/>
    <x v="5"/>
    <s v="Women's Wear"/>
    <x v="86"/>
    <n v="2"/>
    <n v="3178.86"/>
    <n v="6039.83"/>
    <x v="3"/>
    <n v="1017.04"/>
    <n v="164.65"/>
    <x v="3"/>
    <x v="0"/>
    <n v="0.16838884538140975"/>
  </r>
  <r>
    <x v="670"/>
    <x v="338"/>
    <s v="Neha Gupta"/>
    <s v="Consumer"/>
    <x v="0"/>
    <x v="12"/>
    <x v="4"/>
    <s v="Skincare"/>
    <x v="26"/>
    <n v="2"/>
    <n v="2355.9699999999998"/>
    <n v="4711.9399999999996"/>
    <x v="0"/>
    <n v="1225.69"/>
    <n v="238.05"/>
    <x v="1"/>
    <x v="3"/>
    <n v="0.26012428002054361"/>
  </r>
  <r>
    <x v="671"/>
    <x v="339"/>
    <s v="Rohan Joshi"/>
    <s v="Consumer"/>
    <x v="0"/>
    <x v="12"/>
    <x v="5"/>
    <s v="Footwear"/>
    <x v="37"/>
    <n v="5"/>
    <n v="3007.1"/>
    <n v="13531.95"/>
    <x v="2"/>
    <n v="1303.08"/>
    <n v="269.42"/>
    <x v="1"/>
    <x v="3"/>
    <n v="9.6296542626894119E-2"/>
  </r>
  <r>
    <x v="672"/>
    <x v="339"/>
    <s v="Rohan Mishra"/>
    <s v="Consumer"/>
    <x v="3"/>
    <x v="6"/>
    <x v="3"/>
    <s v="Outdoor Gear"/>
    <x v="82"/>
    <n v="2"/>
    <n v="12397.88"/>
    <n v="21076.400000000001"/>
    <x v="1"/>
    <n v="3410"/>
    <n v="63.23"/>
    <x v="1"/>
    <x v="2"/>
    <n v="0.16179233645214552"/>
  </r>
  <r>
    <x v="673"/>
    <x v="339"/>
    <s v="Ira Sharma"/>
    <s v="Consumer"/>
    <x v="1"/>
    <x v="3"/>
    <x v="3"/>
    <s v="Gym Equipment"/>
    <x v="92"/>
    <n v="5"/>
    <n v="7691.89"/>
    <n v="36536.480000000003"/>
    <x v="3"/>
    <n v="8772.5400000000009"/>
    <n v="217.1"/>
    <x v="0"/>
    <x v="0"/>
    <n v="0.24010358961782854"/>
  </r>
  <r>
    <x v="674"/>
    <x v="340"/>
    <s v="Simran Singh"/>
    <s v="Consumer"/>
    <x v="2"/>
    <x v="2"/>
    <x v="0"/>
    <s v="Cameras"/>
    <x v="8"/>
    <n v="1"/>
    <n v="38791.89"/>
    <n v="34912.699999999997"/>
    <x v="2"/>
    <n v="2437.6"/>
    <n v="175.37"/>
    <x v="1"/>
    <x v="0"/>
    <n v="6.9819864977501034E-2"/>
  </r>
  <r>
    <x v="675"/>
    <x v="341"/>
    <s v="Myra Agarwal"/>
    <s v="Consumer"/>
    <x v="1"/>
    <x v="1"/>
    <x v="3"/>
    <s v="Gym Equipment"/>
    <x v="92"/>
    <n v="1"/>
    <n v="1830.32"/>
    <n v="1647.29"/>
    <x v="2"/>
    <n v="196.77"/>
    <n v="251.49"/>
    <x v="3"/>
    <x v="1"/>
    <n v="0.11945073423623043"/>
  </r>
  <r>
    <x v="676"/>
    <x v="341"/>
    <s v="Myra Chopra"/>
    <s v="Consumer"/>
    <x v="3"/>
    <x v="7"/>
    <x v="0"/>
    <s v="Laptops"/>
    <x v="96"/>
    <n v="4"/>
    <n v="26280.03"/>
    <n v="105120.12"/>
    <x v="0"/>
    <n v="16024.02"/>
    <n v="127.17"/>
    <x v="0"/>
    <x v="0"/>
    <n v="0.15243532827017323"/>
  </r>
  <r>
    <x v="677"/>
    <x v="341"/>
    <s v="Kabir Joshi"/>
    <s v="Corporate"/>
    <x v="0"/>
    <x v="0"/>
    <x v="4"/>
    <s v="Skincare"/>
    <x v="67"/>
    <n v="3"/>
    <n v="2168.1"/>
    <n v="6504.3"/>
    <x v="0"/>
    <n v="1270.9000000000001"/>
    <n v="226.86"/>
    <x v="3"/>
    <x v="3"/>
    <n v="0.19539381639838263"/>
  </r>
  <r>
    <x v="678"/>
    <x v="342"/>
    <s v="Ananya Patel"/>
    <s v="Corporate"/>
    <x v="3"/>
    <x v="5"/>
    <x v="2"/>
    <s v="Fiction"/>
    <x v="87"/>
    <n v="1"/>
    <n v="393.64"/>
    <n v="295.23"/>
    <x v="4"/>
    <n v="-4.6900000000000004"/>
    <n v="176.64"/>
    <x v="1"/>
    <x v="2"/>
    <n v="-1.5885919452630154E-2"/>
  </r>
  <r>
    <x v="679"/>
    <x v="343"/>
    <s v="Navya Verma"/>
    <s v="Corporate"/>
    <x v="2"/>
    <x v="11"/>
    <x v="2"/>
    <s v="Non-Fiction"/>
    <x v="64"/>
    <n v="1"/>
    <n v="567.76"/>
    <n v="482.6"/>
    <x v="1"/>
    <n v="31.84"/>
    <n v="294.82"/>
    <x v="2"/>
    <x v="2"/>
    <n v="6.5975963530874426E-2"/>
  </r>
  <r>
    <x v="680"/>
    <x v="344"/>
    <s v="Kiara Mishra"/>
    <s v="Consumer"/>
    <x v="2"/>
    <x v="11"/>
    <x v="3"/>
    <s v="Apparel"/>
    <x v="18"/>
    <n v="1"/>
    <n v="3063.12"/>
    <n v="2603.65"/>
    <x v="1"/>
    <n v="440.76"/>
    <n v="114.81"/>
    <x v="0"/>
    <x v="2"/>
    <n v="0.16928542622856374"/>
  </r>
  <r>
    <x v="681"/>
    <x v="345"/>
    <s v="Simran Gupta"/>
    <s v="Corporate"/>
    <x v="2"/>
    <x v="8"/>
    <x v="3"/>
    <s v="Apparel"/>
    <x v="66"/>
    <n v="1"/>
    <n v="5395.22"/>
    <n v="4585.9399999999996"/>
    <x v="1"/>
    <n v="264.63"/>
    <n v="255.58"/>
    <x v="1"/>
    <x v="0"/>
    <n v="5.7704636345002336E-2"/>
  </r>
  <r>
    <x v="682"/>
    <x v="346"/>
    <s v="Aadhya Rao"/>
    <s v="Consumer"/>
    <x v="1"/>
    <x v="1"/>
    <x v="3"/>
    <s v="Gym Equipment"/>
    <x v="92"/>
    <n v="2"/>
    <n v="14367.12"/>
    <n v="25860.82"/>
    <x v="2"/>
    <n v="-42.05"/>
    <n v="191.46"/>
    <x v="0"/>
    <x v="2"/>
    <n v="-1.6260118588660374E-3"/>
  </r>
  <r>
    <x v="683"/>
    <x v="347"/>
    <s v="Karan Rao"/>
    <s v="Consumer"/>
    <x v="2"/>
    <x v="9"/>
    <x v="1"/>
    <s v="Decor"/>
    <x v="83"/>
    <n v="3"/>
    <n v="3345.68"/>
    <n v="9535.19"/>
    <x v="3"/>
    <n v="2036.89"/>
    <n v="309.60000000000002"/>
    <x v="0"/>
    <x v="3"/>
    <n v="0.21361818694750709"/>
  </r>
  <r>
    <x v="684"/>
    <x v="347"/>
    <s v="Karan Malhotra"/>
    <s v="Consumer"/>
    <x v="2"/>
    <x v="11"/>
    <x v="2"/>
    <s v="Academic"/>
    <x v="2"/>
    <n v="2"/>
    <n v="1030.42"/>
    <n v="1545.63"/>
    <x v="4"/>
    <n v="38.619999999999997"/>
    <n v="343.47"/>
    <x v="1"/>
    <x v="3"/>
    <n v="2.4986575053538036E-2"/>
  </r>
  <r>
    <x v="685"/>
    <x v="347"/>
    <s v="Dhruv Agarwal"/>
    <s v="Corporate"/>
    <x v="2"/>
    <x v="9"/>
    <x v="3"/>
    <s v="Footwear"/>
    <x v="37"/>
    <n v="1"/>
    <n v="8141.71"/>
    <n v="8141.71"/>
    <x v="0"/>
    <n v="696.5"/>
    <n v="136.5"/>
    <x v="0"/>
    <x v="0"/>
    <n v="8.554713936015898E-2"/>
  </r>
  <r>
    <x v="686"/>
    <x v="348"/>
    <s v="Karan Agarwal"/>
    <s v="Consumer"/>
    <x v="0"/>
    <x v="4"/>
    <x v="4"/>
    <s v="Skincare"/>
    <x v="56"/>
    <n v="1"/>
    <n v="1062.2"/>
    <n v="1062.2"/>
    <x v="0"/>
    <n v="334.07"/>
    <n v="101.55"/>
    <x v="4"/>
    <x v="2"/>
    <n v="0.31450762568254564"/>
  </r>
  <r>
    <x v="687"/>
    <x v="349"/>
    <s v="Aadhya Verma"/>
    <s v="Consumer"/>
    <x v="0"/>
    <x v="4"/>
    <x v="2"/>
    <s v="Fiction"/>
    <x v="49"/>
    <n v="1"/>
    <n v="155.44"/>
    <n v="132.12"/>
    <x v="1"/>
    <n v="19.68"/>
    <n v="230.93"/>
    <x v="3"/>
    <x v="2"/>
    <n v="0.14895549500454131"/>
  </r>
  <r>
    <x v="688"/>
    <x v="350"/>
    <s v="Diya Nair"/>
    <s v="Consumer"/>
    <x v="0"/>
    <x v="0"/>
    <x v="4"/>
    <s v="Haircare"/>
    <x v="77"/>
    <n v="3"/>
    <n v="2116.35"/>
    <n v="5714.15"/>
    <x v="2"/>
    <n v="1576.94"/>
    <n v="115.48"/>
    <x v="1"/>
    <x v="0"/>
    <n v="0.27597105431253993"/>
  </r>
  <r>
    <x v="689"/>
    <x v="350"/>
    <s v="Simran Kapoor"/>
    <s v="Consumer"/>
    <x v="1"/>
    <x v="13"/>
    <x v="5"/>
    <s v="Women's Wear"/>
    <x v="24"/>
    <n v="1"/>
    <n v="545.51"/>
    <n v="490.96"/>
    <x v="2"/>
    <n v="49.34"/>
    <n v="75.37"/>
    <x v="3"/>
    <x v="2"/>
    <n v="0.10049698549780024"/>
  </r>
  <r>
    <x v="690"/>
    <x v="351"/>
    <s v="Karan Agarwal"/>
    <s v="Corporate"/>
    <x v="2"/>
    <x v="2"/>
    <x v="1"/>
    <s v="Decor"/>
    <x v="61"/>
    <n v="1"/>
    <n v="11305.55"/>
    <n v="11305.55"/>
    <x v="0"/>
    <n v="1954.17"/>
    <n v="173.5"/>
    <x v="2"/>
    <x v="0"/>
    <n v="0.17285050262923965"/>
  </r>
  <r>
    <x v="691"/>
    <x v="352"/>
    <s v="Riya Agarwal"/>
    <s v="Corporate"/>
    <x v="3"/>
    <x v="10"/>
    <x v="0"/>
    <s v="Cameras"/>
    <x v="8"/>
    <n v="5"/>
    <n v="36218.080000000002"/>
    <n v="172035.88"/>
    <x v="3"/>
    <n v="24241.919999999998"/>
    <n v="214.39"/>
    <x v="0"/>
    <x v="0"/>
    <n v="0.14091200045013863"/>
  </r>
  <r>
    <x v="692"/>
    <x v="353"/>
    <s v="Ayaan Kapoor"/>
    <s v="Small Business"/>
    <x v="3"/>
    <x v="10"/>
    <x v="0"/>
    <s v="Cameras"/>
    <x v="0"/>
    <n v="1"/>
    <n v="41238.21"/>
    <n v="41238.21"/>
    <x v="0"/>
    <n v="5922.47"/>
    <n v="44.54"/>
    <x v="2"/>
    <x v="2"/>
    <n v="0.14361607838943544"/>
  </r>
  <r>
    <x v="693"/>
    <x v="354"/>
    <s v="Kiara Agarwal"/>
    <s v="Consumer"/>
    <x v="2"/>
    <x v="9"/>
    <x v="3"/>
    <s v="Gym Equipment"/>
    <x v="57"/>
    <n v="1"/>
    <n v="2307.98"/>
    <n v="2192.58"/>
    <x v="3"/>
    <n v="173.41"/>
    <n v="336.72"/>
    <x v="1"/>
    <x v="0"/>
    <n v="7.9089474500360302E-2"/>
  </r>
  <r>
    <x v="694"/>
    <x v="355"/>
    <s v="Anika Gupta"/>
    <s v="Consumer"/>
    <x v="1"/>
    <x v="1"/>
    <x v="1"/>
    <s v="Cookware"/>
    <x v="6"/>
    <n v="4"/>
    <n v="11155.26"/>
    <n v="44621.04"/>
    <x v="0"/>
    <n v="10789.58"/>
    <n v="150.09"/>
    <x v="1"/>
    <x v="0"/>
    <n v="0.2418047629548751"/>
  </r>
  <r>
    <x v="695"/>
    <x v="356"/>
    <s v="Meera Mehta"/>
    <s v="Corporate"/>
    <x v="0"/>
    <x v="0"/>
    <x v="5"/>
    <s v="Men's Wear"/>
    <x v="69"/>
    <n v="1"/>
    <n v="2886.57"/>
    <n v="2886.57"/>
    <x v="0"/>
    <n v="744.15"/>
    <n v="332.05"/>
    <x v="1"/>
    <x v="1"/>
    <n v="0.25779731653831361"/>
  </r>
  <r>
    <x v="696"/>
    <x v="357"/>
    <s v="Aditya Das"/>
    <s v="Consumer"/>
    <x v="0"/>
    <x v="0"/>
    <x v="1"/>
    <s v="Furniture"/>
    <x v="46"/>
    <n v="1"/>
    <n v="6354.58"/>
    <n v="6036.85"/>
    <x v="3"/>
    <n v="967.05"/>
    <n v="104.63"/>
    <x v="1"/>
    <x v="3"/>
    <n v="0.16019115929665304"/>
  </r>
  <r>
    <x v="697"/>
    <x v="358"/>
    <s v="Aditya Rao"/>
    <s v="Small Business"/>
    <x v="3"/>
    <x v="10"/>
    <x v="4"/>
    <s v="Fragrances"/>
    <x v="19"/>
    <n v="4"/>
    <n v="387.68"/>
    <n v="1395.65"/>
    <x v="2"/>
    <n v="232.32"/>
    <n v="250.41"/>
    <x v="3"/>
    <x v="3"/>
    <n v="0.16646007236771396"/>
  </r>
  <r>
    <x v="698"/>
    <x v="358"/>
    <s v="Aadhya Iyer"/>
    <s v="Small Business"/>
    <x v="3"/>
    <x v="5"/>
    <x v="3"/>
    <s v="Gym Equipment"/>
    <x v="57"/>
    <n v="1"/>
    <n v="7586.83"/>
    <n v="6448.81"/>
    <x v="1"/>
    <n v="578.37"/>
    <n v="201.67"/>
    <x v="1"/>
    <x v="3"/>
    <n v="8.9686314219212526E-2"/>
  </r>
  <r>
    <x v="699"/>
    <x v="359"/>
    <s v="Rohan Singh"/>
    <s v="Consumer"/>
    <x v="3"/>
    <x v="5"/>
    <x v="3"/>
    <s v="Gym Equipment"/>
    <x v="92"/>
    <n v="5"/>
    <n v="8594.2900000000009"/>
    <n v="40822.879999999997"/>
    <x v="3"/>
    <n v="5042.99"/>
    <n v="240.89"/>
    <x v="1"/>
    <x v="2"/>
    <n v="0.1235334204740087"/>
  </r>
  <r>
    <x v="700"/>
    <x v="360"/>
    <s v="Aadhya Das"/>
    <s v="Corporate"/>
    <x v="2"/>
    <x v="11"/>
    <x v="3"/>
    <s v="Apparel"/>
    <x v="66"/>
    <n v="1"/>
    <n v="1201.05"/>
    <n v="1201.05"/>
    <x v="0"/>
    <n v="249.48"/>
    <n v="65.680000000000007"/>
    <x v="4"/>
    <x v="0"/>
    <n v="0.2077182465342825"/>
  </r>
  <r>
    <x v="701"/>
    <x v="361"/>
    <s v="Aarav Rao"/>
    <s v="Consumer"/>
    <x v="2"/>
    <x v="2"/>
    <x v="5"/>
    <s v="Men's Wear"/>
    <x v="32"/>
    <n v="3"/>
    <n v="1149.47"/>
    <n v="3448.41"/>
    <x v="0"/>
    <n v="570.78"/>
    <n v="128.77000000000001"/>
    <x v="3"/>
    <x v="3"/>
    <n v="0.16551976128128615"/>
  </r>
  <r>
    <x v="702"/>
    <x v="361"/>
    <s v="Pooja Iyer"/>
    <s v="Small Business"/>
    <x v="2"/>
    <x v="2"/>
    <x v="5"/>
    <s v="Men's Wear"/>
    <x v="21"/>
    <n v="5"/>
    <n v="2685.99"/>
    <n v="10743.96"/>
    <x v="5"/>
    <n v="1391.89"/>
    <n v="371.36"/>
    <x v="1"/>
    <x v="0"/>
    <n v="0.12955092908015295"/>
  </r>
  <r>
    <x v="703"/>
    <x v="362"/>
    <s v="Anika Sharma"/>
    <s v="Corporate"/>
    <x v="0"/>
    <x v="4"/>
    <x v="5"/>
    <s v="Men's Wear"/>
    <x v="69"/>
    <n v="4"/>
    <n v="2971.5"/>
    <n v="11886"/>
    <x v="0"/>
    <n v="2400.86"/>
    <n v="145.74"/>
    <x v="0"/>
    <x v="3"/>
    <n v="0.20199057714958776"/>
  </r>
  <r>
    <x v="704"/>
    <x v="363"/>
    <s v="Diya Bose"/>
    <s v="Corporate"/>
    <x v="2"/>
    <x v="2"/>
    <x v="2"/>
    <s v="Academic"/>
    <x v="91"/>
    <n v="1"/>
    <n v="783.38"/>
    <n v="783.38"/>
    <x v="0"/>
    <n v="144.19"/>
    <n v="277.24"/>
    <x v="4"/>
    <x v="0"/>
    <n v="0.18406137506701728"/>
  </r>
  <r>
    <x v="705"/>
    <x v="364"/>
    <s v="Vivaan Bose"/>
    <s v="Consumer"/>
    <x v="1"/>
    <x v="13"/>
    <x v="4"/>
    <s v="Skincare"/>
    <x v="54"/>
    <n v="2"/>
    <n v="1890.56"/>
    <n v="3781.12"/>
    <x v="0"/>
    <n v="1290.58"/>
    <n v="240.23"/>
    <x v="1"/>
    <x v="0"/>
    <n v="0.34132214793500337"/>
  </r>
  <r>
    <x v="706"/>
    <x v="365"/>
    <s v="Pooja Sharma"/>
    <s v="Consumer"/>
    <x v="2"/>
    <x v="2"/>
    <x v="3"/>
    <s v="Footwear"/>
    <x v="11"/>
    <n v="1"/>
    <n v="425.38"/>
    <n v="425.38"/>
    <x v="0"/>
    <n v="73.55"/>
    <n v="320.77999999999997"/>
    <x v="4"/>
    <x v="0"/>
    <n v="0.1729042268089708"/>
  </r>
  <r>
    <x v="707"/>
    <x v="366"/>
    <s v="Myra Chopra"/>
    <s v="Small Business"/>
    <x v="2"/>
    <x v="11"/>
    <x v="2"/>
    <s v="Non-Fiction"/>
    <x v="36"/>
    <n v="1"/>
    <n v="911.1"/>
    <n v="865.54"/>
    <x v="3"/>
    <n v="-0.43"/>
    <n v="310.85000000000002"/>
    <x v="4"/>
    <x v="0"/>
    <n v="-4.9679968574531505E-4"/>
  </r>
  <r>
    <x v="708"/>
    <x v="367"/>
    <s v="Navya Mishra"/>
    <s v="Consumer"/>
    <x v="1"/>
    <x v="3"/>
    <x v="1"/>
    <s v="Cookware"/>
    <x v="1"/>
    <n v="2"/>
    <n v="7071.89"/>
    <n v="14143.78"/>
    <x v="0"/>
    <n v="1910.49"/>
    <n v="198.39"/>
    <x v="1"/>
    <x v="2"/>
    <n v="0.13507633744303149"/>
  </r>
  <r>
    <x v="709"/>
    <x v="367"/>
    <s v="Neha Das"/>
    <s v="Consumer"/>
    <x v="1"/>
    <x v="1"/>
    <x v="2"/>
    <s v="Academic"/>
    <x v="2"/>
    <n v="1"/>
    <n v="222.79"/>
    <n v="211.65"/>
    <x v="3"/>
    <n v="39.64"/>
    <n v="246.36"/>
    <x v="1"/>
    <x v="3"/>
    <n v="0.18729033782187574"/>
  </r>
  <r>
    <x v="710"/>
    <x v="367"/>
    <s v="Vihaan Desai"/>
    <s v="Consumer"/>
    <x v="2"/>
    <x v="8"/>
    <x v="2"/>
    <s v="Academic"/>
    <x v="91"/>
    <n v="3"/>
    <n v="1098.53"/>
    <n v="2966.03"/>
    <x v="2"/>
    <n v="467.87"/>
    <n v="76.510000000000005"/>
    <x v="3"/>
    <x v="2"/>
    <n v="0.15774284144125311"/>
  </r>
  <r>
    <x v="711"/>
    <x v="368"/>
    <s v="Simran Chopra"/>
    <s v="Consumer"/>
    <x v="0"/>
    <x v="0"/>
    <x v="3"/>
    <s v="Gym Equipment"/>
    <x v="13"/>
    <n v="2"/>
    <n v="927.6"/>
    <n v="1298.6400000000001"/>
    <x v="6"/>
    <n v="92.76"/>
    <n v="270.77999999999997"/>
    <x v="0"/>
    <x v="0"/>
    <n v="7.1428571428571425E-2"/>
  </r>
  <r>
    <x v="712"/>
    <x v="369"/>
    <s v="Simran Agarwal"/>
    <s v="Small Business"/>
    <x v="2"/>
    <x v="9"/>
    <x v="3"/>
    <s v="Footwear"/>
    <x v="37"/>
    <n v="3"/>
    <n v="1123.01"/>
    <n v="3200.58"/>
    <x v="3"/>
    <n v="665.28"/>
    <n v="281.44"/>
    <x v="3"/>
    <x v="0"/>
    <n v="0.20786232495360216"/>
  </r>
  <r>
    <x v="713"/>
    <x v="370"/>
    <s v="Navya Patel"/>
    <s v="Consumer"/>
    <x v="1"/>
    <x v="1"/>
    <x v="4"/>
    <s v="Skincare"/>
    <x v="67"/>
    <n v="1"/>
    <n v="1286.0899999999999"/>
    <n v="1221.79"/>
    <x v="3"/>
    <n v="327.54000000000002"/>
    <n v="273.45"/>
    <x v="1"/>
    <x v="0"/>
    <n v="0.26808207629789083"/>
  </r>
  <r>
    <x v="714"/>
    <x v="371"/>
    <s v="Kiara Gupta"/>
    <s v="Corporate"/>
    <x v="2"/>
    <x v="2"/>
    <x v="3"/>
    <s v="Footwear"/>
    <x v="29"/>
    <n v="4"/>
    <n v="9768.86"/>
    <n v="39075.440000000002"/>
    <x v="0"/>
    <n v="8845.48"/>
    <n v="274.92"/>
    <x v="3"/>
    <x v="0"/>
    <n v="0.22636930000020472"/>
  </r>
  <r>
    <x v="715"/>
    <x v="372"/>
    <s v="Diya Mehta"/>
    <s v="Consumer"/>
    <x v="3"/>
    <x v="10"/>
    <x v="1"/>
    <s v="Furniture"/>
    <x v="10"/>
    <n v="3"/>
    <n v="8989.52"/>
    <n v="22923.279999999999"/>
    <x v="1"/>
    <n v="2546.0700000000002"/>
    <n v="306.06"/>
    <x v="3"/>
    <x v="2"/>
    <n v="0.1110691838166266"/>
  </r>
  <r>
    <x v="716"/>
    <x v="373"/>
    <s v="Ira Verma"/>
    <s v="Corporate"/>
    <x v="0"/>
    <x v="12"/>
    <x v="3"/>
    <s v="Outdoor Gear"/>
    <x v="12"/>
    <n v="2"/>
    <n v="1687.67"/>
    <n v="2362.7399999999998"/>
    <x v="6"/>
    <n v="-32.94"/>
    <n v="86.15"/>
    <x v="4"/>
    <x v="2"/>
    <n v="-1.3941440869498972E-2"/>
  </r>
  <r>
    <x v="717"/>
    <x v="373"/>
    <s v="Myra Verma"/>
    <s v="Small Business"/>
    <x v="0"/>
    <x v="4"/>
    <x v="5"/>
    <s v="Men's Wear"/>
    <x v="69"/>
    <n v="1"/>
    <n v="698.66"/>
    <n v="698.66"/>
    <x v="0"/>
    <n v="180.14"/>
    <n v="304.57"/>
    <x v="1"/>
    <x v="0"/>
    <n v="0.25783642973692494"/>
  </r>
  <r>
    <x v="718"/>
    <x v="374"/>
    <s v="Vivaan Agarwal"/>
    <s v="Consumer"/>
    <x v="0"/>
    <x v="4"/>
    <x v="0"/>
    <s v="Cameras"/>
    <x v="8"/>
    <n v="1"/>
    <n v="60682.19"/>
    <n v="48545.75"/>
    <x v="5"/>
    <n v="5545.56"/>
    <n v="267.31"/>
    <x v="0"/>
    <x v="2"/>
    <n v="0.11423368677999619"/>
  </r>
  <r>
    <x v="719"/>
    <x v="374"/>
    <s v="Kabir Patel"/>
    <s v="Consumer"/>
    <x v="2"/>
    <x v="2"/>
    <x v="2"/>
    <s v="Comics"/>
    <x v="58"/>
    <n v="2"/>
    <n v="381.51"/>
    <n v="572.26"/>
    <x v="4"/>
    <n v="-32.49"/>
    <n v="288.99"/>
    <x v="0"/>
    <x v="3"/>
    <n v="-5.6774892531366868E-2"/>
  </r>
  <r>
    <x v="720"/>
    <x v="374"/>
    <s v="Karan Rao"/>
    <s v="Small Business"/>
    <x v="3"/>
    <x v="7"/>
    <x v="4"/>
    <s v="Makeup"/>
    <x v="59"/>
    <n v="2"/>
    <n v="1335.16"/>
    <n v="2136.2600000000002"/>
    <x v="5"/>
    <n v="370.5"/>
    <n v="269.72000000000003"/>
    <x v="0"/>
    <x v="2"/>
    <n v="0.17343394530628292"/>
  </r>
  <r>
    <x v="721"/>
    <x v="374"/>
    <s v="Vihaan Khan"/>
    <s v="Corporate"/>
    <x v="2"/>
    <x v="8"/>
    <x v="4"/>
    <s v="Makeup"/>
    <x v="20"/>
    <n v="2"/>
    <n v="2361.0100000000002"/>
    <n v="4485.92"/>
    <x v="3"/>
    <n v="1234.8800000000001"/>
    <n v="310.10000000000002"/>
    <x v="2"/>
    <x v="0"/>
    <n v="0.27527909548097157"/>
  </r>
  <r>
    <x v="722"/>
    <x v="375"/>
    <s v="Krishna Agarwal"/>
    <s v="Consumer"/>
    <x v="1"/>
    <x v="3"/>
    <x v="1"/>
    <s v="Cookware"/>
    <x v="78"/>
    <n v="2"/>
    <n v="3830.06"/>
    <n v="7277.11"/>
    <x v="3"/>
    <n v="935.07"/>
    <n v="248.53"/>
    <x v="3"/>
    <x v="1"/>
    <n v="0.12849469088690429"/>
  </r>
  <r>
    <x v="723"/>
    <x v="376"/>
    <s v="Raj Mishra"/>
    <s v="Small Business"/>
    <x v="0"/>
    <x v="4"/>
    <x v="4"/>
    <s v="Skincare"/>
    <x v="54"/>
    <n v="2"/>
    <n v="1229.49"/>
    <n v="2090.13"/>
    <x v="1"/>
    <n v="268.70999999999998"/>
    <n v="241.31"/>
    <x v="4"/>
    <x v="0"/>
    <n v="0.12856138134948542"/>
  </r>
  <r>
    <x v="724"/>
    <x v="377"/>
    <s v="Raj Malhotra"/>
    <s v="Corporate"/>
    <x v="1"/>
    <x v="1"/>
    <x v="1"/>
    <s v="Cookware"/>
    <x v="78"/>
    <n v="2"/>
    <n v="6834.89"/>
    <n v="12302.8"/>
    <x v="2"/>
    <n v="2185.96"/>
    <n v="176.45"/>
    <x v="2"/>
    <x v="3"/>
    <n v="0.1776798777514062"/>
  </r>
  <r>
    <x v="725"/>
    <x v="378"/>
    <s v="Myra Das"/>
    <s v="Consumer"/>
    <x v="0"/>
    <x v="4"/>
    <x v="5"/>
    <s v="Kids Wear"/>
    <x v="65"/>
    <n v="3"/>
    <n v="4454.71"/>
    <n v="9354.89"/>
    <x v="6"/>
    <n v="473.02"/>
    <n v="134.1"/>
    <x v="0"/>
    <x v="2"/>
    <n v="5.0563929666730449E-2"/>
  </r>
  <r>
    <x v="726"/>
    <x v="378"/>
    <s v="Aarav Kapoor"/>
    <s v="Consumer"/>
    <x v="0"/>
    <x v="0"/>
    <x v="3"/>
    <s v="Gym Equipment"/>
    <x v="92"/>
    <n v="3"/>
    <n v="13122.51"/>
    <n v="33462.400000000001"/>
    <x v="1"/>
    <n v="4766.2299999999996"/>
    <n v="69.36"/>
    <x v="1"/>
    <x v="0"/>
    <n v="0.1424353901692646"/>
  </r>
  <r>
    <x v="727"/>
    <x v="379"/>
    <s v="Ananya Nair"/>
    <s v="Small Business"/>
    <x v="0"/>
    <x v="4"/>
    <x v="0"/>
    <s v="Headphones"/>
    <x v="84"/>
    <n v="2"/>
    <n v="6061.58"/>
    <n v="8486.2099999999991"/>
    <x v="6"/>
    <n v="-1312.22"/>
    <n v="345.97"/>
    <x v="3"/>
    <x v="0"/>
    <n v="-0.1546296874576519"/>
  </r>
  <r>
    <x v="728"/>
    <x v="380"/>
    <s v="Diya Bose"/>
    <s v="Corporate"/>
    <x v="3"/>
    <x v="7"/>
    <x v="0"/>
    <s v="Mobiles"/>
    <x v="72"/>
    <n v="1"/>
    <n v="13694.64"/>
    <n v="13694.64"/>
    <x v="0"/>
    <n v="885.15"/>
    <n v="317.02999999999997"/>
    <x v="3"/>
    <x v="0"/>
    <n v="6.4634776817791492E-2"/>
  </r>
  <r>
    <x v="729"/>
    <x v="380"/>
    <s v="Aadhya Agarwal"/>
    <s v="Consumer"/>
    <x v="1"/>
    <x v="1"/>
    <x v="2"/>
    <s v="Academic"/>
    <x v="38"/>
    <n v="3"/>
    <n v="370.83"/>
    <n v="1001.24"/>
    <x v="2"/>
    <n v="51.43"/>
    <n v="336.98"/>
    <x v="3"/>
    <x v="3"/>
    <n v="5.1366305780831768E-2"/>
  </r>
  <r>
    <x v="730"/>
    <x v="381"/>
    <s v="Krishna Patel"/>
    <s v="Consumer"/>
    <x v="3"/>
    <x v="7"/>
    <x v="2"/>
    <s v="Comics"/>
    <x v="95"/>
    <n v="2"/>
    <n v="577.01"/>
    <n v="1154.02"/>
    <x v="0"/>
    <n v="174.89"/>
    <n v="115.12"/>
    <x v="3"/>
    <x v="2"/>
    <n v="0.15154850002599607"/>
  </r>
  <r>
    <x v="731"/>
    <x v="382"/>
    <s v="Aditya Joshi"/>
    <s v="Consumer"/>
    <x v="2"/>
    <x v="2"/>
    <x v="4"/>
    <s v="Fragrances"/>
    <x v="19"/>
    <n v="5"/>
    <n v="930.45"/>
    <n v="4419.6400000000003"/>
    <x v="3"/>
    <n v="1104.96"/>
    <n v="104.99"/>
    <x v="2"/>
    <x v="2"/>
    <n v="0.25001131313862668"/>
  </r>
  <r>
    <x v="732"/>
    <x v="382"/>
    <s v="Kiara Bose"/>
    <s v="Consumer"/>
    <x v="2"/>
    <x v="8"/>
    <x v="1"/>
    <s v="Appliances"/>
    <x v="45"/>
    <n v="1"/>
    <n v="3875.31"/>
    <n v="3100.25"/>
    <x v="5"/>
    <n v="51.02"/>
    <n v="166.57"/>
    <x v="1"/>
    <x v="2"/>
    <n v="1.6456737359890332E-2"/>
  </r>
  <r>
    <x v="733"/>
    <x v="382"/>
    <s v="Diya Malhotra"/>
    <s v="Small Business"/>
    <x v="1"/>
    <x v="1"/>
    <x v="2"/>
    <s v="Comics"/>
    <x v="58"/>
    <n v="1"/>
    <n v="541.9"/>
    <n v="379.33"/>
    <x v="6"/>
    <n v="0.97"/>
    <n v="232.24"/>
    <x v="0"/>
    <x v="1"/>
    <n v="2.5571402209158254E-3"/>
  </r>
  <r>
    <x v="734"/>
    <x v="383"/>
    <s v="Meera Kapoor"/>
    <s v="Corporate"/>
    <x v="2"/>
    <x v="9"/>
    <x v="3"/>
    <s v="Apparel"/>
    <x v="75"/>
    <n v="3"/>
    <n v="5759.96"/>
    <n v="12095.92"/>
    <x v="6"/>
    <n v="896.27"/>
    <n v="207.75"/>
    <x v="0"/>
    <x v="0"/>
    <n v="7.4096885561412446E-2"/>
  </r>
  <r>
    <x v="735"/>
    <x v="384"/>
    <s v="Raj Bose"/>
    <s v="Corporate"/>
    <x v="0"/>
    <x v="4"/>
    <x v="3"/>
    <s v="Apparel"/>
    <x v="18"/>
    <n v="1"/>
    <n v="8601.99"/>
    <n v="8601.99"/>
    <x v="0"/>
    <n v="1305.1099999999999"/>
    <n v="252.57"/>
    <x v="1"/>
    <x v="2"/>
    <n v="0.15172186900938037"/>
  </r>
  <r>
    <x v="736"/>
    <x v="385"/>
    <s v="Aditya Agarwal"/>
    <s v="Consumer"/>
    <x v="1"/>
    <x v="13"/>
    <x v="4"/>
    <s v="Fragrances"/>
    <x v="19"/>
    <n v="1"/>
    <n v="1800.87"/>
    <n v="1710.83"/>
    <x v="3"/>
    <n v="352.1"/>
    <n v="226.8"/>
    <x v="1"/>
    <x v="0"/>
    <n v="0.20580653834688428"/>
  </r>
  <r>
    <x v="737"/>
    <x v="386"/>
    <s v="Ira Rao"/>
    <s v="Consumer"/>
    <x v="1"/>
    <x v="1"/>
    <x v="0"/>
    <s v="Cameras"/>
    <x v="8"/>
    <n v="1"/>
    <n v="26820.82"/>
    <n v="26820.82"/>
    <x v="0"/>
    <n v="2960.5"/>
    <n v="298.10000000000002"/>
    <x v="1"/>
    <x v="3"/>
    <n v="0.11038066695947402"/>
  </r>
  <r>
    <x v="738"/>
    <x v="386"/>
    <s v="Saanvi Kapoor"/>
    <s v="Consumer"/>
    <x v="3"/>
    <x v="5"/>
    <x v="1"/>
    <s v="Furniture"/>
    <x v="46"/>
    <n v="3"/>
    <n v="8486.7800000000007"/>
    <n v="20368.27"/>
    <x v="5"/>
    <n v="1886.5"/>
    <n v="267.56"/>
    <x v="1"/>
    <x v="0"/>
    <n v="9.2619549917592414E-2"/>
  </r>
  <r>
    <x v="739"/>
    <x v="387"/>
    <s v="Krishna Gupta"/>
    <s v="Corporate"/>
    <x v="2"/>
    <x v="9"/>
    <x v="3"/>
    <s v="Gym Equipment"/>
    <x v="92"/>
    <n v="2"/>
    <n v="7272.03"/>
    <n v="13816.86"/>
    <x v="3"/>
    <n v="2483.31"/>
    <n v="59.61"/>
    <x v="0"/>
    <x v="0"/>
    <n v="0.17973041631745562"/>
  </r>
  <r>
    <x v="740"/>
    <x v="387"/>
    <s v="Ananya Rao"/>
    <s v="Consumer"/>
    <x v="3"/>
    <x v="7"/>
    <x v="4"/>
    <s v="Skincare"/>
    <x v="26"/>
    <n v="5"/>
    <n v="2382.86"/>
    <n v="11914.3"/>
    <x v="0"/>
    <n v="2907.49"/>
    <n v="397.94"/>
    <x v="0"/>
    <x v="2"/>
    <n v="0.24403364024743376"/>
  </r>
  <r>
    <x v="741"/>
    <x v="388"/>
    <s v="Anika Nair"/>
    <s v="Consumer"/>
    <x v="1"/>
    <x v="1"/>
    <x v="5"/>
    <s v="Footwear"/>
    <x v="33"/>
    <n v="1"/>
    <n v="957.2"/>
    <n v="765.76"/>
    <x v="5"/>
    <n v="152.76"/>
    <n v="181.65"/>
    <x v="3"/>
    <x v="3"/>
    <n v="0.19948809026326786"/>
  </r>
  <r>
    <x v="742"/>
    <x v="388"/>
    <s v="Aarav Nair"/>
    <s v="Corporate"/>
    <x v="2"/>
    <x v="11"/>
    <x v="5"/>
    <s v="Women's Wear"/>
    <x v="24"/>
    <n v="1"/>
    <n v="2960.3"/>
    <n v="2220.23"/>
    <x v="4"/>
    <n v="99.72"/>
    <n v="308.87"/>
    <x v="4"/>
    <x v="2"/>
    <n v="4.4914265639145495E-2"/>
  </r>
  <r>
    <x v="743"/>
    <x v="388"/>
    <s v="Raj Khan"/>
    <s v="Consumer"/>
    <x v="0"/>
    <x v="12"/>
    <x v="2"/>
    <s v="Academic"/>
    <x v="91"/>
    <n v="1"/>
    <n v="655.41"/>
    <n v="655.41"/>
    <x v="0"/>
    <n v="80.41"/>
    <n v="201.3"/>
    <x v="1"/>
    <x v="1"/>
    <n v="0.12268656260966418"/>
  </r>
  <r>
    <x v="744"/>
    <x v="389"/>
    <s v="Ishaan Mishra"/>
    <s v="Consumer"/>
    <x v="1"/>
    <x v="3"/>
    <x v="1"/>
    <s v="Appliances"/>
    <x v="7"/>
    <n v="2"/>
    <n v="11735.22"/>
    <n v="19949.87"/>
    <x v="1"/>
    <n v="2798.11"/>
    <n v="295.36"/>
    <x v="2"/>
    <x v="3"/>
    <n v="0.14025705430661956"/>
  </r>
  <r>
    <x v="745"/>
    <x v="389"/>
    <s v="Aarav Bose"/>
    <s v="Consumer"/>
    <x v="1"/>
    <x v="13"/>
    <x v="2"/>
    <s v="Comics"/>
    <x v="43"/>
    <n v="1"/>
    <n v="1077.6400000000001"/>
    <n v="862.11"/>
    <x v="5"/>
    <n v="51.45"/>
    <n v="230.51"/>
    <x v="2"/>
    <x v="0"/>
    <n v="5.9679159272018653E-2"/>
  </r>
  <r>
    <x v="746"/>
    <x v="389"/>
    <s v="Riya Mehta"/>
    <s v="Consumer"/>
    <x v="3"/>
    <x v="6"/>
    <x v="1"/>
    <s v="Decor"/>
    <x v="23"/>
    <n v="3"/>
    <n v="11286.39"/>
    <n v="25394.38"/>
    <x v="4"/>
    <n v="17.100000000000001"/>
    <n v="173.49"/>
    <x v="3"/>
    <x v="3"/>
    <n v="6.7337733782041537E-4"/>
  </r>
  <r>
    <x v="747"/>
    <x v="389"/>
    <s v="Reyansh Mishra"/>
    <s v="Corporate"/>
    <x v="0"/>
    <x v="12"/>
    <x v="3"/>
    <s v="Gym Equipment"/>
    <x v="57"/>
    <n v="2"/>
    <n v="7714.85"/>
    <n v="13886.73"/>
    <x v="2"/>
    <n v="2149.35"/>
    <n v="119.31"/>
    <x v="2"/>
    <x v="0"/>
    <n v="0.15477725857707322"/>
  </r>
  <r>
    <x v="748"/>
    <x v="390"/>
    <s v="Anika Mishra"/>
    <s v="Consumer"/>
    <x v="2"/>
    <x v="2"/>
    <x v="4"/>
    <s v="Haircare"/>
    <x v="17"/>
    <n v="4"/>
    <n v="1593.29"/>
    <n v="6373.16"/>
    <x v="0"/>
    <n v="2207.13"/>
    <n v="191.67"/>
    <x v="3"/>
    <x v="0"/>
    <n v="0.34631642701579751"/>
  </r>
  <r>
    <x v="749"/>
    <x v="391"/>
    <s v="Myra Nair"/>
    <s v="Consumer"/>
    <x v="3"/>
    <x v="6"/>
    <x v="0"/>
    <s v="Laptops"/>
    <x v="96"/>
    <n v="4"/>
    <n v="28546.63"/>
    <n v="114186.52"/>
    <x v="0"/>
    <n v="9323.17"/>
    <n v="120.11"/>
    <x v="0"/>
    <x v="0"/>
    <n v="8.1648604406194356E-2"/>
  </r>
  <r>
    <x v="750"/>
    <x v="392"/>
    <s v="Navya Iyer"/>
    <s v="Corporate"/>
    <x v="1"/>
    <x v="13"/>
    <x v="0"/>
    <s v="Headphones"/>
    <x v="84"/>
    <n v="1"/>
    <n v="38307.5"/>
    <n v="36392.120000000003"/>
    <x v="3"/>
    <n v="6143.79"/>
    <n v="195.34"/>
    <x v="0"/>
    <x v="0"/>
    <n v="0.16882198673778828"/>
  </r>
  <r>
    <x v="751"/>
    <x v="392"/>
    <s v="Aditya Agarwal"/>
    <s v="Small Business"/>
    <x v="2"/>
    <x v="8"/>
    <x v="1"/>
    <s v="Furniture"/>
    <x v="39"/>
    <n v="3"/>
    <n v="2713.17"/>
    <n v="8139.51"/>
    <x v="0"/>
    <n v="1475.75"/>
    <n v="81.790000000000006"/>
    <x v="4"/>
    <x v="3"/>
    <n v="0.18130698285277613"/>
  </r>
  <r>
    <x v="752"/>
    <x v="393"/>
    <s v="Kabir Patel"/>
    <s v="Consumer"/>
    <x v="2"/>
    <x v="11"/>
    <x v="4"/>
    <s v="Skincare"/>
    <x v="54"/>
    <n v="1"/>
    <n v="350.34"/>
    <n v="350.34"/>
    <x v="0"/>
    <n v="64.17"/>
    <n v="186.02"/>
    <x v="3"/>
    <x v="3"/>
    <n v="0.18316492550094196"/>
  </r>
  <r>
    <x v="753"/>
    <x v="393"/>
    <s v="Raj Khan"/>
    <s v="Corporate"/>
    <x v="0"/>
    <x v="12"/>
    <x v="2"/>
    <s v="Fiction"/>
    <x v="9"/>
    <n v="3"/>
    <n v="1068.8699999999999"/>
    <n v="3206.61"/>
    <x v="0"/>
    <n v="410.67"/>
    <n v="234.59"/>
    <x v="2"/>
    <x v="1"/>
    <n v="0.12806983075584497"/>
  </r>
  <r>
    <x v="754"/>
    <x v="393"/>
    <s v="Simran Malhotra"/>
    <s v="Corporate"/>
    <x v="0"/>
    <x v="0"/>
    <x v="3"/>
    <s v="Footwear"/>
    <x v="29"/>
    <n v="3"/>
    <n v="2529.86"/>
    <n v="6071.66"/>
    <x v="5"/>
    <n v="508.71"/>
    <n v="208.06"/>
    <x v="3"/>
    <x v="0"/>
    <n v="8.3784335750025529E-2"/>
  </r>
  <r>
    <x v="755"/>
    <x v="394"/>
    <s v="Ira Desai"/>
    <s v="Small Business"/>
    <x v="1"/>
    <x v="1"/>
    <x v="1"/>
    <s v="Appliances"/>
    <x v="16"/>
    <n v="4"/>
    <n v="11237.93"/>
    <n v="44951.72"/>
    <x v="0"/>
    <n v="8597.61"/>
    <n v="276.54000000000002"/>
    <x v="0"/>
    <x v="1"/>
    <n v="0.19126320416660364"/>
  </r>
  <r>
    <x v="756"/>
    <x v="395"/>
    <s v="Saanvi Reddy"/>
    <s v="Consumer"/>
    <x v="0"/>
    <x v="0"/>
    <x v="4"/>
    <s v="Haircare"/>
    <x v="17"/>
    <n v="2"/>
    <n v="767.36"/>
    <n v="1304.51"/>
    <x v="1"/>
    <n v="232.67"/>
    <n v="277.47000000000003"/>
    <x v="3"/>
    <x v="3"/>
    <n v="0.17835815746908801"/>
  </r>
  <r>
    <x v="757"/>
    <x v="396"/>
    <s v="Reyansh Singh"/>
    <s v="Corporate"/>
    <x v="3"/>
    <x v="7"/>
    <x v="2"/>
    <s v="Fiction"/>
    <x v="76"/>
    <n v="1"/>
    <n v="264.94"/>
    <n v="225.2"/>
    <x v="1"/>
    <n v="2.78"/>
    <n v="336.05"/>
    <x v="3"/>
    <x v="0"/>
    <n v="1.2344582593250443E-2"/>
  </r>
  <r>
    <x v="758"/>
    <x v="397"/>
    <s v="Reyansh Gupta"/>
    <s v="Consumer"/>
    <x v="1"/>
    <x v="3"/>
    <x v="5"/>
    <s v="Footwear"/>
    <x v="33"/>
    <n v="4"/>
    <n v="2789.93"/>
    <n v="10043.75"/>
    <x v="2"/>
    <n v="1877.58"/>
    <n v="188.58"/>
    <x v="2"/>
    <x v="2"/>
    <n v="0.18694013690105787"/>
  </r>
  <r>
    <x v="759"/>
    <x v="398"/>
    <s v="Anika Reddy"/>
    <s v="Consumer"/>
    <x v="0"/>
    <x v="4"/>
    <x v="1"/>
    <s v="Furniture"/>
    <x v="39"/>
    <n v="1"/>
    <n v="8381.15"/>
    <n v="7123.98"/>
    <x v="1"/>
    <n v="927.48"/>
    <n v="297.83"/>
    <x v="0"/>
    <x v="1"/>
    <n v="0.13019126948700024"/>
  </r>
  <r>
    <x v="760"/>
    <x v="398"/>
    <s v="Dhruv Malhotra"/>
    <s v="Corporate"/>
    <x v="3"/>
    <x v="6"/>
    <x v="2"/>
    <s v="Academic"/>
    <x v="91"/>
    <n v="1"/>
    <n v="1186"/>
    <n v="1008.1"/>
    <x v="1"/>
    <n v="60.3"/>
    <n v="227.81"/>
    <x v="1"/>
    <x v="0"/>
    <n v="5.9815494494593786E-2"/>
  </r>
  <r>
    <x v="761"/>
    <x v="398"/>
    <s v="Reyansh Sharma"/>
    <s v="Corporate"/>
    <x v="2"/>
    <x v="9"/>
    <x v="1"/>
    <s v="Appliances"/>
    <x v="7"/>
    <n v="3"/>
    <n v="1712.07"/>
    <n v="4622.59"/>
    <x v="2"/>
    <n v="697.56"/>
    <n v="324.58999999999997"/>
    <x v="1"/>
    <x v="0"/>
    <n v="0.1509024161779435"/>
  </r>
  <r>
    <x v="762"/>
    <x v="399"/>
    <s v="Kiara Mehta"/>
    <s v="Corporate"/>
    <x v="1"/>
    <x v="13"/>
    <x v="2"/>
    <s v="Academic"/>
    <x v="38"/>
    <n v="3"/>
    <n v="682.84"/>
    <n v="1946.09"/>
    <x v="3"/>
    <n v="295.7"/>
    <n v="62.04"/>
    <x v="1"/>
    <x v="3"/>
    <n v="0.15194569624220874"/>
  </r>
  <r>
    <x v="763"/>
    <x v="399"/>
    <s v="Simran Rao"/>
    <s v="Corporate"/>
    <x v="0"/>
    <x v="12"/>
    <x v="5"/>
    <s v="Kids Wear"/>
    <x v="52"/>
    <n v="2"/>
    <n v="2793.88"/>
    <n v="5587.76"/>
    <x v="0"/>
    <n v="901.34"/>
    <n v="229.19"/>
    <x v="0"/>
    <x v="3"/>
    <n v="0.16130614056437642"/>
  </r>
  <r>
    <x v="764"/>
    <x v="400"/>
    <s v="Rohan Singh"/>
    <s v="Consumer"/>
    <x v="2"/>
    <x v="8"/>
    <x v="4"/>
    <s v="Fragrances"/>
    <x v="35"/>
    <n v="2"/>
    <n v="2299.65"/>
    <n v="4139.37"/>
    <x v="2"/>
    <n v="643.72"/>
    <n v="89.67"/>
    <x v="2"/>
    <x v="1"/>
    <n v="0.15551158751210933"/>
  </r>
  <r>
    <x v="765"/>
    <x v="401"/>
    <s v="Saanvi Sharma"/>
    <s v="Small Business"/>
    <x v="2"/>
    <x v="8"/>
    <x v="5"/>
    <s v="Kids Wear"/>
    <x v="65"/>
    <n v="1"/>
    <n v="788"/>
    <n v="748.6"/>
    <x v="3"/>
    <n v="167.37"/>
    <n v="222.35"/>
    <x v="3"/>
    <x v="3"/>
    <n v="0.22357734437616886"/>
  </r>
  <r>
    <x v="766"/>
    <x v="402"/>
    <s v="Anika Mishra"/>
    <s v="Consumer"/>
    <x v="3"/>
    <x v="10"/>
    <x v="4"/>
    <s v="Fragrances"/>
    <x v="79"/>
    <n v="3"/>
    <n v="1644.38"/>
    <n v="4193.17"/>
    <x v="1"/>
    <n v="657.74"/>
    <n v="119.81"/>
    <x v="4"/>
    <x v="0"/>
    <n v="0.15685984589224858"/>
  </r>
  <r>
    <x v="767"/>
    <x v="403"/>
    <s v="Meera Desai"/>
    <s v="Consumer"/>
    <x v="3"/>
    <x v="7"/>
    <x v="1"/>
    <s v="Furniture"/>
    <x v="10"/>
    <n v="1"/>
    <n v="6954.99"/>
    <n v="6954.99"/>
    <x v="0"/>
    <n v="1249.69"/>
    <n v="33.869999999999997"/>
    <x v="1"/>
    <x v="0"/>
    <n v="0.17968250134076399"/>
  </r>
  <r>
    <x v="768"/>
    <x v="404"/>
    <s v="Aditya Desai"/>
    <s v="Consumer"/>
    <x v="2"/>
    <x v="8"/>
    <x v="5"/>
    <s v="Women's Wear"/>
    <x v="42"/>
    <n v="2"/>
    <n v="4348.05"/>
    <n v="8696.1"/>
    <x v="0"/>
    <n v="1775.46"/>
    <n v="124.55"/>
    <x v="4"/>
    <x v="0"/>
    <n v="0.20416738537965295"/>
  </r>
  <r>
    <x v="769"/>
    <x v="405"/>
    <s v="Myra Kapoor"/>
    <s v="Consumer"/>
    <x v="0"/>
    <x v="12"/>
    <x v="3"/>
    <s v="Gym Equipment"/>
    <x v="57"/>
    <n v="1"/>
    <n v="5340.15"/>
    <n v="4539.13"/>
    <x v="1"/>
    <n v="492.85"/>
    <n v="251.72"/>
    <x v="0"/>
    <x v="2"/>
    <n v="0.10857807553429842"/>
  </r>
  <r>
    <x v="770"/>
    <x v="405"/>
    <s v="Krishna Khan"/>
    <s v="Small Business"/>
    <x v="0"/>
    <x v="12"/>
    <x v="4"/>
    <s v="Makeup"/>
    <x v="63"/>
    <n v="1"/>
    <n v="1551.87"/>
    <n v="1396.68"/>
    <x v="2"/>
    <n v="273.13"/>
    <n v="137.04"/>
    <x v="3"/>
    <x v="3"/>
    <n v="0.19555660566486238"/>
  </r>
  <r>
    <x v="771"/>
    <x v="406"/>
    <s v="Neha Bose"/>
    <s v="Consumer"/>
    <x v="3"/>
    <x v="7"/>
    <x v="4"/>
    <s v="Makeup"/>
    <x v="59"/>
    <n v="5"/>
    <n v="747.82"/>
    <n v="3739.1"/>
    <x v="0"/>
    <n v="1002.02"/>
    <n v="321.13"/>
    <x v="4"/>
    <x v="2"/>
    <n v="0.26798427429060467"/>
  </r>
  <r>
    <x v="772"/>
    <x v="407"/>
    <s v="Raj Agarwal"/>
    <s v="Consumer"/>
    <x v="0"/>
    <x v="0"/>
    <x v="5"/>
    <s v="Men's Wear"/>
    <x v="21"/>
    <n v="1"/>
    <n v="1158.68"/>
    <n v="984.88"/>
    <x v="1"/>
    <n v="134.99"/>
    <n v="226.84"/>
    <x v="3"/>
    <x v="0"/>
    <n v="0.13706238323450573"/>
  </r>
  <r>
    <x v="773"/>
    <x v="407"/>
    <s v="Kiara Agarwal"/>
    <s v="Consumer"/>
    <x v="2"/>
    <x v="11"/>
    <x v="5"/>
    <s v="Footwear"/>
    <x v="37"/>
    <n v="2"/>
    <n v="1017.73"/>
    <n v="1526.6"/>
    <x v="4"/>
    <n v="117.95"/>
    <n v="258.97000000000003"/>
    <x v="4"/>
    <x v="2"/>
    <n v="7.7263199266343521E-2"/>
  </r>
  <r>
    <x v="774"/>
    <x v="408"/>
    <s v="Vihaan Sharma"/>
    <s v="Consumer"/>
    <x v="2"/>
    <x v="11"/>
    <x v="4"/>
    <s v="Makeup"/>
    <x v="71"/>
    <n v="1"/>
    <n v="1067.7"/>
    <n v="907.54"/>
    <x v="1"/>
    <n v="177.44"/>
    <n v="137.69999999999999"/>
    <x v="3"/>
    <x v="0"/>
    <n v="0.19551755294532472"/>
  </r>
  <r>
    <x v="775"/>
    <x v="408"/>
    <s v="Aditya Singh"/>
    <s v="Small Business"/>
    <x v="2"/>
    <x v="2"/>
    <x v="3"/>
    <s v="Apparel"/>
    <x v="75"/>
    <n v="3"/>
    <n v="14467.03"/>
    <n v="39060.980000000003"/>
    <x v="2"/>
    <n v="4584.8599999999997"/>
    <n v="183.23"/>
    <x v="3"/>
    <x v="1"/>
    <n v="0.11737698337317699"/>
  </r>
  <r>
    <x v="776"/>
    <x v="409"/>
    <s v="Raj Nair"/>
    <s v="Consumer"/>
    <x v="2"/>
    <x v="2"/>
    <x v="1"/>
    <s v="Appliances"/>
    <x v="40"/>
    <n v="2"/>
    <n v="6309.3"/>
    <n v="11987.67"/>
    <x v="3"/>
    <n v="878.52"/>
    <n v="244.65"/>
    <x v="0"/>
    <x v="1"/>
    <n v="7.3285300646414184E-2"/>
  </r>
  <r>
    <x v="777"/>
    <x v="410"/>
    <s v="Pooja Das"/>
    <s v="Small Business"/>
    <x v="0"/>
    <x v="12"/>
    <x v="3"/>
    <s v="Gym Equipment"/>
    <x v="57"/>
    <n v="2"/>
    <n v="12428.51"/>
    <n v="22371.32"/>
    <x v="2"/>
    <n v="3393.76"/>
    <n v="217.89"/>
    <x v="3"/>
    <x v="2"/>
    <n v="0.15170137479594412"/>
  </r>
  <r>
    <x v="778"/>
    <x v="410"/>
    <s v="Reyansh Mehta"/>
    <s v="Consumer"/>
    <x v="1"/>
    <x v="3"/>
    <x v="1"/>
    <s v="Furniture"/>
    <x v="39"/>
    <n v="1"/>
    <n v="4733.24"/>
    <n v="4023.25"/>
    <x v="1"/>
    <n v="417.77"/>
    <n v="46.16"/>
    <x v="2"/>
    <x v="0"/>
    <n v="0.10383893618343379"/>
  </r>
  <r>
    <x v="779"/>
    <x v="411"/>
    <s v="Diya Mehta"/>
    <s v="Corporate"/>
    <x v="3"/>
    <x v="5"/>
    <x v="5"/>
    <s v="Men's Wear"/>
    <x v="69"/>
    <n v="1"/>
    <n v="1902.77"/>
    <n v="1807.63"/>
    <x v="3"/>
    <n v="402.23"/>
    <n v="71.23"/>
    <x v="2"/>
    <x v="3"/>
    <n v="0.22251788253127022"/>
  </r>
  <r>
    <x v="780"/>
    <x v="411"/>
    <s v="Sai Khan"/>
    <s v="Corporate"/>
    <x v="2"/>
    <x v="9"/>
    <x v="3"/>
    <s v="Outdoor Gear"/>
    <x v="82"/>
    <n v="1"/>
    <n v="10331.82"/>
    <n v="9298.64"/>
    <x v="2"/>
    <n v="1406.05"/>
    <n v="330.86"/>
    <x v="3"/>
    <x v="3"/>
    <n v="0.15121028451472474"/>
  </r>
  <r>
    <x v="781"/>
    <x v="412"/>
    <s v="Anika Sharma"/>
    <s v="Consumer"/>
    <x v="3"/>
    <x v="6"/>
    <x v="2"/>
    <s v="Non-Fiction"/>
    <x v="36"/>
    <n v="5"/>
    <n v="612.34"/>
    <n v="2755.53"/>
    <x v="2"/>
    <n v="138.53"/>
    <n v="286.89999999999998"/>
    <x v="1"/>
    <x v="0"/>
    <n v="5.0273450116674466E-2"/>
  </r>
  <r>
    <x v="782"/>
    <x v="412"/>
    <s v="Meera Mehta"/>
    <s v="Small Business"/>
    <x v="2"/>
    <x v="9"/>
    <x v="2"/>
    <s v="Comics"/>
    <x v="95"/>
    <n v="1"/>
    <n v="531.24"/>
    <n v="478.12"/>
    <x v="2"/>
    <n v="65.17"/>
    <n v="143.94999999999999"/>
    <x v="1"/>
    <x v="1"/>
    <n v="0.13630469338241447"/>
  </r>
  <r>
    <x v="783"/>
    <x v="413"/>
    <s v="Neha Nair"/>
    <s v="Consumer"/>
    <x v="3"/>
    <x v="5"/>
    <x v="4"/>
    <s v="Fragrances"/>
    <x v="41"/>
    <n v="1"/>
    <n v="2184.84"/>
    <n v="1966.36"/>
    <x v="2"/>
    <n v="576.30999999999995"/>
    <n v="124.97"/>
    <x v="2"/>
    <x v="3"/>
    <n v="0.2930846843914644"/>
  </r>
  <r>
    <x v="784"/>
    <x v="414"/>
    <s v="Myra Gupta"/>
    <s v="Corporate"/>
    <x v="3"/>
    <x v="10"/>
    <x v="2"/>
    <s v="Academic"/>
    <x v="2"/>
    <n v="1"/>
    <n v="926.38"/>
    <n v="926.38"/>
    <x v="0"/>
    <n v="168.89"/>
    <n v="189.37"/>
    <x v="3"/>
    <x v="0"/>
    <n v="0.18231179429607719"/>
  </r>
  <r>
    <x v="785"/>
    <x v="414"/>
    <s v="Myra Rao"/>
    <s v="Consumer"/>
    <x v="0"/>
    <x v="12"/>
    <x v="4"/>
    <s v="Skincare"/>
    <x v="54"/>
    <n v="2"/>
    <n v="849.03"/>
    <n v="1358.45"/>
    <x v="5"/>
    <n v="149.47999999999999"/>
    <n v="128.75"/>
    <x v="1"/>
    <x v="0"/>
    <n v="0.11003717472118958"/>
  </r>
  <r>
    <x v="786"/>
    <x v="415"/>
    <s v="Rohan Khan"/>
    <s v="Small Business"/>
    <x v="1"/>
    <x v="3"/>
    <x v="4"/>
    <s v="Makeup"/>
    <x v="63"/>
    <n v="2"/>
    <n v="821.9"/>
    <n v="1561.61"/>
    <x v="3"/>
    <n v="478.29"/>
    <n v="314.67"/>
    <x v="3"/>
    <x v="0"/>
    <n v="0.30628005712053591"/>
  </r>
  <r>
    <x v="787"/>
    <x v="415"/>
    <s v="Navya Sharma"/>
    <s v="Corporate"/>
    <x v="2"/>
    <x v="2"/>
    <x v="3"/>
    <s v="Outdoor Gear"/>
    <x v="82"/>
    <n v="3"/>
    <n v="704.41"/>
    <n v="2113.23"/>
    <x v="0"/>
    <n v="304.35000000000002"/>
    <n v="326.14"/>
    <x v="1"/>
    <x v="0"/>
    <n v="0.14402123763149302"/>
  </r>
  <r>
    <x v="788"/>
    <x v="416"/>
    <s v="Reyansh Bose"/>
    <s v="Consumer"/>
    <x v="3"/>
    <x v="10"/>
    <x v="0"/>
    <s v="Cameras"/>
    <x v="8"/>
    <n v="3"/>
    <n v="13103.17"/>
    <n v="31447.61"/>
    <x v="5"/>
    <n v="-476.31"/>
    <n v="318.38"/>
    <x v="1"/>
    <x v="3"/>
    <n v="-1.5146143061428197E-2"/>
  </r>
  <r>
    <x v="789"/>
    <x v="416"/>
    <s v="Diya Singh"/>
    <s v="Consumer"/>
    <x v="2"/>
    <x v="8"/>
    <x v="5"/>
    <s v="Men's Wear"/>
    <x v="21"/>
    <n v="1"/>
    <n v="2567.6"/>
    <n v="1925.7"/>
    <x v="4"/>
    <n v="103.83"/>
    <n v="46.54"/>
    <x v="0"/>
    <x v="3"/>
    <n v="5.3918055771927091E-2"/>
  </r>
  <r>
    <x v="790"/>
    <x v="416"/>
    <s v="Aditya Rao"/>
    <s v="Small Business"/>
    <x v="3"/>
    <x v="6"/>
    <x v="3"/>
    <s v="Outdoor Gear"/>
    <x v="3"/>
    <n v="1"/>
    <n v="5902.94"/>
    <n v="5607.79"/>
    <x v="3"/>
    <n v="883.64"/>
    <n v="322.82"/>
    <x v="3"/>
    <x v="0"/>
    <n v="0.15757366092524863"/>
  </r>
  <r>
    <x v="791"/>
    <x v="417"/>
    <s v="Pooja Malhotra"/>
    <s v="Consumer"/>
    <x v="3"/>
    <x v="5"/>
    <x v="4"/>
    <s v="Haircare"/>
    <x v="77"/>
    <n v="1"/>
    <n v="703.05"/>
    <n v="667.9"/>
    <x v="3"/>
    <n v="115.84"/>
    <n v="220.5"/>
    <x v="1"/>
    <x v="2"/>
    <n v="0.17343913759544843"/>
  </r>
  <r>
    <x v="792"/>
    <x v="418"/>
    <s v="Priya Rao"/>
    <s v="Consumer"/>
    <x v="0"/>
    <x v="0"/>
    <x v="0"/>
    <s v="Mobiles"/>
    <x v="4"/>
    <n v="1"/>
    <n v="62070.75"/>
    <n v="52760.14"/>
    <x v="1"/>
    <n v="-4098.34"/>
    <n v="73.2"/>
    <x v="3"/>
    <x v="0"/>
    <n v="-7.7678717304389258E-2"/>
  </r>
  <r>
    <x v="793"/>
    <x v="419"/>
    <s v="Kabir Mishra"/>
    <s v="Consumer"/>
    <x v="3"/>
    <x v="10"/>
    <x v="1"/>
    <s v="Cookware"/>
    <x v="6"/>
    <n v="3"/>
    <n v="1763.6"/>
    <n v="4232.6400000000003"/>
    <x v="5"/>
    <n v="118.75"/>
    <n v="112.89"/>
    <x v="1"/>
    <x v="3"/>
    <n v="2.8055776064111287E-2"/>
  </r>
  <r>
    <x v="794"/>
    <x v="420"/>
    <s v="Simran Singh"/>
    <s v="Small Business"/>
    <x v="0"/>
    <x v="12"/>
    <x v="4"/>
    <s v="Haircare"/>
    <x v="85"/>
    <n v="2"/>
    <n v="304.07"/>
    <n v="547.33000000000004"/>
    <x v="2"/>
    <n v="157.96"/>
    <n v="114.73"/>
    <x v="3"/>
    <x v="3"/>
    <n v="0.28860102680284289"/>
  </r>
  <r>
    <x v="795"/>
    <x v="421"/>
    <s v="Saanvi Agarwal"/>
    <s v="Consumer"/>
    <x v="2"/>
    <x v="9"/>
    <x v="5"/>
    <s v="Kids Wear"/>
    <x v="48"/>
    <n v="2"/>
    <n v="2941.56"/>
    <n v="5294.81"/>
    <x v="2"/>
    <n v="392.76"/>
    <n v="325.79000000000002"/>
    <x v="1"/>
    <x v="2"/>
    <n v="7.4178299126880842E-2"/>
  </r>
  <r>
    <x v="796"/>
    <x v="422"/>
    <s v="Diya Mishra"/>
    <s v="Small Business"/>
    <x v="0"/>
    <x v="0"/>
    <x v="3"/>
    <s v="Gym Equipment"/>
    <x v="51"/>
    <n v="1"/>
    <n v="8850.25"/>
    <n v="8407.74"/>
    <x v="3"/>
    <n v="1034.92"/>
    <n v="83.56"/>
    <x v="1"/>
    <x v="3"/>
    <n v="0.12309134202532429"/>
  </r>
  <r>
    <x v="797"/>
    <x v="422"/>
    <s v="Reyansh Verma"/>
    <s v="Corporate"/>
    <x v="2"/>
    <x v="9"/>
    <x v="2"/>
    <s v="Non-Fiction"/>
    <x v="36"/>
    <n v="3"/>
    <n v="596.49"/>
    <n v="1789.47"/>
    <x v="0"/>
    <n v="330.18"/>
    <n v="77.48"/>
    <x v="2"/>
    <x v="2"/>
    <n v="0.18451273282033229"/>
  </r>
  <r>
    <x v="798"/>
    <x v="423"/>
    <s v="Riya Das"/>
    <s v="Consumer"/>
    <x v="1"/>
    <x v="13"/>
    <x v="2"/>
    <s v="Non-Fiction"/>
    <x v="28"/>
    <n v="3"/>
    <n v="383"/>
    <n v="1091.55"/>
    <x v="3"/>
    <n v="165.66"/>
    <n v="294.02"/>
    <x v="2"/>
    <x v="2"/>
    <n v="0.15176583757042739"/>
  </r>
  <r>
    <x v="799"/>
    <x v="423"/>
    <s v="Navya Nair"/>
    <s v="Consumer"/>
    <x v="1"/>
    <x v="1"/>
    <x v="3"/>
    <s v="Apparel"/>
    <x v="5"/>
    <n v="1"/>
    <n v="12271.68"/>
    <n v="9817.34"/>
    <x v="5"/>
    <n v="-15.06"/>
    <n v="182.54"/>
    <x v="1"/>
    <x v="1"/>
    <n v="-1.5340204169357484E-3"/>
  </r>
  <r>
    <x v="800"/>
    <x v="423"/>
    <s v="Pooja Agarwal"/>
    <s v="Corporate"/>
    <x v="3"/>
    <x v="5"/>
    <x v="5"/>
    <s v="Women's Wear"/>
    <x v="86"/>
    <n v="3"/>
    <n v="4090.3"/>
    <n v="11657.35"/>
    <x v="3"/>
    <n v="2029.93"/>
    <n v="81.260000000000005"/>
    <x v="3"/>
    <x v="2"/>
    <n v="0.17413305768463674"/>
  </r>
  <r>
    <x v="801"/>
    <x v="424"/>
    <s v="Karan Das"/>
    <s v="Consumer"/>
    <x v="1"/>
    <x v="13"/>
    <x v="1"/>
    <s v="Furniture"/>
    <x v="44"/>
    <n v="1"/>
    <n v="2369.19"/>
    <n v="2250.73"/>
    <x v="3"/>
    <n v="101.83"/>
    <n v="295.24"/>
    <x v="3"/>
    <x v="0"/>
    <n v="4.5243098905688374E-2"/>
  </r>
  <r>
    <x v="802"/>
    <x v="425"/>
    <s v="Vivaan Mehta"/>
    <s v="Small Business"/>
    <x v="1"/>
    <x v="13"/>
    <x v="1"/>
    <s v="Furniture"/>
    <x v="44"/>
    <n v="1"/>
    <n v="4776.5"/>
    <n v="3582.38"/>
    <x v="4"/>
    <n v="-8.34"/>
    <n v="68.319999999999993"/>
    <x v="3"/>
    <x v="2"/>
    <n v="-2.3280612330350212E-3"/>
  </r>
  <r>
    <x v="803"/>
    <x v="426"/>
    <s v="Kabir Agarwal"/>
    <s v="Small Business"/>
    <x v="0"/>
    <x v="0"/>
    <x v="2"/>
    <s v="Academic"/>
    <x v="91"/>
    <n v="5"/>
    <n v="344.6"/>
    <n v="1550.7"/>
    <x v="2"/>
    <n v="201.16"/>
    <n v="115.27"/>
    <x v="1"/>
    <x v="3"/>
    <n v="0.12972206100470754"/>
  </r>
  <r>
    <x v="804"/>
    <x v="426"/>
    <s v="Vivaan Gupta"/>
    <s v="Consumer"/>
    <x v="0"/>
    <x v="12"/>
    <x v="3"/>
    <s v="Apparel"/>
    <x v="75"/>
    <n v="3"/>
    <n v="14631.33"/>
    <n v="41699.29"/>
    <x v="3"/>
    <n v="4859.53"/>
    <n v="330.33"/>
    <x v="4"/>
    <x v="2"/>
    <n v="0.11653747581793358"/>
  </r>
  <r>
    <x v="805"/>
    <x v="426"/>
    <s v="Priya Agarwal"/>
    <s v="Corporate"/>
    <x v="1"/>
    <x v="3"/>
    <x v="3"/>
    <s v="Apparel"/>
    <x v="5"/>
    <n v="1"/>
    <n v="6284.75"/>
    <n v="6284.75"/>
    <x v="0"/>
    <n v="1456.9"/>
    <n v="319.95999999999998"/>
    <x v="0"/>
    <x v="3"/>
    <n v="0.23181510799952268"/>
  </r>
  <r>
    <x v="806"/>
    <x v="426"/>
    <s v="Kiara Nair"/>
    <s v="Consumer"/>
    <x v="3"/>
    <x v="6"/>
    <x v="4"/>
    <s v="Haircare"/>
    <x v="77"/>
    <n v="4"/>
    <n v="2053.04"/>
    <n v="6980.34"/>
    <x v="1"/>
    <n v="1752.94"/>
    <n v="262.31"/>
    <x v="2"/>
    <x v="2"/>
    <n v="0.25112530335198574"/>
  </r>
  <r>
    <x v="807"/>
    <x v="427"/>
    <s v="Aditya Rao"/>
    <s v="Small Business"/>
    <x v="0"/>
    <x v="4"/>
    <x v="4"/>
    <s v="Fragrances"/>
    <x v="35"/>
    <n v="1"/>
    <n v="1215.52"/>
    <n v="1093.97"/>
    <x v="2"/>
    <n v="223.77"/>
    <n v="67.459999999999994"/>
    <x v="3"/>
    <x v="3"/>
    <n v="0.20454857080175873"/>
  </r>
  <r>
    <x v="808"/>
    <x v="428"/>
    <s v="Arjun Verma"/>
    <s v="Consumer"/>
    <x v="1"/>
    <x v="3"/>
    <x v="5"/>
    <s v="Women's Wear"/>
    <x v="86"/>
    <n v="5"/>
    <n v="843.96"/>
    <n v="4008.81"/>
    <x v="3"/>
    <n v="987.31"/>
    <n v="374.4"/>
    <x v="2"/>
    <x v="3"/>
    <n v="0.24628505716160157"/>
  </r>
  <r>
    <x v="809"/>
    <x v="428"/>
    <s v="Dhruv Desai"/>
    <s v="Corporate"/>
    <x v="2"/>
    <x v="11"/>
    <x v="2"/>
    <s v="Academic"/>
    <x v="2"/>
    <n v="1"/>
    <n v="183.17"/>
    <n v="164.85"/>
    <x v="2"/>
    <n v="15.93"/>
    <n v="329.59"/>
    <x v="0"/>
    <x v="0"/>
    <n v="9.6633303002729751E-2"/>
  </r>
  <r>
    <x v="810"/>
    <x v="429"/>
    <s v="Aarav Kapoor"/>
    <s v="Corporate"/>
    <x v="1"/>
    <x v="1"/>
    <x v="2"/>
    <s v="Comics"/>
    <x v="43"/>
    <n v="2"/>
    <n v="371.2"/>
    <n v="668.16"/>
    <x v="2"/>
    <n v="109.46"/>
    <n v="279.60000000000002"/>
    <x v="3"/>
    <x v="2"/>
    <n v="0.16382303639846743"/>
  </r>
  <r>
    <x v="811"/>
    <x v="429"/>
    <s v="Reyansh Reddy"/>
    <s v="Consumer"/>
    <x v="2"/>
    <x v="9"/>
    <x v="4"/>
    <s v="Skincare"/>
    <x v="26"/>
    <n v="3"/>
    <n v="895.7"/>
    <n v="2552.7399999999998"/>
    <x v="3"/>
    <n v="663.62"/>
    <n v="84.47"/>
    <x v="1"/>
    <x v="0"/>
    <n v="0.25996380359926985"/>
  </r>
  <r>
    <x v="812"/>
    <x v="430"/>
    <s v="Pooja Patel"/>
    <s v="Corporate"/>
    <x v="0"/>
    <x v="12"/>
    <x v="1"/>
    <s v="Furniture"/>
    <x v="39"/>
    <n v="1"/>
    <n v="8494.86"/>
    <n v="8494.86"/>
    <x v="0"/>
    <n v="1217.67"/>
    <n v="318.08"/>
    <x v="0"/>
    <x v="3"/>
    <n v="0.1433419738524237"/>
  </r>
  <r>
    <x v="813"/>
    <x v="431"/>
    <s v="Rohan Rao"/>
    <s v="Consumer"/>
    <x v="3"/>
    <x v="10"/>
    <x v="4"/>
    <s v="Skincare"/>
    <x v="67"/>
    <n v="2"/>
    <n v="1390.83"/>
    <n v="2781.66"/>
    <x v="0"/>
    <n v="608.78"/>
    <n v="313.07"/>
    <x v="0"/>
    <x v="0"/>
    <n v="0.21885492835213505"/>
  </r>
  <r>
    <x v="814"/>
    <x v="431"/>
    <s v="Diya Joshi"/>
    <s v="Corporate"/>
    <x v="1"/>
    <x v="13"/>
    <x v="3"/>
    <s v="Footwear"/>
    <x v="11"/>
    <n v="1"/>
    <n v="9768.2199999999993"/>
    <n v="9279.81"/>
    <x v="3"/>
    <n v="1820.82"/>
    <n v="252.13"/>
    <x v="3"/>
    <x v="0"/>
    <n v="0.19621306901757687"/>
  </r>
  <r>
    <x v="815"/>
    <x v="431"/>
    <s v="Raj Mishra"/>
    <s v="Small Business"/>
    <x v="2"/>
    <x v="11"/>
    <x v="5"/>
    <s v="Footwear"/>
    <x v="33"/>
    <n v="2"/>
    <n v="2686.9"/>
    <n v="5105.1099999999997"/>
    <x v="3"/>
    <n v="782.47"/>
    <n v="74.98"/>
    <x v="1"/>
    <x v="0"/>
    <n v="0.15327191774516125"/>
  </r>
  <r>
    <x v="816"/>
    <x v="431"/>
    <s v="Priya Mehta"/>
    <s v="Small Business"/>
    <x v="3"/>
    <x v="10"/>
    <x v="3"/>
    <s v="Outdoor Gear"/>
    <x v="12"/>
    <n v="1"/>
    <n v="3640.46"/>
    <n v="2912.37"/>
    <x v="5"/>
    <n v="-172.5"/>
    <n v="174.78"/>
    <x v="4"/>
    <x v="3"/>
    <n v="-5.9230111558627514E-2"/>
  </r>
  <r>
    <x v="817"/>
    <x v="432"/>
    <s v="Diya Verma"/>
    <s v="Small Business"/>
    <x v="3"/>
    <x v="7"/>
    <x v="2"/>
    <s v="Academic"/>
    <x v="38"/>
    <n v="1"/>
    <n v="853.08"/>
    <n v="853.08"/>
    <x v="0"/>
    <n v="61.78"/>
    <n v="52.38"/>
    <x v="3"/>
    <x v="0"/>
    <n v="7.2419937168846996E-2"/>
  </r>
  <r>
    <x v="818"/>
    <x v="432"/>
    <s v="Navya Gupta"/>
    <s v="Consumer"/>
    <x v="0"/>
    <x v="12"/>
    <x v="3"/>
    <s v="Footwear"/>
    <x v="29"/>
    <n v="2"/>
    <n v="1256.6300000000001"/>
    <n v="1759.28"/>
    <x v="6"/>
    <n v="248.86"/>
    <n v="285.45999999999998"/>
    <x v="1"/>
    <x v="2"/>
    <n v="0.14145559547087447"/>
  </r>
  <r>
    <x v="819"/>
    <x v="433"/>
    <s v="Rohan Desai"/>
    <s v="Corporate"/>
    <x v="2"/>
    <x v="8"/>
    <x v="2"/>
    <s v="Non-Fiction"/>
    <x v="64"/>
    <n v="2"/>
    <n v="541.97"/>
    <n v="758.76"/>
    <x v="6"/>
    <n v="-36.85"/>
    <n v="131.63999999999999"/>
    <x v="3"/>
    <x v="3"/>
    <n v="-4.8566081501397018E-2"/>
  </r>
  <r>
    <x v="820"/>
    <x v="433"/>
    <s v="Ishaan Chopra"/>
    <s v="Consumer"/>
    <x v="2"/>
    <x v="11"/>
    <x v="5"/>
    <s v="Men's Wear"/>
    <x v="32"/>
    <n v="3"/>
    <n v="2983.94"/>
    <n v="6266.27"/>
    <x v="6"/>
    <n v="-391.75"/>
    <n v="365.13"/>
    <x v="1"/>
    <x v="3"/>
    <n v="-6.2517255081571646E-2"/>
  </r>
  <r>
    <x v="821"/>
    <x v="433"/>
    <s v="Ananya Rao"/>
    <s v="Consumer"/>
    <x v="1"/>
    <x v="13"/>
    <x v="3"/>
    <s v="Gym Equipment"/>
    <x v="57"/>
    <n v="1"/>
    <n v="3028.57"/>
    <n v="2574.2800000000002"/>
    <x v="1"/>
    <n v="320.61"/>
    <n v="294.23"/>
    <x v="1"/>
    <x v="3"/>
    <n v="0.12454356169492052"/>
  </r>
  <r>
    <x v="822"/>
    <x v="434"/>
    <s v="Meera Kapoor"/>
    <s v="Corporate"/>
    <x v="0"/>
    <x v="4"/>
    <x v="4"/>
    <s v="Skincare"/>
    <x v="54"/>
    <n v="2"/>
    <n v="1735.46"/>
    <n v="2950.28"/>
    <x v="1"/>
    <n v="648.67999999999995"/>
    <n v="300.3"/>
    <x v="3"/>
    <x v="1"/>
    <n v="0.21987065634448252"/>
  </r>
  <r>
    <x v="823"/>
    <x v="434"/>
    <s v="Pooja Desai"/>
    <s v="Consumer"/>
    <x v="3"/>
    <x v="5"/>
    <x v="2"/>
    <s v="Comics"/>
    <x v="58"/>
    <n v="3"/>
    <n v="369.27"/>
    <n v="886.25"/>
    <x v="5"/>
    <n v="10.56"/>
    <n v="78.739999999999995"/>
    <x v="1"/>
    <x v="3"/>
    <n v="1.191537376586742E-2"/>
  </r>
  <r>
    <x v="824"/>
    <x v="434"/>
    <s v="Simran Iyer"/>
    <s v="Corporate"/>
    <x v="0"/>
    <x v="0"/>
    <x v="3"/>
    <s v="Gym Equipment"/>
    <x v="51"/>
    <n v="2"/>
    <n v="7151.09"/>
    <n v="12871.96"/>
    <x v="2"/>
    <n v="855.4"/>
    <n v="276.27999999999997"/>
    <x v="1"/>
    <x v="2"/>
    <n v="6.6454525961858177E-2"/>
  </r>
  <r>
    <x v="825"/>
    <x v="435"/>
    <s v="Saanvi Mishra"/>
    <s v="Consumer"/>
    <x v="3"/>
    <x v="5"/>
    <x v="1"/>
    <s v="Decor"/>
    <x v="83"/>
    <n v="2"/>
    <n v="8893.34"/>
    <n v="17786.68"/>
    <x v="0"/>
    <n v="3834.47"/>
    <n v="203.17"/>
    <x v="3"/>
    <x v="1"/>
    <n v="0.21558098532160019"/>
  </r>
  <r>
    <x v="826"/>
    <x v="435"/>
    <s v="Kabir Sharma"/>
    <s v="Corporate"/>
    <x v="3"/>
    <x v="7"/>
    <x v="4"/>
    <s v="Haircare"/>
    <x v="17"/>
    <n v="1"/>
    <n v="1055.22"/>
    <n v="896.94"/>
    <x v="1"/>
    <n v="144.96"/>
    <n v="30.33"/>
    <x v="0"/>
    <x v="0"/>
    <n v="0.1616161616161616"/>
  </r>
  <r>
    <x v="827"/>
    <x v="435"/>
    <s v="Anika Chopra"/>
    <s v="Small Business"/>
    <x v="1"/>
    <x v="1"/>
    <x v="2"/>
    <s v="Fiction"/>
    <x v="87"/>
    <n v="2"/>
    <n v="783.09"/>
    <n v="1409.56"/>
    <x v="2"/>
    <n v="24.44"/>
    <n v="309.55"/>
    <x v="3"/>
    <x v="1"/>
    <n v="1.733874400522149E-2"/>
  </r>
  <r>
    <x v="828"/>
    <x v="435"/>
    <s v="Arjun Mehta"/>
    <s v="Corporate"/>
    <x v="2"/>
    <x v="8"/>
    <x v="4"/>
    <s v="Makeup"/>
    <x v="71"/>
    <n v="1"/>
    <n v="1556.2"/>
    <n v="1089.3399999999999"/>
    <x v="6"/>
    <n v="61.99"/>
    <n v="51.56"/>
    <x v="2"/>
    <x v="2"/>
    <n v="5.6906016487047212E-2"/>
  </r>
  <r>
    <x v="829"/>
    <x v="435"/>
    <s v="Karan Verma"/>
    <s v="Consumer"/>
    <x v="1"/>
    <x v="13"/>
    <x v="3"/>
    <s v="Gym Equipment"/>
    <x v="51"/>
    <n v="2"/>
    <n v="10755.06"/>
    <n v="20434.61"/>
    <x v="3"/>
    <n v="4083.29"/>
    <n v="145.59"/>
    <x v="0"/>
    <x v="2"/>
    <n v="0.19982226232847114"/>
  </r>
  <r>
    <x v="830"/>
    <x v="436"/>
    <s v="Simran Malhotra"/>
    <s v="Consumer"/>
    <x v="0"/>
    <x v="0"/>
    <x v="2"/>
    <s v="Fiction"/>
    <x v="87"/>
    <n v="2"/>
    <n v="196.37"/>
    <n v="392.74"/>
    <x v="0"/>
    <n v="68.989999999999995"/>
    <n v="154.37"/>
    <x v="4"/>
    <x v="1"/>
    <n v="0.17566328868971837"/>
  </r>
  <r>
    <x v="831"/>
    <x v="437"/>
    <s v="Myra Kapoor"/>
    <s v="Corporate"/>
    <x v="3"/>
    <x v="6"/>
    <x v="2"/>
    <s v="Fiction"/>
    <x v="9"/>
    <n v="1"/>
    <n v="535.29999999999995"/>
    <n v="508.53"/>
    <x v="3"/>
    <n v="90.57"/>
    <n v="171.57"/>
    <x v="3"/>
    <x v="0"/>
    <n v="0.17810158692702496"/>
  </r>
  <r>
    <x v="832"/>
    <x v="437"/>
    <s v="Aadhya Kapoor"/>
    <s v="Consumer"/>
    <x v="0"/>
    <x v="12"/>
    <x v="3"/>
    <s v="Apparel"/>
    <x v="18"/>
    <n v="2"/>
    <n v="3849.25"/>
    <n v="6543.72"/>
    <x v="1"/>
    <n v="-98.75"/>
    <n v="196.35"/>
    <x v="3"/>
    <x v="2"/>
    <n v="-1.5090804618779532E-2"/>
  </r>
  <r>
    <x v="833"/>
    <x v="437"/>
    <s v="Aadhya Sharma"/>
    <s v="Corporate"/>
    <x v="3"/>
    <x v="6"/>
    <x v="3"/>
    <s v="Outdoor Gear"/>
    <x v="82"/>
    <n v="1"/>
    <n v="5526.61"/>
    <n v="5250.28"/>
    <x v="3"/>
    <n v="1098.3599999999999"/>
    <n v="216.77"/>
    <x v="3"/>
    <x v="0"/>
    <n v="0.20920027122362997"/>
  </r>
  <r>
    <x v="834"/>
    <x v="437"/>
    <s v="Aditya Gupta"/>
    <s v="Corporate"/>
    <x v="1"/>
    <x v="3"/>
    <x v="0"/>
    <s v="Headphones"/>
    <x v="81"/>
    <n v="2"/>
    <n v="25078.48"/>
    <n v="45141.26"/>
    <x v="2"/>
    <n v="4411.1000000000004"/>
    <n v="348.12"/>
    <x v="3"/>
    <x v="2"/>
    <n v="9.7717697733736286E-2"/>
  </r>
  <r>
    <x v="835"/>
    <x v="438"/>
    <s v="Simran Joshi"/>
    <s v="Corporate"/>
    <x v="0"/>
    <x v="4"/>
    <x v="0"/>
    <s v="Mobiles"/>
    <x v="62"/>
    <n v="1"/>
    <n v="52469.91"/>
    <n v="49846.41"/>
    <x v="3"/>
    <n v="4788.4799999999996"/>
    <n v="163.68"/>
    <x v="3"/>
    <x v="0"/>
    <n v="9.6064691519409301E-2"/>
  </r>
  <r>
    <x v="836"/>
    <x v="438"/>
    <s v="Ananya Verma"/>
    <s v="Small Business"/>
    <x v="0"/>
    <x v="4"/>
    <x v="0"/>
    <s v="Cameras"/>
    <x v="8"/>
    <n v="2"/>
    <n v="43139.15"/>
    <n v="86278.3"/>
    <x v="0"/>
    <n v="7246.98"/>
    <n v="196.13"/>
    <x v="1"/>
    <x v="3"/>
    <n v="8.3995396293158289E-2"/>
  </r>
  <r>
    <x v="837"/>
    <x v="439"/>
    <s v="Rohan Mehta"/>
    <s v="Corporate"/>
    <x v="1"/>
    <x v="3"/>
    <x v="5"/>
    <s v="Women's Wear"/>
    <x v="42"/>
    <n v="4"/>
    <n v="1377.14"/>
    <n v="4406.8500000000004"/>
    <x v="5"/>
    <n v="334.03"/>
    <n v="188.7"/>
    <x v="3"/>
    <x v="0"/>
    <n v="7.5797905533430895E-2"/>
  </r>
  <r>
    <x v="838"/>
    <x v="439"/>
    <s v="Saanvi Reddy"/>
    <s v="Consumer"/>
    <x v="3"/>
    <x v="6"/>
    <x v="0"/>
    <s v="Headphones"/>
    <x v="68"/>
    <n v="1"/>
    <n v="13995.74"/>
    <n v="12596.17"/>
    <x v="2"/>
    <n v="-1107.44"/>
    <n v="95.15"/>
    <x v="3"/>
    <x v="3"/>
    <n v="-8.791878801254667E-2"/>
  </r>
  <r>
    <x v="839"/>
    <x v="439"/>
    <s v="Riya Desai"/>
    <s v="Corporate"/>
    <x v="1"/>
    <x v="1"/>
    <x v="3"/>
    <s v="Apparel"/>
    <x v="66"/>
    <n v="1"/>
    <n v="8316.75"/>
    <n v="7900.91"/>
    <x v="3"/>
    <n v="1461.03"/>
    <n v="107.4"/>
    <x v="0"/>
    <x v="3"/>
    <n v="0.18491920550923882"/>
  </r>
  <r>
    <x v="840"/>
    <x v="439"/>
    <s v="Arjun Iyer"/>
    <s v="Consumer"/>
    <x v="1"/>
    <x v="3"/>
    <x v="0"/>
    <s v="Mobiles"/>
    <x v="74"/>
    <n v="1"/>
    <n v="26658.45"/>
    <n v="22659.68"/>
    <x v="1"/>
    <n v="809.24"/>
    <n v="298.74"/>
    <x v="1"/>
    <x v="2"/>
    <n v="3.5712772642861684E-2"/>
  </r>
  <r>
    <x v="841"/>
    <x v="439"/>
    <s v="Ayaan Singh"/>
    <s v="Consumer"/>
    <x v="2"/>
    <x v="8"/>
    <x v="3"/>
    <s v="Apparel"/>
    <x v="18"/>
    <n v="2"/>
    <n v="7778.42"/>
    <n v="15556.84"/>
    <x v="0"/>
    <n v="2500.9499999999998"/>
    <n v="105.13"/>
    <x v="4"/>
    <x v="2"/>
    <n v="0.1607620827880212"/>
  </r>
  <r>
    <x v="842"/>
    <x v="440"/>
    <s v="Kabir Desai"/>
    <s v="Consumer"/>
    <x v="1"/>
    <x v="3"/>
    <x v="2"/>
    <s v="Fiction"/>
    <x v="49"/>
    <n v="1"/>
    <n v="809.86"/>
    <n v="688.38"/>
    <x v="1"/>
    <n v="-35.82"/>
    <n v="333.75"/>
    <x v="3"/>
    <x v="0"/>
    <n v="-5.2035213109038615E-2"/>
  </r>
  <r>
    <x v="843"/>
    <x v="440"/>
    <s v="Pooja Joshi"/>
    <s v="Consumer"/>
    <x v="0"/>
    <x v="12"/>
    <x v="3"/>
    <s v="Footwear"/>
    <x v="37"/>
    <n v="1"/>
    <n v="13961.89"/>
    <n v="10471.42"/>
    <x v="4"/>
    <n v="716.06"/>
    <n v="97.72"/>
    <x v="0"/>
    <x v="3"/>
    <n v="6.8382320640371599E-2"/>
  </r>
  <r>
    <x v="844"/>
    <x v="440"/>
    <s v="Arjun Verma"/>
    <s v="Corporate"/>
    <x v="2"/>
    <x v="11"/>
    <x v="0"/>
    <s v="Headphones"/>
    <x v="68"/>
    <n v="3"/>
    <n v="63133.85"/>
    <n v="179931.47"/>
    <x v="3"/>
    <n v="24280.05"/>
    <n v="361.54"/>
    <x v="2"/>
    <x v="0"/>
    <n v="0.13494054152950566"/>
  </r>
  <r>
    <x v="845"/>
    <x v="441"/>
    <s v="Anika Rao"/>
    <s v="Small Business"/>
    <x v="0"/>
    <x v="4"/>
    <x v="5"/>
    <s v="Kids Wear"/>
    <x v="65"/>
    <n v="1"/>
    <n v="1806.21"/>
    <n v="1715.9"/>
    <x v="3"/>
    <n v="293.92"/>
    <n v="275.29000000000002"/>
    <x v="3"/>
    <x v="3"/>
    <n v="0.17129203333527596"/>
  </r>
  <r>
    <x v="846"/>
    <x v="441"/>
    <s v="Reyansh Sharma"/>
    <s v="Small Business"/>
    <x v="3"/>
    <x v="6"/>
    <x v="1"/>
    <s v="Furniture"/>
    <x v="44"/>
    <n v="2"/>
    <n v="11993.81"/>
    <n v="21588.86"/>
    <x v="2"/>
    <n v="2249.48"/>
    <n v="78.540000000000006"/>
    <x v="1"/>
    <x v="3"/>
    <n v="0.10419633088546593"/>
  </r>
  <r>
    <x v="847"/>
    <x v="442"/>
    <s v="Ira Joshi"/>
    <s v="Consumer"/>
    <x v="0"/>
    <x v="0"/>
    <x v="4"/>
    <s v="Haircare"/>
    <x v="77"/>
    <n v="1"/>
    <n v="1749.51"/>
    <n v="1749.51"/>
    <x v="0"/>
    <n v="489.84"/>
    <n v="275.60000000000002"/>
    <x v="1"/>
    <x v="2"/>
    <n v="0.27998696777954968"/>
  </r>
  <r>
    <x v="848"/>
    <x v="442"/>
    <s v="Ishaan Chopra"/>
    <s v="Small Business"/>
    <x v="2"/>
    <x v="9"/>
    <x v="2"/>
    <s v="Academic"/>
    <x v="91"/>
    <n v="1"/>
    <n v="238.92"/>
    <n v="203.08"/>
    <x v="1"/>
    <n v="-2"/>
    <n v="179.34"/>
    <x v="3"/>
    <x v="2"/>
    <n v="-9.8483356312783141E-3"/>
  </r>
  <r>
    <x v="849"/>
    <x v="442"/>
    <s v="Kabir Mishra"/>
    <s v="Consumer"/>
    <x v="2"/>
    <x v="9"/>
    <x v="1"/>
    <s v="Appliances"/>
    <x v="7"/>
    <n v="2"/>
    <n v="4663.3999999999996"/>
    <n v="8860.4599999999991"/>
    <x v="3"/>
    <n v="1554.02"/>
    <n v="183.4"/>
    <x v="0"/>
    <x v="0"/>
    <n v="0.17538818526351907"/>
  </r>
  <r>
    <x v="850"/>
    <x v="442"/>
    <s v="Ira Iyer"/>
    <s v="Consumer"/>
    <x v="3"/>
    <x v="7"/>
    <x v="5"/>
    <s v="Kids Wear"/>
    <x v="65"/>
    <n v="4"/>
    <n v="4233.09"/>
    <n v="16932.36"/>
    <x v="0"/>
    <n v="3770.83"/>
    <n v="355.35"/>
    <x v="3"/>
    <x v="0"/>
    <n v="0.22269961186745379"/>
  </r>
  <r>
    <x v="851"/>
    <x v="443"/>
    <s v="Riya Nair"/>
    <s v="Corporate"/>
    <x v="2"/>
    <x v="8"/>
    <x v="5"/>
    <s v="Women's Wear"/>
    <x v="86"/>
    <n v="2"/>
    <n v="794.13"/>
    <n v="1350.02"/>
    <x v="1"/>
    <n v="129.46"/>
    <n v="166.89"/>
    <x v="4"/>
    <x v="3"/>
    <n v="9.5894875631472129E-2"/>
  </r>
  <r>
    <x v="852"/>
    <x v="444"/>
    <s v="Diya Verma"/>
    <s v="Small Business"/>
    <x v="2"/>
    <x v="8"/>
    <x v="5"/>
    <s v="Men's Wear"/>
    <x v="21"/>
    <n v="1"/>
    <n v="3473.31"/>
    <n v="3473.31"/>
    <x v="0"/>
    <n v="623.72"/>
    <n v="327.5"/>
    <x v="1"/>
    <x v="2"/>
    <n v="0.17957510271182245"/>
  </r>
  <r>
    <x v="853"/>
    <x v="444"/>
    <s v="Arjun Sharma"/>
    <s v="Consumer"/>
    <x v="3"/>
    <x v="10"/>
    <x v="3"/>
    <s v="Gym Equipment"/>
    <x v="51"/>
    <n v="3"/>
    <n v="12416.09"/>
    <n v="37248.269999999997"/>
    <x v="0"/>
    <n v="7946.89"/>
    <n v="183.08"/>
    <x v="0"/>
    <x v="1"/>
    <n v="0.21334923742767117"/>
  </r>
  <r>
    <x v="854"/>
    <x v="444"/>
    <s v="Riya Das"/>
    <s v="Small Business"/>
    <x v="2"/>
    <x v="9"/>
    <x v="2"/>
    <s v="Comics"/>
    <x v="95"/>
    <n v="1"/>
    <n v="365.13"/>
    <n v="310.36"/>
    <x v="1"/>
    <n v="13.03"/>
    <n v="174.4"/>
    <x v="3"/>
    <x v="0"/>
    <n v="4.1983503028740814E-2"/>
  </r>
  <r>
    <x v="855"/>
    <x v="444"/>
    <s v="Neha Das"/>
    <s v="Consumer"/>
    <x v="0"/>
    <x v="12"/>
    <x v="2"/>
    <s v="Fiction"/>
    <x v="49"/>
    <n v="3"/>
    <n v="391.76"/>
    <n v="998.99"/>
    <x v="1"/>
    <n v="87.85"/>
    <n v="142.19999999999999"/>
    <x v="3"/>
    <x v="2"/>
    <n v="8.793881820638845E-2"/>
  </r>
  <r>
    <x v="856"/>
    <x v="445"/>
    <s v="Priya Bose"/>
    <s v="Corporate"/>
    <x v="0"/>
    <x v="12"/>
    <x v="3"/>
    <s v="Footwear"/>
    <x v="33"/>
    <n v="2"/>
    <n v="2217.67"/>
    <n v="3991.81"/>
    <x v="2"/>
    <n v="558.95000000000005"/>
    <n v="301.07"/>
    <x v="4"/>
    <x v="0"/>
    <n v="0.14002419954857573"/>
  </r>
  <r>
    <x v="857"/>
    <x v="445"/>
    <s v="Krishna Desai"/>
    <s v="Consumer"/>
    <x v="3"/>
    <x v="5"/>
    <x v="3"/>
    <s v="Gym Equipment"/>
    <x v="13"/>
    <n v="2"/>
    <n v="2027.24"/>
    <n v="3446.31"/>
    <x v="1"/>
    <n v="471.31"/>
    <n v="167.83"/>
    <x v="2"/>
    <x v="3"/>
    <n v="0.13675786565921233"/>
  </r>
  <r>
    <x v="858"/>
    <x v="445"/>
    <s v="Diya Mishra"/>
    <s v="Corporate"/>
    <x v="0"/>
    <x v="12"/>
    <x v="5"/>
    <s v="Footwear"/>
    <x v="37"/>
    <n v="2"/>
    <n v="1996.37"/>
    <n v="3992.74"/>
    <x v="0"/>
    <n v="894.59"/>
    <n v="320.76"/>
    <x v="1"/>
    <x v="0"/>
    <n v="0.22405415829730962"/>
  </r>
  <r>
    <x v="859"/>
    <x v="445"/>
    <s v="Ananya Sharma"/>
    <s v="Consumer"/>
    <x v="2"/>
    <x v="9"/>
    <x v="1"/>
    <s v="Appliances"/>
    <x v="40"/>
    <n v="1"/>
    <n v="7759.32"/>
    <n v="6207.46"/>
    <x v="5"/>
    <n v="377.69"/>
    <n v="276.64999999999998"/>
    <x v="4"/>
    <x v="1"/>
    <n v="6.0844532224130318E-2"/>
  </r>
  <r>
    <x v="860"/>
    <x v="446"/>
    <s v="Arjun Iyer"/>
    <s v="Corporate"/>
    <x v="2"/>
    <x v="2"/>
    <x v="0"/>
    <s v="Mobiles"/>
    <x v="62"/>
    <n v="1"/>
    <n v="63519.86"/>
    <n v="63519.86"/>
    <x v="0"/>
    <n v="5756.38"/>
    <n v="43.45"/>
    <x v="2"/>
    <x v="3"/>
    <n v="9.0623310567749998E-2"/>
  </r>
  <r>
    <x v="861"/>
    <x v="446"/>
    <s v="Saanvi Das"/>
    <s v="Consumer"/>
    <x v="1"/>
    <x v="3"/>
    <x v="0"/>
    <s v="Mobiles"/>
    <x v="62"/>
    <n v="2"/>
    <n v="26500.12"/>
    <n v="53000.24"/>
    <x v="0"/>
    <n v="136.88"/>
    <n v="87.15"/>
    <x v="3"/>
    <x v="2"/>
    <n v="2.5826298145065004E-3"/>
  </r>
  <r>
    <x v="862"/>
    <x v="446"/>
    <s v="Ira Agarwal"/>
    <s v="Corporate"/>
    <x v="0"/>
    <x v="4"/>
    <x v="5"/>
    <s v="Men's Wear"/>
    <x v="69"/>
    <n v="1"/>
    <n v="2702.42"/>
    <n v="2432.1799999999998"/>
    <x v="2"/>
    <n v="387.74"/>
    <n v="119.46"/>
    <x v="3"/>
    <x v="3"/>
    <n v="0.15942076655510695"/>
  </r>
  <r>
    <x v="863"/>
    <x v="446"/>
    <s v="Myra Gupta"/>
    <s v="Consumer"/>
    <x v="2"/>
    <x v="9"/>
    <x v="4"/>
    <s v="Skincare"/>
    <x v="56"/>
    <n v="1"/>
    <n v="1236.3699999999999"/>
    <n v="989.1"/>
    <x v="5"/>
    <n v="231.48"/>
    <n v="312.32"/>
    <x v="0"/>
    <x v="3"/>
    <n v="0.23403093721565058"/>
  </r>
  <r>
    <x v="864"/>
    <x v="446"/>
    <s v="Meera Kapoor"/>
    <s v="Corporate"/>
    <x v="1"/>
    <x v="3"/>
    <x v="0"/>
    <s v="Laptops"/>
    <x v="94"/>
    <n v="1"/>
    <n v="55747.34"/>
    <n v="52959.97"/>
    <x v="3"/>
    <n v="1923.84"/>
    <n v="312.42"/>
    <x v="0"/>
    <x v="1"/>
    <n v="3.6326304565504848E-2"/>
  </r>
  <r>
    <x v="865"/>
    <x v="447"/>
    <s v="Karan Chopra"/>
    <s v="Consumer"/>
    <x v="1"/>
    <x v="1"/>
    <x v="5"/>
    <s v="Kids Wear"/>
    <x v="48"/>
    <n v="1"/>
    <n v="433.32"/>
    <n v="303.32"/>
    <x v="6"/>
    <n v="-0.11"/>
    <n v="224.19"/>
    <x v="0"/>
    <x v="0"/>
    <n v="-3.6265330344190956E-4"/>
  </r>
  <r>
    <x v="866"/>
    <x v="447"/>
    <s v="Diya Sharma"/>
    <s v="Consumer"/>
    <x v="1"/>
    <x v="1"/>
    <x v="2"/>
    <s v="Academic"/>
    <x v="91"/>
    <n v="1"/>
    <n v="861.01"/>
    <n v="774.91"/>
    <x v="2"/>
    <n v="12.04"/>
    <n v="291.25"/>
    <x v="3"/>
    <x v="3"/>
    <n v="1.5537288201210463E-2"/>
  </r>
  <r>
    <x v="867"/>
    <x v="447"/>
    <s v="Vivaan Nair"/>
    <s v="Consumer"/>
    <x v="0"/>
    <x v="0"/>
    <x v="4"/>
    <s v="Makeup"/>
    <x v="59"/>
    <n v="3"/>
    <n v="995.84"/>
    <n v="2539.39"/>
    <x v="1"/>
    <n v="335.41"/>
    <n v="308.26"/>
    <x v="0"/>
    <x v="0"/>
    <n v="0.13208290179925103"/>
  </r>
  <r>
    <x v="868"/>
    <x v="448"/>
    <s v="Kiara Mehta"/>
    <s v="Consumer"/>
    <x v="0"/>
    <x v="12"/>
    <x v="2"/>
    <s v="Non-Fiction"/>
    <x v="28"/>
    <n v="1"/>
    <n v="250.5"/>
    <n v="237.97"/>
    <x v="3"/>
    <n v="19.809999999999999"/>
    <n v="37.56"/>
    <x v="1"/>
    <x v="2"/>
    <n v="8.3245787284111444E-2"/>
  </r>
  <r>
    <x v="869"/>
    <x v="448"/>
    <s v="Ayaan Das"/>
    <s v="Corporate"/>
    <x v="0"/>
    <x v="12"/>
    <x v="0"/>
    <s v="Headphones"/>
    <x v="81"/>
    <n v="1"/>
    <n v="25399.7"/>
    <n v="25399.7"/>
    <x v="0"/>
    <n v="1528.42"/>
    <n v="282.08999999999997"/>
    <x v="0"/>
    <x v="1"/>
    <n v="6.0174726473147325E-2"/>
  </r>
  <r>
    <x v="870"/>
    <x v="448"/>
    <s v="Sai Mehta"/>
    <s v="Small Business"/>
    <x v="1"/>
    <x v="3"/>
    <x v="0"/>
    <s v="Headphones"/>
    <x v="15"/>
    <n v="2"/>
    <n v="63795.32"/>
    <n v="127590.64"/>
    <x v="0"/>
    <n v="-638.12"/>
    <n v="252.84"/>
    <x v="3"/>
    <x v="0"/>
    <n v="-5.0013073059277701E-3"/>
  </r>
  <r>
    <x v="871"/>
    <x v="449"/>
    <s v="Anika Mehta"/>
    <s v="Consumer"/>
    <x v="3"/>
    <x v="7"/>
    <x v="2"/>
    <s v="Fiction"/>
    <x v="87"/>
    <n v="3"/>
    <n v="1183.9000000000001"/>
    <n v="3196.53"/>
    <x v="2"/>
    <n v="475.24"/>
    <n v="359.96"/>
    <x v="1"/>
    <x v="0"/>
    <n v="0.1486737180630246"/>
  </r>
  <r>
    <x v="872"/>
    <x v="449"/>
    <s v="Aditya Mishra"/>
    <s v="Corporate"/>
    <x v="1"/>
    <x v="1"/>
    <x v="4"/>
    <s v="Haircare"/>
    <x v="53"/>
    <n v="2"/>
    <n v="1399.68"/>
    <n v="2379.46"/>
    <x v="1"/>
    <n v="485.92"/>
    <n v="155.33000000000001"/>
    <x v="4"/>
    <x v="0"/>
    <n v="0.20421440158691467"/>
  </r>
  <r>
    <x v="873"/>
    <x v="449"/>
    <s v="Simran Kapoor"/>
    <s v="Corporate"/>
    <x v="3"/>
    <x v="5"/>
    <x v="5"/>
    <s v="Kids Wear"/>
    <x v="65"/>
    <n v="1"/>
    <n v="550.27"/>
    <n v="495.24"/>
    <x v="2"/>
    <n v="50.1"/>
    <n v="223.39"/>
    <x v="0"/>
    <x v="3"/>
    <n v="0.10116307244972135"/>
  </r>
  <r>
    <x v="874"/>
    <x v="450"/>
    <s v="Myra Joshi"/>
    <s v="Corporate"/>
    <x v="3"/>
    <x v="7"/>
    <x v="4"/>
    <s v="Skincare"/>
    <x v="26"/>
    <n v="4"/>
    <n v="522.19000000000005"/>
    <n v="2088.7600000000002"/>
    <x v="0"/>
    <n v="600.91"/>
    <n v="240.87"/>
    <x v="3"/>
    <x v="3"/>
    <n v="0.28768743177770539"/>
  </r>
  <r>
    <x v="875"/>
    <x v="450"/>
    <s v="Ira Bose"/>
    <s v="Consumer"/>
    <x v="3"/>
    <x v="7"/>
    <x v="2"/>
    <s v="Academic"/>
    <x v="97"/>
    <n v="3"/>
    <n v="371.68"/>
    <n v="947.78"/>
    <x v="1"/>
    <n v="-80.89"/>
    <n v="167.01"/>
    <x v="4"/>
    <x v="1"/>
    <n v="-8.5346810441241636E-2"/>
  </r>
  <r>
    <x v="876"/>
    <x v="451"/>
    <s v="Ishaan Agarwal"/>
    <s v="Consumer"/>
    <x v="1"/>
    <x v="13"/>
    <x v="3"/>
    <s v="Footwear"/>
    <x v="11"/>
    <n v="1"/>
    <n v="13053.26"/>
    <n v="11747.93"/>
    <x v="2"/>
    <n v="743.61"/>
    <n v="247.55"/>
    <x v="1"/>
    <x v="3"/>
    <n v="6.3297108511882513E-2"/>
  </r>
  <r>
    <x v="877"/>
    <x v="451"/>
    <s v="Ananya Sharma"/>
    <s v="Consumer"/>
    <x v="2"/>
    <x v="11"/>
    <x v="1"/>
    <s v="Appliances"/>
    <x v="45"/>
    <n v="3"/>
    <n v="7599.66"/>
    <n v="21659.03"/>
    <x v="3"/>
    <n v="4174.8999999999996"/>
    <n v="124.42"/>
    <x v="0"/>
    <x v="3"/>
    <n v="0.19275563125403122"/>
  </r>
  <r>
    <x v="878"/>
    <x v="451"/>
    <s v="Kabir Mehta"/>
    <s v="Small Business"/>
    <x v="3"/>
    <x v="10"/>
    <x v="4"/>
    <s v="Haircare"/>
    <x v="17"/>
    <n v="2"/>
    <n v="968.75"/>
    <n v="1840.62"/>
    <x v="3"/>
    <n v="409.43"/>
    <n v="296.17"/>
    <x v="1"/>
    <x v="3"/>
    <n v="0.22244135128380657"/>
  </r>
  <r>
    <x v="879"/>
    <x v="452"/>
    <s v="Dhruv Malhotra"/>
    <s v="Consumer"/>
    <x v="2"/>
    <x v="11"/>
    <x v="5"/>
    <s v="Women's Wear"/>
    <x v="24"/>
    <n v="1"/>
    <n v="3547.2"/>
    <n v="3192.48"/>
    <x v="2"/>
    <n v="294.74"/>
    <n v="195.75"/>
    <x v="2"/>
    <x v="2"/>
    <n v="9.2323209542424706E-2"/>
  </r>
  <r>
    <x v="880"/>
    <x v="452"/>
    <s v="Ira Iyer"/>
    <s v="Consumer"/>
    <x v="0"/>
    <x v="4"/>
    <x v="1"/>
    <s v="Cookware"/>
    <x v="6"/>
    <n v="2"/>
    <n v="4539.88"/>
    <n v="8171.78"/>
    <x v="2"/>
    <n v="1409.21"/>
    <n v="297.57"/>
    <x v="3"/>
    <x v="0"/>
    <n v="0.17244835274566864"/>
  </r>
  <r>
    <x v="881"/>
    <x v="452"/>
    <s v="Rohan Mishra"/>
    <s v="Consumer"/>
    <x v="3"/>
    <x v="6"/>
    <x v="4"/>
    <s v="Makeup"/>
    <x v="71"/>
    <n v="2"/>
    <n v="837.71"/>
    <n v="1591.65"/>
    <x v="3"/>
    <n v="314.27999999999997"/>
    <n v="336.31"/>
    <x v="1"/>
    <x v="0"/>
    <n v="0.19745547073791345"/>
  </r>
  <r>
    <x v="882"/>
    <x v="452"/>
    <s v="Reyansh Sharma"/>
    <s v="Corporate"/>
    <x v="2"/>
    <x v="9"/>
    <x v="0"/>
    <s v="Cameras"/>
    <x v="47"/>
    <n v="2"/>
    <n v="15802.25"/>
    <n v="30024.27"/>
    <x v="3"/>
    <n v="3301.3"/>
    <n v="235.99"/>
    <x v="3"/>
    <x v="0"/>
    <n v="0.1099543802397194"/>
  </r>
  <r>
    <x v="883"/>
    <x v="453"/>
    <s v="Raj Desai"/>
    <s v="Small Business"/>
    <x v="2"/>
    <x v="8"/>
    <x v="1"/>
    <s v="Furniture"/>
    <x v="39"/>
    <n v="1"/>
    <n v="1321.12"/>
    <n v="1122.95"/>
    <x v="1"/>
    <n v="55.85"/>
    <n v="304.62"/>
    <x v="3"/>
    <x v="0"/>
    <n v="4.973507279932321E-2"/>
  </r>
  <r>
    <x v="884"/>
    <x v="453"/>
    <s v="Simran Agarwal"/>
    <s v="Consumer"/>
    <x v="1"/>
    <x v="13"/>
    <x v="2"/>
    <s v="Academic"/>
    <x v="91"/>
    <n v="1"/>
    <n v="500.17"/>
    <n v="375.13"/>
    <x v="4"/>
    <n v="12.39"/>
    <n v="157.41"/>
    <x v="1"/>
    <x v="0"/>
    <n v="3.3028550102631088E-2"/>
  </r>
  <r>
    <x v="885"/>
    <x v="453"/>
    <s v="Kiara Desai"/>
    <s v="Consumer"/>
    <x v="1"/>
    <x v="1"/>
    <x v="2"/>
    <s v="Academic"/>
    <x v="38"/>
    <n v="1"/>
    <n v="188.52"/>
    <n v="160.24"/>
    <x v="1"/>
    <n v="16.440000000000001"/>
    <n v="316.47000000000003"/>
    <x v="3"/>
    <x v="3"/>
    <n v="0.10259610584123814"/>
  </r>
  <r>
    <x v="886"/>
    <x v="453"/>
    <s v="Karan Bose"/>
    <s v="Corporate"/>
    <x v="2"/>
    <x v="9"/>
    <x v="3"/>
    <s v="Apparel"/>
    <x v="66"/>
    <n v="1"/>
    <n v="4681.49"/>
    <n v="4447.42"/>
    <x v="3"/>
    <n v="765.09"/>
    <n v="116.97"/>
    <x v="1"/>
    <x v="3"/>
    <n v="0.1720300758642089"/>
  </r>
  <r>
    <x v="887"/>
    <x v="453"/>
    <s v="Navya Agarwal"/>
    <s v="Consumer"/>
    <x v="3"/>
    <x v="7"/>
    <x v="1"/>
    <s v="Cookware"/>
    <x v="6"/>
    <n v="1"/>
    <n v="852.35"/>
    <n v="852.35"/>
    <x v="0"/>
    <n v="149.66"/>
    <n v="81.209999999999994"/>
    <x v="2"/>
    <x v="2"/>
    <n v="0.17558514694667682"/>
  </r>
  <r>
    <x v="888"/>
    <x v="454"/>
    <s v="Diya Verma"/>
    <s v="Consumer"/>
    <x v="1"/>
    <x v="3"/>
    <x v="1"/>
    <s v="Decor"/>
    <x v="23"/>
    <n v="2"/>
    <n v="8143.67"/>
    <n v="16287.34"/>
    <x v="0"/>
    <n v="2567.96"/>
    <n v="58.08"/>
    <x v="3"/>
    <x v="0"/>
    <n v="0.15766601544512487"/>
  </r>
  <r>
    <x v="889"/>
    <x v="455"/>
    <s v="Kabir Gupta"/>
    <s v="Corporate"/>
    <x v="3"/>
    <x v="6"/>
    <x v="5"/>
    <s v="Kids Wear"/>
    <x v="48"/>
    <n v="2"/>
    <n v="3068.28"/>
    <n v="6136.56"/>
    <x v="0"/>
    <n v="1473.64"/>
    <n v="79.849999999999994"/>
    <x v="3"/>
    <x v="1"/>
    <n v="0.24014105622694149"/>
  </r>
  <r>
    <x v="890"/>
    <x v="456"/>
    <s v="Ayaan Nair"/>
    <s v="Consumer"/>
    <x v="1"/>
    <x v="3"/>
    <x v="5"/>
    <s v="Women's Wear"/>
    <x v="22"/>
    <n v="1"/>
    <n v="2472.41"/>
    <n v="2101.5500000000002"/>
    <x v="1"/>
    <n v="286.8"/>
    <n v="151.25"/>
    <x v="0"/>
    <x v="1"/>
    <n v="0.13647070019747329"/>
  </r>
  <r>
    <x v="891"/>
    <x v="456"/>
    <s v="Navya Chopra"/>
    <s v="Consumer"/>
    <x v="0"/>
    <x v="4"/>
    <x v="1"/>
    <s v="Furniture"/>
    <x v="39"/>
    <n v="2"/>
    <n v="7819.42"/>
    <n v="14856.9"/>
    <x v="3"/>
    <n v="1625.72"/>
    <n v="119.94"/>
    <x v="3"/>
    <x v="3"/>
    <n v="0.1094252502204363"/>
  </r>
  <r>
    <x v="892"/>
    <x v="456"/>
    <s v="Saanvi Kapoor"/>
    <s v="Consumer"/>
    <x v="1"/>
    <x v="1"/>
    <x v="4"/>
    <s v="Skincare"/>
    <x v="26"/>
    <n v="1"/>
    <n v="1220.6300000000001"/>
    <n v="1098.57"/>
    <x v="2"/>
    <n v="183.82"/>
    <n v="307.81"/>
    <x v="2"/>
    <x v="3"/>
    <n v="0.16732661550925293"/>
  </r>
  <r>
    <x v="893"/>
    <x v="457"/>
    <s v="Karan Sharma"/>
    <s v="Consumer"/>
    <x v="3"/>
    <x v="5"/>
    <x v="2"/>
    <s v="Non-Fiction"/>
    <x v="93"/>
    <n v="3"/>
    <n v="193.12"/>
    <n v="550.39"/>
    <x v="3"/>
    <n v="88.85"/>
    <n v="187.62"/>
    <x v="0"/>
    <x v="0"/>
    <n v="0.16143098530133176"/>
  </r>
  <r>
    <x v="894"/>
    <x v="457"/>
    <s v="Sai Khan"/>
    <s v="Consumer"/>
    <x v="1"/>
    <x v="13"/>
    <x v="1"/>
    <s v="Furniture"/>
    <x v="44"/>
    <n v="1"/>
    <n v="7762.19"/>
    <n v="7374.08"/>
    <x v="3"/>
    <n v="1108.25"/>
    <n v="83.11"/>
    <x v="4"/>
    <x v="0"/>
    <n v="0.15028993447318173"/>
  </r>
  <r>
    <x v="895"/>
    <x v="457"/>
    <s v="Kabir Desai"/>
    <s v="Small Business"/>
    <x v="0"/>
    <x v="0"/>
    <x v="5"/>
    <s v="Kids Wear"/>
    <x v="52"/>
    <n v="1"/>
    <n v="2191.56"/>
    <n v="1862.83"/>
    <x v="1"/>
    <n v="173.66"/>
    <n v="242.77"/>
    <x v="4"/>
    <x v="0"/>
    <n v="9.3223750959561535E-2"/>
  </r>
  <r>
    <x v="896"/>
    <x v="457"/>
    <s v="Aadhya Malhotra"/>
    <s v="Small Business"/>
    <x v="3"/>
    <x v="10"/>
    <x v="2"/>
    <s v="Comics"/>
    <x v="43"/>
    <n v="3"/>
    <n v="995.24"/>
    <n v="2836.43"/>
    <x v="3"/>
    <n v="450.76"/>
    <n v="219.44"/>
    <x v="1"/>
    <x v="1"/>
    <n v="0.15891807659628476"/>
  </r>
  <r>
    <x v="897"/>
    <x v="457"/>
    <s v="Neha Joshi"/>
    <s v="Consumer"/>
    <x v="1"/>
    <x v="1"/>
    <x v="2"/>
    <s v="Fiction"/>
    <x v="76"/>
    <n v="3"/>
    <n v="480.76"/>
    <n v="1370.17"/>
    <x v="3"/>
    <n v="266.44"/>
    <n v="313.25"/>
    <x v="1"/>
    <x v="3"/>
    <n v="0.19445762204689929"/>
  </r>
  <r>
    <x v="898"/>
    <x v="458"/>
    <s v="Saanvi Joshi"/>
    <s v="Corporate"/>
    <x v="3"/>
    <x v="7"/>
    <x v="2"/>
    <s v="Fiction"/>
    <x v="76"/>
    <n v="1"/>
    <n v="995.8"/>
    <n v="846.43"/>
    <x v="1"/>
    <n v="131.68"/>
    <n v="157.32"/>
    <x v="1"/>
    <x v="2"/>
    <n v="0.15557104544971234"/>
  </r>
  <r>
    <x v="899"/>
    <x v="459"/>
    <s v="Rohan Sharma"/>
    <s v="Consumer"/>
    <x v="2"/>
    <x v="9"/>
    <x v="0"/>
    <s v="Laptops"/>
    <x v="96"/>
    <n v="4"/>
    <n v="43549.78"/>
    <n v="174199.12"/>
    <x v="0"/>
    <n v="18003.400000000001"/>
    <n v="374.78"/>
    <x v="3"/>
    <x v="0"/>
    <n v="0.10334954619747794"/>
  </r>
  <r>
    <x v="900"/>
    <x v="460"/>
    <s v="Pooja Iyer"/>
    <s v="Corporate"/>
    <x v="3"/>
    <x v="6"/>
    <x v="2"/>
    <s v="Fiction"/>
    <x v="76"/>
    <n v="1"/>
    <n v="368.28"/>
    <n v="368.28"/>
    <x v="0"/>
    <n v="49.54"/>
    <n v="38.49"/>
    <x v="0"/>
    <x v="0"/>
    <n v="0.13451721516237647"/>
  </r>
  <r>
    <x v="901"/>
    <x v="460"/>
    <s v="Sai Iyer"/>
    <s v="Corporate"/>
    <x v="3"/>
    <x v="10"/>
    <x v="0"/>
    <s v="Headphones"/>
    <x v="15"/>
    <n v="5"/>
    <n v="24756.9"/>
    <n v="111406.05"/>
    <x v="2"/>
    <n v="-4798.93"/>
    <n v="235.37"/>
    <x v="0"/>
    <x v="1"/>
    <n v="-4.3076026840553096E-2"/>
  </r>
  <r>
    <x v="902"/>
    <x v="461"/>
    <s v="Karan Mehta"/>
    <s v="Small Business"/>
    <x v="0"/>
    <x v="0"/>
    <x v="1"/>
    <s v="Cookware"/>
    <x v="1"/>
    <n v="2"/>
    <n v="5924.04"/>
    <n v="8886.06"/>
    <x v="4"/>
    <n v="36.47"/>
    <n v="306.24"/>
    <x v="3"/>
    <x v="2"/>
    <n v="4.1041811556527868E-3"/>
  </r>
  <r>
    <x v="903"/>
    <x v="461"/>
    <s v="Saanvi Nair"/>
    <s v="Small Business"/>
    <x v="2"/>
    <x v="8"/>
    <x v="4"/>
    <s v="Skincare"/>
    <x v="26"/>
    <n v="5"/>
    <n v="1394.22"/>
    <n v="6273.99"/>
    <x v="2"/>
    <n v="985.49"/>
    <n v="284.48"/>
    <x v="1"/>
    <x v="3"/>
    <n v="0.15707548147191819"/>
  </r>
  <r>
    <x v="904"/>
    <x v="462"/>
    <s v="Anika Rao"/>
    <s v="Corporate"/>
    <x v="0"/>
    <x v="4"/>
    <x v="1"/>
    <s v="Decor"/>
    <x v="70"/>
    <n v="1"/>
    <n v="1069.3499999999999"/>
    <n v="1069.3499999999999"/>
    <x v="0"/>
    <n v="263.13"/>
    <n v="172.2"/>
    <x v="4"/>
    <x v="0"/>
    <n v="0.24606536681161456"/>
  </r>
  <r>
    <x v="905"/>
    <x v="462"/>
    <s v="Aadhya Chopra"/>
    <s v="Consumer"/>
    <x v="0"/>
    <x v="0"/>
    <x v="4"/>
    <s v="Makeup"/>
    <x v="63"/>
    <n v="2"/>
    <n v="1333.59"/>
    <n v="2267.1"/>
    <x v="1"/>
    <n v="519.04999999999995"/>
    <n v="235.44"/>
    <x v="1"/>
    <x v="0"/>
    <n v="0.22894887742049314"/>
  </r>
  <r>
    <x v="906"/>
    <x v="463"/>
    <s v="Sai Das"/>
    <s v="Small Business"/>
    <x v="3"/>
    <x v="5"/>
    <x v="3"/>
    <s v="Outdoor Gear"/>
    <x v="34"/>
    <n v="2"/>
    <n v="10884.02"/>
    <n v="18502.830000000002"/>
    <x v="1"/>
    <n v="2566.31"/>
    <n v="197.34"/>
    <x v="3"/>
    <x v="0"/>
    <n v="0.13869824237697692"/>
  </r>
  <r>
    <x v="907"/>
    <x v="464"/>
    <s v="Neha Rao"/>
    <s v="Consumer"/>
    <x v="2"/>
    <x v="9"/>
    <x v="1"/>
    <s v="Appliances"/>
    <x v="16"/>
    <n v="2"/>
    <n v="1351.47"/>
    <n v="2702.94"/>
    <x v="0"/>
    <n v="534.51"/>
    <n v="56.18"/>
    <x v="3"/>
    <x v="0"/>
    <n v="0.19775133743257342"/>
  </r>
  <r>
    <x v="908"/>
    <x v="465"/>
    <s v="Kiara Verma"/>
    <s v="Consumer"/>
    <x v="2"/>
    <x v="8"/>
    <x v="2"/>
    <s v="Fiction"/>
    <x v="49"/>
    <n v="2"/>
    <n v="386.82"/>
    <n v="773.64"/>
    <x v="0"/>
    <n v="174.11"/>
    <n v="96.46"/>
    <x v="2"/>
    <x v="3"/>
    <n v="0.22505299622563468"/>
  </r>
  <r>
    <x v="909"/>
    <x v="465"/>
    <s v="Ananya Malhotra"/>
    <s v="Consumer"/>
    <x v="0"/>
    <x v="4"/>
    <x v="5"/>
    <s v="Men's Wear"/>
    <x v="32"/>
    <n v="2"/>
    <n v="3442.58"/>
    <n v="6196.64"/>
    <x v="2"/>
    <n v="1041.02"/>
    <n v="309.29000000000002"/>
    <x v="1"/>
    <x v="2"/>
    <n v="0.16799749541687106"/>
  </r>
  <r>
    <x v="910"/>
    <x v="465"/>
    <s v="Vivaan Bose"/>
    <s v="Consumer"/>
    <x v="3"/>
    <x v="7"/>
    <x v="4"/>
    <s v="Haircare"/>
    <x v="17"/>
    <n v="1"/>
    <n v="2080.13"/>
    <n v="1976.12"/>
    <x v="3"/>
    <n v="584.84"/>
    <n v="307.77999999999997"/>
    <x v="3"/>
    <x v="0"/>
    <n v="0.2959536870230553"/>
  </r>
  <r>
    <x v="911"/>
    <x v="466"/>
    <s v="Rohan Rao"/>
    <s v="Consumer"/>
    <x v="1"/>
    <x v="13"/>
    <x v="5"/>
    <s v="Men's Wear"/>
    <x v="21"/>
    <n v="1"/>
    <n v="542.48"/>
    <n v="542.48"/>
    <x v="0"/>
    <n v="81.98"/>
    <n v="100.26"/>
    <x v="3"/>
    <x v="2"/>
    <n v="0.15112077864621737"/>
  </r>
  <r>
    <x v="912"/>
    <x v="466"/>
    <s v="Neha Rao"/>
    <s v="Small Business"/>
    <x v="2"/>
    <x v="11"/>
    <x v="0"/>
    <s v="Laptops"/>
    <x v="96"/>
    <n v="1"/>
    <n v="37091.019999999997"/>
    <n v="35236.47"/>
    <x v="3"/>
    <n v="2495.71"/>
    <n v="180.68"/>
    <x v="1"/>
    <x v="2"/>
    <n v="7.0827469380445887E-2"/>
  </r>
  <r>
    <x v="913"/>
    <x v="466"/>
    <s v="Ayaan Reddy"/>
    <s v="Consumer"/>
    <x v="2"/>
    <x v="2"/>
    <x v="5"/>
    <s v="Men's Wear"/>
    <x v="21"/>
    <n v="1"/>
    <n v="2590.81"/>
    <n v="2590.81"/>
    <x v="0"/>
    <n v="830.36"/>
    <n v="49.93"/>
    <x v="2"/>
    <x v="0"/>
    <n v="0.32050208236034294"/>
  </r>
  <r>
    <x v="914"/>
    <x v="466"/>
    <s v="Aarav Patel"/>
    <s v="Consumer"/>
    <x v="0"/>
    <x v="0"/>
    <x v="5"/>
    <s v="Footwear"/>
    <x v="33"/>
    <n v="2"/>
    <n v="3966.01"/>
    <n v="7535.42"/>
    <x v="3"/>
    <n v="2095.29"/>
    <n v="243.14"/>
    <x v="0"/>
    <x v="0"/>
    <n v="0.27805882087527967"/>
  </r>
  <r>
    <x v="915"/>
    <x v="467"/>
    <s v="Aadhya Agarwal"/>
    <s v="Consumer"/>
    <x v="0"/>
    <x v="4"/>
    <x v="3"/>
    <s v="Apparel"/>
    <x v="18"/>
    <n v="5"/>
    <n v="6833.29"/>
    <n v="30749.8"/>
    <x v="2"/>
    <n v="3940.47"/>
    <n v="297.77999999999997"/>
    <x v="1"/>
    <x v="3"/>
    <n v="0.12814619932487364"/>
  </r>
  <r>
    <x v="916"/>
    <x v="468"/>
    <s v="Kiara Sharma"/>
    <s v="Consumer"/>
    <x v="1"/>
    <x v="1"/>
    <x v="5"/>
    <s v="Footwear"/>
    <x v="29"/>
    <n v="1"/>
    <n v="1038.8900000000001"/>
    <n v="883.06"/>
    <x v="1"/>
    <n v="29.38"/>
    <n v="35.78"/>
    <x v="0"/>
    <x v="3"/>
    <n v="3.3270672434489161E-2"/>
  </r>
  <r>
    <x v="917"/>
    <x v="468"/>
    <s v="Reyansh Patel"/>
    <s v="Small Business"/>
    <x v="1"/>
    <x v="3"/>
    <x v="4"/>
    <s v="Skincare"/>
    <x v="26"/>
    <n v="1"/>
    <n v="968.22"/>
    <n v="871.4"/>
    <x v="2"/>
    <n v="215.53"/>
    <n v="106.38"/>
    <x v="2"/>
    <x v="2"/>
    <n v="0.24733761762680745"/>
  </r>
  <r>
    <x v="918"/>
    <x v="468"/>
    <s v="Anika Chopra"/>
    <s v="Corporate"/>
    <x v="0"/>
    <x v="4"/>
    <x v="0"/>
    <s v="Accessories"/>
    <x v="89"/>
    <n v="1"/>
    <n v="18984.88"/>
    <n v="18984.88"/>
    <x v="0"/>
    <n v="2803.24"/>
    <n v="124.28"/>
    <x v="4"/>
    <x v="3"/>
    <n v="0.14765645081770334"/>
  </r>
  <r>
    <x v="919"/>
    <x v="469"/>
    <s v="Arjun Singh"/>
    <s v="Corporate"/>
    <x v="1"/>
    <x v="13"/>
    <x v="5"/>
    <s v="Women's Wear"/>
    <x v="22"/>
    <n v="4"/>
    <n v="4080.1"/>
    <n v="13872.34"/>
    <x v="1"/>
    <n v="1831.56"/>
    <n v="188.09"/>
    <x v="1"/>
    <x v="0"/>
    <n v="0.13202963595182932"/>
  </r>
  <r>
    <x v="920"/>
    <x v="470"/>
    <s v="Ayaan Gupta"/>
    <s v="Consumer"/>
    <x v="3"/>
    <x v="7"/>
    <x v="0"/>
    <s v="Mobiles"/>
    <x v="72"/>
    <n v="3"/>
    <n v="60669.15"/>
    <n v="136505.59"/>
    <x v="4"/>
    <n v="-9827.48"/>
    <n v="240.84"/>
    <x v="0"/>
    <x v="2"/>
    <n v="-7.1993242181510667E-2"/>
  </r>
  <r>
    <x v="921"/>
    <x v="471"/>
    <s v="Kabir Kapoor"/>
    <s v="Corporate"/>
    <x v="0"/>
    <x v="0"/>
    <x v="5"/>
    <s v="Women's Wear"/>
    <x v="24"/>
    <n v="4"/>
    <n v="1325.33"/>
    <n v="4771.1899999999996"/>
    <x v="2"/>
    <n v="648.14"/>
    <n v="253.59"/>
    <x v="0"/>
    <x v="3"/>
    <n v="0.13584451677673706"/>
  </r>
  <r>
    <x v="922"/>
    <x v="472"/>
    <s v="Vihaan Reddy"/>
    <s v="Consumer"/>
    <x v="2"/>
    <x v="2"/>
    <x v="0"/>
    <s v="Accessories"/>
    <x v="14"/>
    <n v="1"/>
    <n v="45716.85"/>
    <n v="41145.17"/>
    <x v="2"/>
    <n v="2449.4"/>
    <n v="66.14"/>
    <x v="1"/>
    <x v="0"/>
    <n v="5.9530681243995354E-2"/>
  </r>
  <r>
    <x v="923"/>
    <x v="472"/>
    <s v="Meera Verma"/>
    <s v="Small Business"/>
    <x v="3"/>
    <x v="5"/>
    <x v="1"/>
    <s v="Furniture"/>
    <x v="39"/>
    <n v="1"/>
    <n v="10122.040000000001"/>
    <n v="9615.94"/>
    <x v="3"/>
    <n v="801.61"/>
    <n v="159.4"/>
    <x v="3"/>
    <x v="2"/>
    <n v="8.336262497478146E-2"/>
  </r>
  <r>
    <x v="924"/>
    <x v="472"/>
    <s v="Myra Kapoor"/>
    <s v="Consumer"/>
    <x v="1"/>
    <x v="3"/>
    <x v="1"/>
    <s v="Decor"/>
    <x v="61"/>
    <n v="5"/>
    <n v="3933.39"/>
    <n v="15733.56"/>
    <x v="5"/>
    <n v="2246.29"/>
    <n v="174.65"/>
    <x v="4"/>
    <x v="2"/>
    <n v="0.14277061262676724"/>
  </r>
  <r>
    <x v="925"/>
    <x v="472"/>
    <s v="Diya Bose"/>
    <s v="Consumer"/>
    <x v="2"/>
    <x v="2"/>
    <x v="3"/>
    <s v="Outdoor Gear"/>
    <x v="12"/>
    <n v="1"/>
    <n v="7066.53"/>
    <n v="5299.9"/>
    <x v="4"/>
    <n v="85.19"/>
    <n v="247.84"/>
    <x v="0"/>
    <x v="3"/>
    <n v="1.607388818656956E-2"/>
  </r>
  <r>
    <x v="926"/>
    <x v="473"/>
    <s v="Aditya Das"/>
    <s v="Small Business"/>
    <x v="0"/>
    <x v="0"/>
    <x v="0"/>
    <s v="Headphones"/>
    <x v="15"/>
    <n v="1"/>
    <n v="2011.21"/>
    <n v="1608.97"/>
    <x v="5"/>
    <n v="27.85"/>
    <n v="112.7"/>
    <x v="0"/>
    <x v="3"/>
    <n v="1.7309210240091487E-2"/>
  </r>
  <r>
    <x v="927"/>
    <x v="473"/>
    <s v="Reyansh Das"/>
    <s v="Consumer"/>
    <x v="1"/>
    <x v="3"/>
    <x v="2"/>
    <s v="Fiction"/>
    <x v="49"/>
    <n v="2"/>
    <n v="215.31"/>
    <n v="387.56"/>
    <x v="2"/>
    <n v="-0.69"/>
    <n v="92.14"/>
    <x v="2"/>
    <x v="0"/>
    <n v="-1.7803694911755598E-3"/>
  </r>
  <r>
    <x v="928"/>
    <x v="473"/>
    <s v="Riya Verma"/>
    <s v="Corporate"/>
    <x v="0"/>
    <x v="0"/>
    <x v="5"/>
    <s v="Kids Wear"/>
    <x v="52"/>
    <n v="2"/>
    <n v="1969.28"/>
    <n v="3347.78"/>
    <x v="1"/>
    <n v="514.22"/>
    <n v="209.36"/>
    <x v="0"/>
    <x v="3"/>
    <n v="0.15360029631576747"/>
  </r>
  <r>
    <x v="929"/>
    <x v="473"/>
    <s v="Sai Reddy"/>
    <s v="Consumer"/>
    <x v="0"/>
    <x v="0"/>
    <x v="0"/>
    <s v="Headphones"/>
    <x v="81"/>
    <n v="5"/>
    <n v="35036.61"/>
    <n v="166423.9"/>
    <x v="3"/>
    <n v="15450.41"/>
    <n v="95.72"/>
    <x v="0"/>
    <x v="2"/>
    <n v="9.2837687375431049E-2"/>
  </r>
  <r>
    <x v="930"/>
    <x v="473"/>
    <s v="Aadhya Agarwal"/>
    <s v="Small Business"/>
    <x v="1"/>
    <x v="1"/>
    <x v="4"/>
    <s v="Makeup"/>
    <x v="20"/>
    <n v="3"/>
    <n v="1794.35"/>
    <n v="5113.8999999999996"/>
    <x v="3"/>
    <n v="1368.45"/>
    <n v="99.75"/>
    <x v="2"/>
    <x v="1"/>
    <n v="0.26759420403214773"/>
  </r>
  <r>
    <x v="931"/>
    <x v="474"/>
    <s v="Pooja Desai"/>
    <s v="Consumer"/>
    <x v="2"/>
    <x v="11"/>
    <x v="1"/>
    <s v="Furniture"/>
    <x v="44"/>
    <n v="1"/>
    <n v="2949.74"/>
    <n v="2949.74"/>
    <x v="0"/>
    <n v="695.3"/>
    <n v="72.09"/>
    <x v="1"/>
    <x v="0"/>
    <n v="0.2357156901964241"/>
  </r>
  <r>
    <x v="932"/>
    <x v="474"/>
    <s v="Karan Bose"/>
    <s v="Consumer"/>
    <x v="0"/>
    <x v="4"/>
    <x v="3"/>
    <s v="Footwear"/>
    <x v="29"/>
    <n v="1"/>
    <n v="9409.36"/>
    <n v="7997.96"/>
    <x v="1"/>
    <n v="936.75"/>
    <n v="179.36"/>
    <x v="3"/>
    <x v="2"/>
    <n v="0.11712361652221316"/>
  </r>
  <r>
    <x v="933"/>
    <x v="474"/>
    <s v="Ananya Iyer"/>
    <s v="Consumer"/>
    <x v="1"/>
    <x v="1"/>
    <x v="0"/>
    <s v="Laptops"/>
    <x v="90"/>
    <n v="1"/>
    <n v="49976.87"/>
    <n v="34983.81"/>
    <x v="6"/>
    <n v="-1826.85"/>
    <n v="94.15"/>
    <x v="4"/>
    <x v="0"/>
    <n v="-5.2219869705443747E-2"/>
  </r>
  <r>
    <x v="934"/>
    <x v="474"/>
    <s v="Meera Iyer"/>
    <s v="Consumer"/>
    <x v="0"/>
    <x v="12"/>
    <x v="4"/>
    <s v="Skincare"/>
    <x v="67"/>
    <n v="4"/>
    <n v="2310.2199999999998"/>
    <n v="8778.84"/>
    <x v="3"/>
    <n v="2079.2800000000002"/>
    <n v="359.85"/>
    <x v="3"/>
    <x v="3"/>
    <n v="0.23685133798998503"/>
  </r>
  <r>
    <x v="935"/>
    <x v="475"/>
    <s v="Sai Mishra"/>
    <s v="Consumer"/>
    <x v="0"/>
    <x v="4"/>
    <x v="0"/>
    <s v="Cameras"/>
    <x v="47"/>
    <n v="2"/>
    <n v="8554.99"/>
    <n v="15398.98"/>
    <x v="2"/>
    <n v="1660.67"/>
    <n v="283.42"/>
    <x v="0"/>
    <x v="3"/>
    <n v="0.10784285712430304"/>
  </r>
  <r>
    <x v="936"/>
    <x v="476"/>
    <s v="Aadhya Reddy"/>
    <s v="Corporate"/>
    <x v="1"/>
    <x v="3"/>
    <x v="0"/>
    <s v="Mobiles"/>
    <x v="74"/>
    <n v="1"/>
    <n v="47879.13"/>
    <n v="47879.13"/>
    <x v="0"/>
    <n v="8114.47"/>
    <n v="70.86"/>
    <x v="1"/>
    <x v="1"/>
    <n v="0.1694782256904"/>
  </r>
  <r>
    <x v="937"/>
    <x v="476"/>
    <s v="Rohan Gupta"/>
    <s v="Small Business"/>
    <x v="1"/>
    <x v="1"/>
    <x v="3"/>
    <s v="Outdoor Gear"/>
    <x v="82"/>
    <n v="1"/>
    <n v="6175.02"/>
    <n v="5866.27"/>
    <x v="3"/>
    <n v="619.62"/>
    <n v="114.57"/>
    <x v="1"/>
    <x v="0"/>
    <n v="0.10562418708992255"/>
  </r>
  <r>
    <x v="938"/>
    <x v="476"/>
    <s v="Arjun Mehta"/>
    <s v="Small Business"/>
    <x v="2"/>
    <x v="2"/>
    <x v="2"/>
    <s v="Non-Fiction"/>
    <x v="36"/>
    <n v="1"/>
    <n v="692.4"/>
    <n v="553.91999999999996"/>
    <x v="5"/>
    <n v="8.0500000000000007"/>
    <n v="286.83"/>
    <x v="2"/>
    <x v="3"/>
    <n v="1.4532784517619876E-2"/>
  </r>
  <r>
    <x v="939"/>
    <x v="477"/>
    <s v="Kiara Bose"/>
    <s v="Small Business"/>
    <x v="1"/>
    <x v="13"/>
    <x v="0"/>
    <s v="Headphones"/>
    <x v="60"/>
    <n v="3"/>
    <n v="37780.82"/>
    <n v="113342.46"/>
    <x v="0"/>
    <n v="12048.84"/>
    <n v="101.12"/>
    <x v="3"/>
    <x v="3"/>
    <n v="0.10630473345999372"/>
  </r>
  <r>
    <x v="940"/>
    <x v="477"/>
    <s v="Dhruv Joshi"/>
    <s v="Corporate"/>
    <x v="2"/>
    <x v="8"/>
    <x v="5"/>
    <s v="Footwear"/>
    <x v="11"/>
    <n v="1"/>
    <n v="689.03"/>
    <n v="551.22"/>
    <x v="5"/>
    <n v="24.32"/>
    <n v="269.48"/>
    <x v="3"/>
    <x v="0"/>
    <n v="4.4120314937774387E-2"/>
  </r>
  <r>
    <x v="941"/>
    <x v="477"/>
    <s v="Ananya Verma"/>
    <s v="Consumer"/>
    <x v="1"/>
    <x v="3"/>
    <x v="0"/>
    <s v="Headphones"/>
    <x v="68"/>
    <n v="1"/>
    <n v="27427.9"/>
    <n v="23313.72"/>
    <x v="1"/>
    <n v="2603.33"/>
    <n v="141.15"/>
    <x v="3"/>
    <x v="1"/>
    <n v="0.11166514824746972"/>
  </r>
  <r>
    <x v="942"/>
    <x v="477"/>
    <s v="Priya Chopra"/>
    <s v="Consumer"/>
    <x v="0"/>
    <x v="12"/>
    <x v="0"/>
    <s v="Mobiles"/>
    <x v="62"/>
    <n v="1"/>
    <n v="51204.68"/>
    <n v="51204.68"/>
    <x v="0"/>
    <n v="6378.93"/>
    <n v="167.28"/>
    <x v="1"/>
    <x v="3"/>
    <n v="0.12457708943791856"/>
  </r>
  <r>
    <x v="943"/>
    <x v="478"/>
    <s v="Anika Reddy"/>
    <s v="Consumer"/>
    <x v="3"/>
    <x v="5"/>
    <x v="4"/>
    <s v="Skincare"/>
    <x v="67"/>
    <n v="1"/>
    <n v="2257.2399999999998"/>
    <n v="2257.2399999999998"/>
    <x v="0"/>
    <n v="653.17999999999995"/>
    <n v="175.91"/>
    <x v="0"/>
    <x v="2"/>
    <n v="0.28937109035813652"/>
  </r>
  <r>
    <x v="944"/>
    <x v="478"/>
    <s v="Saanvi Agarwal"/>
    <s v="Consumer"/>
    <x v="2"/>
    <x v="8"/>
    <x v="4"/>
    <s v="Fragrances"/>
    <x v="19"/>
    <n v="1"/>
    <n v="1972.71"/>
    <n v="1972.71"/>
    <x v="0"/>
    <n v="416.63"/>
    <n v="285.91000000000003"/>
    <x v="1"/>
    <x v="3"/>
    <n v="0.21119678006397291"/>
  </r>
  <r>
    <x v="945"/>
    <x v="478"/>
    <s v="Vihaan Bose"/>
    <s v="Consumer"/>
    <x v="0"/>
    <x v="4"/>
    <x v="2"/>
    <s v="Academic"/>
    <x v="38"/>
    <n v="1"/>
    <n v="1011.67"/>
    <n v="910.5"/>
    <x v="2"/>
    <n v="133.71"/>
    <n v="238.48"/>
    <x v="2"/>
    <x v="0"/>
    <n v="0.14685337726523889"/>
  </r>
  <r>
    <x v="946"/>
    <x v="478"/>
    <s v="Aarav Bose"/>
    <s v="Corporate"/>
    <x v="1"/>
    <x v="1"/>
    <x v="0"/>
    <s v="Mobiles"/>
    <x v="25"/>
    <n v="1"/>
    <n v="6896.67"/>
    <n v="5517.34"/>
    <x v="5"/>
    <n v="-438.37"/>
    <n v="249.85"/>
    <x v="4"/>
    <x v="3"/>
    <n v="-7.9453142275081837E-2"/>
  </r>
  <r>
    <x v="947"/>
    <x v="479"/>
    <s v="Kabir Nair"/>
    <s v="Corporate"/>
    <x v="3"/>
    <x v="7"/>
    <x v="1"/>
    <s v="Cookware"/>
    <x v="1"/>
    <n v="1"/>
    <n v="10450.51"/>
    <n v="10450.51"/>
    <x v="0"/>
    <n v="1964.55"/>
    <n v="74.8"/>
    <x v="1"/>
    <x v="0"/>
    <n v="0.18798604087264639"/>
  </r>
  <r>
    <x v="948"/>
    <x v="479"/>
    <s v="Aditya Singh"/>
    <s v="Small Business"/>
    <x v="1"/>
    <x v="1"/>
    <x v="5"/>
    <s v="Women's Wear"/>
    <x v="42"/>
    <n v="1"/>
    <n v="401.26"/>
    <n v="321.01"/>
    <x v="5"/>
    <n v="25.63"/>
    <n v="67.27"/>
    <x v="1"/>
    <x v="2"/>
    <n v="7.9841749478209406E-2"/>
  </r>
  <r>
    <x v="949"/>
    <x v="479"/>
    <s v="Vivaan Iyer"/>
    <s v="Corporate"/>
    <x v="1"/>
    <x v="3"/>
    <x v="0"/>
    <s v="Headphones"/>
    <x v="81"/>
    <n v="2"/>
    <n v="58345.02"/>
    <n v="93352.03"/>
    <x v="5"/>
    <n v="1609.85"/>
    <n v="140.13"/>
    <x v="1"/>
    <x v="3"/>
    <n v="1.7244938326461675E-2"/>
  </r>
  <r>
    <x v="950"/>
    <x v="479"/>
    <s v="Kiara Bose"/>
    <s v="Corporate"/>
    <x v="0"/>
    <x v="4"/>
    <x v="2"/>
    <s v="Academic"/>
    <x v="91"/>
    <n v="2"/>
    <n v="531.80999999999995"/>
    <n v="904.08"/>
    <x v="1"/>
    <n v="28.49"/>
    <n v="355.97"/>
    <x v="2"/>
    <x v="2"/>
    <n v="3.1512697991328199E-2"/>
  </r>
  <r>
    <x v="951"/>
    <x v="480"/>
    <s v="Navya Iyer"/>
    <s v="Small Business"/>
    <x v="1"/>
    <x v="3"/>
    <x v="1"/>
    <s v="Appliances"/>
    <x v="45"/>
    <n v="1"/>
    <n v="5152.9799999999996"/>
    <n v="5152.9799999999996"/>
    <x v="0"/>
    <n v="696.41"/>
    <n v="43.44"/>
    <x v="3"/>
    <x v="1"/>
    <n v="0.1351470411295988"/>
  </r>
  <r>
    <x v="952"/>
    <x v="480"/>
    <s v="Anika Khan"/>
    <s v="Consumer"/>
    <x v="2"/>
    <x v="8"/>
    <x v="5"/>
    <s v="Women's Wear"/>
    <x v="22"/>
    <n v="1"/>
    <n v="2315.5700000000002"/>
    <n v="2199.79"/>
    <x v="3"/>
    <n v="418.98"/>
    <n v="249.51"/>
    <x v="3"/>
    <x v="0"/>
    <n v="0.19046363516517487"/>
  </r>
  <r>
    <x v="953"/>
    <x v="480"/>
    <s v="Vihaan Rao"/>
    <s v="Small Business"/>
    <x v="2"/>
    <x v="9"/>
    <x v="5"/>
    <s v="Men's Wear"/>
    <x v="55"/>
    <n v="2"/>
    <n v="4129.71"/>
    <n v="7433.48"/>
    <x v="2"/>
    <n v="1798.2"/>
    <n v="124.21"/>
    <x v="0"/>
    <x v="3"/>
    <n v="0.24190554087722038"/>
  </r>
  <r>
    <x v="954"/>
    <x v="480"/>
    <s v="Riya Rao"/>
    <s v="Corporate"/>
    <x v="1"/>
    <x v="3"/>
    <x v="1"/>
    <s v="Furniture"/>
    <x v="44"/>
    <n v="2"/>
    <n v="3293.72"/>
    <n v="5269.95"/>
    <x v="5"/>
    <n v="507.78"/>
    <n v="159.16999999999999"/>
    <x v="0"/>
    <x v="0"/>
    <n v="9.6353855349671252E-2"/>
  </r>
  <r>
    <x v="955"/>
    <x v="480"/>
    <s v="Ayaan Malhotra"/>
    <s v="Small Business"/>
    <x v="3"/>
    <x v="7"/>
    <x v="5"/>
    <s v="Kids Wear"/>
    <x v="65"/>
    <n v="2"/>
    <n v="620.82000000000005"/>
    <n v="931.23"/>
    <x v="4"/>
    <n v="-5.81"/>
    <n v="103.16"/>
    <x v="2"/>
    <x v="1"/>
    <n v="-6.2390601677351455E-3"/>
  </r>
  <r>
    <x v="956"/>
    <x v="480"/>
    <s v="Ayaan Malhotra"/>
    <s v="Consumer"/>
    <x v="1"/>
    <x v="1"/>
    <x v="2"/>
    <s v="Fiction"/>
    <x v="87"/>
    <n v="1"/>
    <n v="864.15"/>
    <n v="604.9"/>
    <x v="6"/>
    <n v="23.66"/>
    <n v="80.75"/>
    <x v="3"/>
    <x v="3"/>
    <n v="3.9113903124483387E-2"/>
  </r>
  <r>
    <x v="957"/>
    <x v="481"/>
    <s v="Kiara Singh"/>
    <s v="Corporate"/>
    <x v="1"/>
    <x v="1"/>
    <x v="2"/>
    <s v="Academic"/>
    <x v="97"/>
    <n v="1"/>
    <n v="1092.6300000000001"/>
    <n v="928.74"/>
    <x v="1"/>
    <n v="86.06"/>
    <n v="268.45999999999998"/>
    <x v="0"/>
    <x v="3"/>
    <n v="9.2663178069212052E-2"/>
  </r>
  <r>
    <x v="958"/>
    <x v="481"/>
    <s v="Rohan Singh"/>
    <s v="Small Business"/>
    <x v="2"/>
    <x v="2"/>
    <x v="5"/>
    <s v="Kids Wear"/>
    <x v="52"/>
    <n v="1"/>
    <n v="3911.26"/>
    <n v="3911.26"/>
    <x v="0"/>
    <n v="1055.9100000000001"/>
    <n v="234.15"/>
    <x v="3"/>
    <x v="3"/>
    <n v="0.26996671149450563"/>
  </r>
  <r>
    <x v="959"/>
    <x v="482"/>
    <s v="Arjun Nair"/>
    <s v="Corporate"/>
    <x v="1"/>
    <x v="3"/>
    <x v="2"/>
    <s v="Academic"/>
    <x v="2"/>
    <n v="1"/>
    <n v="195.84"/>
    <n v="186.05"/>
    <x v="3"/>
    <n v="17.399999999999999"/>
    <n v="81.739999999999995"/>
    <x v="3"/>
    <x v="0"/>
    <n v="9.3523246439129251E-2"/>
  </r>
  <r>
    <x v="960"/>
    <x v="483"/>
    <s v="Vivaan Mehta"/>
    <s v="Consumer"/>
    <x v="1"/>
    <x v="3"/>
    <x v="5"/>
    <s v="Kids Wear"/>
    <x v="52"/>
    <n v="4"/>
    <n v="2028.98"/>
    <n v="6898.53"/>
    <x v="1"/>
    <n v="572.62"/>
    <n v="354.78"/>
    <x v="3"/>
    <x v="3"/>
    <n v="8.3006089703168653E-2"/>
  </r>
  <r>
    <x v="961"/>
    <x v="483"/>
    <s v="Reyansh Sharma"/>
    <s v="Corporate"/>
    <x v="1"/>
    <x v="1"/>
    <x v="5"/>
    <s v="Women's Wear"/>
    <x v="22"/>
    <n v="2"/>
    <n v="495.3"/>
    <n v="891.54"/>
    <x v="2"/>
    <n v="189.59"/>
    <n v="155.69"/>
    <x v="1"/>
    <x v="3"/>
    <n v="0.21265450793009849"/>
  </r>
  <r>
    <x v="962"/>
    <x v="484"/>
    <s v="Sai Patel"/>
    <s v="Consumer"/>
    <x v="2"/>
    <x v="9"/>
    <x v="1"/>
    <s v="Decor"/>
    <x v="23"/>
    <n v="2"/>
    <n v="4365.8"/>
    <n v="6112.12"/>
    <x v="6"/>
    <n v="213.65"/>
    <n v="155.82"/>
    <x v="3"/>
    <x v="2"/>
    <n v="3.495513831534721E-2"/>
  </r>
  <r>
    <x v="963"/>
    <x v="485"/>
    <s v="Ayaan Das"/>
    <s v="Corporate"/>
    <x v="0"/>
    <x v="12"/>
    <x v="4"/>
    <s v="Skincare"/>
    <x v="67"/>
    <n v="2"/>
    <n v="1491.41"/>
    <n v="2535.4"/>
    <x v="1"/>
    <n v="618.04"/>
    <n v="224.41"/>
    <x v="3"/>
    <x v="3"/>
    <n v="0.24376429754673817"/>
  </r>
  <r>
    <x v="964"/>
    <x v="486"/>
    <s v="Dhruv Nair"/>
    <s v="Consumer"/>
    <x v="2"/>
    <x v="2"/>
    <x v="4"/>
    <s v="Haircare"/>
    <x v="53"/>
    <n v="3"/>
    <n v="1055.8800000000001"/>
    <n v="3009.26"/>
    <x v="3"/>
    <n v="914.5"/>
    <n v="227"/>
    <x v="3"/>
    <x v="1"/>
    <n v="0.30389530981038526"/>
  </r>
  <r>
    <x v="965"/>
    <x v="486"/>
    <s v="Arjun Sharma"/>
    <s v="Small Business"/>
    <x v="2"/>
    <x v="8"/>
    <x v="2"/>
    <s v="Comics"/>
    <x v="95"/>
    <n v="3"/>
    <n v="790.04"/>
    <n v="1896.1"/>
    <x v="5"/>
    <n v="54.37"/>
    <n v="220.86"/>
    <x v="4"/>
    <x v="0"/>
    <n v="2.86746479616054E-2"/>
  </r>
  <r>
    <x v="966"/>
    <x v="487"/>
    <s v="Simran Bose"/>
    <s v="Corporate"/>
    <x v="1"/>
    <x v="1"/>
    <x v="5"/>
    <s v="Footwear"/>
    <x v="29"/>
    <n v="3"/>
    <n v="1970.27"/>
    <n v="5910.81"/>
    <x v="0"/>
    <n v="1060.3699999999999"/>
    <n v="371.62"/>
    <x v="1"/>
    <x v="2"/>
    <n v="0.17939504061203115"/>
  </r>
  <r>
    <x v="967"/>
    <x v="487"/>
    <s v="Simran Verma"/>
    <s v="Consumer"/>
    <x v="1"/>
    <x v="13"/>
    <x v="1"/>
    <s v="Furniture"/>
    <x v="44"/>
    <n v="1"/>
    <n v="4649.8"/>
    <n v="4417.3100000000004"/>
    <x v="3"/>
    <n v="795.88"/>
    <n v="175.94"/>
    <x v="1"/>
    <x v="0"/>
    <n v="0.18017300121567195"/>
  </r>
  <r>
    <x v="968"/>
    <x v="487"/>
    <s v="Arjun Joshi"/>
    <s v="Small Business"/>
    <x v="3"/>
    <x v="10"/>
    <x v="0"/>
    <s v="Laptops"/>
    <x v="94"/>
    <n v="4"/>
    <n v="64368.94"/>
    <n v="193106.82"/>
    <x v="4"/>
    <n v="-20163.439999999999"/>
    <n v="100.26"/>
    <x v="0"/>
    <x v="3"/>
    <n v="-0.10441599110792668"/>
  </r>
  <r>
    <x v="969"/>
    <x v="487"/>
    <s v="Saanvi Rao"/>
    <s v="Small Business"/>
    <x v="2"/>
    <x v="2"/>
    <x v="3"/>
    <s v="Gym Equipment"/>
    <x v="51"/>
    <n v="5"/>
    <n v="11067.79"/>
    <n v="52572"/>
    <x v="3"/>
    <n v="12399.84"/>
    <n v="116.12"/>
    <x v="3"/>
    <x v="0"/>
    <n v="0.23586395800045651"/>
  </r>
  <r>
    <x v="970"/>
    <x v="487"/>
    <s v="Simran Desai"/>
    <s v="Consumer"/>
    <x v="3"/>
    <x v="6"/>
    <x v="1"/>
    <s v="Furniture"/>
    <x v="10"/>
    <n v="2"/>
    <n v="7556.55"/>
    <n v="14357.44"/>
    <x v="3"/>
    <n v="1892.52"/>
    <n v="324.39"/>
    <x v="1"/>
    <x v="3"/>
    <n v="0.13181458532997525"/>
  </r>
  <r>
    <x v="971"/>
    <x v="488"/>
    <s v="Aditya Mehta"/>
    <s v="Consumer"/>
    <x v="1"/>
    <x v="3"/>
    <x v="3"/>
    <s v="Outdoor Gear"/>
    <x v="82"/>
    <n v="4"/>
    <n v="7952.14"/>
    <n v="22265.99"/>
    <x v="6"/>
    <n v="57.88"/>
    <n v="268.01"/>
    <x v="1"/>
    <x v="0"/>
    <n v="2.5994801937843318E-3"/>
  </r>
  <r>
    <x v="972"/>
    <x v="488"/>
    <s v="Kabir Nair"/>
    <s v="Consumer"/>
    <x v="3"/>
    <x v="6"/>
    <x v="5"/>
    <s v="Footwear"/>
    <x v="33"/>
    <n v="2"/>
    <n v="2178.25"/>
    <n v="3267.38"/>
    <x v="4"/>
    <n v="36.840000000000003"/>
    <n v="237.19"/>
    <x v="2"/>
    <x v="3"/>
    <n v="1.1275088909156572E-2"/>
  </r>
  <r>
    <x v="973"/>
    <x v="489"/>
    <s v="Ira Agarwal"/>
    <s v="Corporate"/>
    <x v="2"/>
    <x v="2"/>
    <x v="1"/>
    <s v="Decor"/>
    <x v="70"/>
    <n v="4"/>
    <n v="4746.7700000000004"/>
    <n v="17088.37"/>
    <x v="2"/>
    <n v="3161.62"/>
    <n v="250.96"/>
    <x v="1"/>
    <x v="0"/>
    <n v="0.1850158909246464"/>
  </r>
  <r>
    <x v="974"/>
    <x v="490"/>
    <s v="Raj Reddy"/>
    <s v="Corporate"/>
    <x v="2"/>
    <x v="2"/>
    <x v="1"/>
    <s v="Decor"/>
    <x v="70"/>
    <n v="4"/>
    <n v="6435.44"/>
    <n v="21880.5"/>
    <x v="1"/>
    <n v="979.68"/>
    <n v="310.36"/>
    <x v="3"/>
    <x v="3"/>
    <n v="4.4774113937067248E-2"/>
  </r>
  <r>
    <x v="975"/>
    <x v="490"/>
    <s v="Diya Khan"/>
    <s v="Corporate"/>
    <x v="3"/>
    <x v="10"/>
    <x v="2"/>
    <s v="Fiction"/>
    <x v="49"/>
    <n v="1"/>
    <n v="625.9"/>
    <n v="625.9"/>
    <x v="0"/>
    <n v="147.94999999999999"/>
    <n v="116.71"/>
    <x v="1"/>
    <x v="3"/>
    <n v="0.23637961335676624"/>
  </r>
  <r>
    <x v="976"/>
    <x v="490"/>
    <s v="Anika Iyer"/>
    <s v="Consumer"/>
    <x v="2"/>
    <x v="11"/>
    <x v="2"/>
    <s v="Fiction"/>
    <x v="87"/>
    <n v="1"/>
    <n v="165.27"/>
    <n v="123.95"/>
    <x v="4"/>
    <n v="5.44"/>
    <n v="142.19"/>
    <x v="1"/>
    <x v="1"/>
    <n v="4.3888664784187174E-2"/>
  </r>
  <r>
    <x v="977"/>
    <x v="491"/>
    <s v="Ira Kapoor"/>
    <s v="Small Business"/>
    <x v="0"/>
    <x v="0"/>
    <x v="3"/>
    <s v="Outdoor Gear"/>
    <x v="3"/>
    <n v="2"/>
    <n v="5702.48"/>
    <n v="11404.96"/>
    <x v="0"/>
    <n v="2958.9"/>
    <n v="73.12"/>
    <x v="3"/>
    <x v="0"/>
    <n v="0.25943975252872437"/>
  </r>
  <r>
    <x v="978"/>
    <x v="491"/>
    <s v="Aarav Agarwal"/>
    <s v="Consumer"/>
    <x v="2"/>
    <x v="2"/>
    <x v="1"/>
    <s v="Furniture"/>
    <x v="39"/>
    <n v="4"/>
    <n v="6409.71"/>
    <n v="21793.01"/>
    <x v="1"/>
    <n v="2313.5100000000002"/>
    <n v="157.97"/>
    <x v="4"/>
    <x v="1"/>
    <n v="0.10615835077394084"/>
  </r>
  <r>
    <x v="979"/>
    <x v="492"/>
    <s v="Vihaan Bose"/>
    <s v="Consumer"/>
    <x v="2"/>
    <x v="9"/>
    <x v="2"/>
    <s v="Comics"/>
    <x v="95"/>
    <n v="3"/>
    <n v="1199.32"/>
    <n v="3597.96"/>
    <x v="0"/>
    <n v="314.64"/>
    <n v="160.11000000000001"/>
    <x v="1"/>
    <x v="2"/>
    <n v="8.7449554747690353E-2"/>
  </r>
  <r>
    <x v="980"/>
    <x v="493"/>
    <s v="Vihaan Joshi"/>
    <s v="Consumer"/>
    <x v="3"/>
    <x v="5"/>
    <x v="5"/>
    <s v="Kids Wear"/>
    <x v="65"/>
    <n v="2"/>
    <n v="4141.87"/>
    <n v="7869.55"/>
    <x v="3"/>
    <n v="1484.48"/>
    <n v="357.67"/>
    <x v="1"/>
    <x v="0"/>
    <n v="0.1886359448761365"/>
  </r>
  <r>
    <x v="981"/>
    <x v="494"/>
    <s v="Reyansh Sharma"/>
    <s v="Small Business"/>
    <x v="0"/>
    <x v="12"/>
    <x v="2"/>
    <s v="Non-Fiction"/>
    <x v="28"/>
    <n v="2"/>
    <n v="340.81"/>
    <n v="647.54"/>
    <x v="3"/>
    <n v="55.91"/>
    <n v="282.79000000000002"/>
    <x v="3"/>
    <x v="0"/>
    <n v="8.634215646909843E-2"/>
  </r>
  <r>
    <x v="982"/>
    <x v="495"/>
    <s v="Vihaan Joshi"/>
    <s v="Consumer"/>
    <x v="2"/>
    <x v="9"/>
    <x v="0"/>
    <s v="Mobiles"/>
    <x v="25"/>
    <n v="2"/>
    <n v="37436.76"/>
    <n v="74873.52"/>
    <x v="0"/>
    <n v="9274.4"/>
    <n v="139.83000000000001"/>
    <x v="0"/>
    <x v="0"/>
    <n v="0.12386755691464751"/>
  </r>
  <r>
    <x v="983"/>
    <x v="496"/>
    <s v="Anika Chopra"/>
    <s v="Consumer"/>
    <x v="3"/>
    <x v="6"/>
    <x v="3"/>
    <s v="Outdoor Gear"/>
    <x v="12"/>
    <n v="2"/>
    <n v="9462.8799999999992"/>
    <n v="18925.759999999998"/>
    <x v="0"/>
    <n v="2043.67"/>
    <n v="316.13"/>
    <x v="3"/>
    <x v="1"/>
    <n v="0.10798351030553067"/>
  </r>
  <r>
    <x v="984"/>
    <x v="497"/>
    <s v="Kiara Sharma"/>
    <s v="Consumer"/>
    <x v="3"/>
    <x v="7"/>
    <x v="2"/>
    <s v="Academic"/>
    <x v="97"/>
    <n v="3"/>
    <n v="269.85000000000002"/>
    <n v="769.07"/>
    <x v="3"/>
    <n v="104.14"/>
    <n v="60.06"/>
    <x v="2"/>
    <x v="3"/>
    <n v="0.13541030075285734"/>
  </r>
  <r>
    <x v="985"/>
    <x v="498"/>
    <s v="Saanvi Mehta"/>
    <s v="Corporate"/>
    <x v="3"/>
    <x v="7"/>
    <x v="3"/>
    <s v="Outdoor Gear"/>
    <x v="34"/>
    <n v="3"/>
    <n v="7452"/>
    <n v="21238.2"/>
    <x v="3"/>
    <n v="5417.26"/>
    <n v="283.63"/>
    <x v="1"/>
    <x v="0"/>
    <n v="0.25507152206872524"/>
  </r>
  <r>
    <x v="986"/>
    <x v="498"/>
    <s v="Ananya Bose"/>
    <s v="Consumer"/>
    <x v="0"/>
    <x v="0"/>
    <x v="0"/>
    <s v="Laptops"/>
    <x v="98"/>
    <n v="1"/>
    <n v="54624.02"/>
    <n v="49161.62"/>
    <x v="2"/>
    <n v="1009.87"/>
    <n v="84.31"/>
    <x v="0"/>
    <x v="0"/>
    <n v="2.0541837311300968E-2"/>
  </r>
  <r>
    <x v="987"/>
    <x v="499"/>
    <s v="Riya Kapoor"/>
    <s v="Consumer"/>
    <x v="2"/>
    <x v="2"/>
    <x v="4"/>
    <s v="Skincare"/>
    <x v="26"/>
    <n v="3"/>
    <n v="1396.39"/>
    <n v="3351.34"/>
    <x v="5"/>
    <n v="705.48"/>
    <n v="193.6"/>
    <x v="1"/>
    <x v="3"/>
    <n v="0.21050684203930367"/>
  </r>
  <r>
    <x v="988"/>
    <x v="499"/>
    <s v="Vihaan Verma"/>
    <s v="Corporate"/>
    <x v="0"/>
    <x v="0"/>
    <x v="4"/>
    <s v="Fragrances"/>
    <x v="19"/>
    <n v="4"/>
    <n v="453.15"/>
    <n v="1812.6"/>
    <x v="0"/>
    <n v="525.84"/>
    <n v="92.41"/>
    <x v="1"/>
    <x v="0"/>
    <n v="0.29010261502813639"/>
  </r>
  <r>
    <x v="989"/>
    <x v="500"/>
    <s v="Rohan Das"/>
    <s v="Small Business"/>
    <x v="2"/>
    <x v="9"/>
    <x v="4"/>
    <s v="Skincare"/>
    <x v="67"/>
    <n v="2"/>
    <n v="1606.79"/>
    <n v="3052.9"/>
    <x v="3"/>
    <n v="605.9"/>
    <n v="149.77000000000001"/>
    <x v="3"/>
    <x v="3"/>
    <n v="0.19846703134724358"/>
  </r>
  <r>
    <x v="990"/>
    <x v="500"/>
    <s v="Myra Mishra"/>
    <s v="Corporate"/>
    <x v="0"/>
    <x v="0"/>
    <x v="0"/>
    <s v="Accessories"/>
    <x v="89"/>
    <n v="1"/>
    <n v="15775.41"/>
    <n v="13409.1"/>
    <x v="1"/>
    <n v="-622.07000000000005"/>
    <n v="247.67"/>
    <x v="3"/>
    <x v="1"/>
    <n v="-4.6391629564996907E-2"/>
  </r>
  <r>
    <x v="991"/>
    <x v="501"/>
    <s v="Aditya Joshi"/>
    <s v="Consumer"/>
    <x v="1"/>
    <x v="3"/>
    <x v="3"/>
    <s v="Outdoor Gear"/>
    <x v="12"/>
    <n v="1"/>
    <n v="7786.49"/>
    <n v="7786.49"/>
    <x v="0"/>
    <n v="1749.84"/>
    <n v="107.57"/>
    <x v="0"/>
    <x v="3"/>
    <n v="0.22472770144185633"/>
  </r>
  <r>
    <x v="992"/>
    <x v="502"/>
    <s v="Riya Patel"/>
    <s v="Consumer"/>
    <x v="0"/>
    <x v="12"/>
    <x v="1"/>
    <s v="Appliances"/>
    <x v="40"/>
    <n v="3"/>
    <n v="4165.2"/>
    <n v="12495.6"/>
    <x v="0"/>
    <n v="1450.73"/>
    <n v="282.55"/>
    <x v="1"/>
    <x v="0"/>
    <n v="0.11609926694196357"/>
  </r>
  <r>
    <x v="993"/>
    <x v="503"/>
    <s v="Sai Patel"/>
    <s v="Corporate"/>
    <x v="0"/>
    <x v="4"/>
    <x v="4"/>
    <s v="Makeup"/>
    <x v="59"/>
    <n v="2"/>
    <n v="616.04999999999995"/>
    <n v="1108.8900000000001"/>
    <x v="2"/>
    <n v="210.83"/>
    <n v="278.88"/>
    <x v="2"/>
    <x v="0"/>
    <n v="0.19012706400093787"/>
  </r>
  <r>
    <x v="994"/>
    <x v="503"/>
    <s v="Priya Sharma"/>
    <s v="Consumer"/>
    <x v="3"/>
    <x v="6"/>
    <x v="1"/>
    <s v="Cookware"/>
    <x v="78"/>
    <n v="1"/>
    <n v="9916.9500000000007"/>
    <n v="9916.9500000000007"/>
    <x v="0"/>
    <n v="1441.85"/>
    <n v="170.98"/>
    <x v="3"/>
    <x v="0"/>
    <n v="0.14539248458447404"/>
  </r>
  <r>
    <x v="995"/>
    <x v="503"/>
    <s v="Aadhya Iyer"/>
    <s v="Consumer"/>
    <x v="3"/>
    <x v="6"/>
    <x v="0"/>
    <s v="Cameras"/>
    <x v="0"/>
    <n v="1"/>
    <n v="16264.23"/>
    <n v="14637.81"/>
    <x v="2"/>
    <n v="611.59"/>
    <n v="273.19"/>
    <x v="3"/>
    <x v="3"/>
    <n v="4.178152332896793E-2"/>
  </r>
  <r>
    <x v="996"/>
    <x v="503"/>
    <s v="Rohan Nair"/>
    <s v="Consumer"/>
    <x v="1"/>
    <x v="3"/>
    <x v="0"/>
    <s v="Cameras"/>
    <x v="0"/>
    <n v="4"/>
    <n v="46305.1"/>
    <n v="166698.35999999999"/>
    <x v="2"/>
    <n v="6590.42"/>
    <n v="95.06"/>
    <x v="3"/>
    <x v="2"/>
    <n v="3.9535002024015116E-2"/>
  </r>
  <r>
    <x v="997"/>
    <x v="503"/>
    <s v="Kabir Patel"/>
    <s v="Consumer"/>
    <x v="3"/>
    <x v="6"/>
    <x v="5"/>
    <s v="Footwear"/>
    <x v="37"/>
    <n v="1"/>
    <n v="1028.04"/>
    <n v="822.43"/>
    <x v="5"/>
    <n v="85.41"/>
    <n v="185.46"/>
    <x v="3"/>
    <x v="0"/>
    <n v="0.10385078365332004"/>
  </r>
  <r>
    <x v="998"/>
    <x v="504"/>
    <s v="Reyansh Chopra"/>
    <s v="Consumer"/>
    <x v="3"/>
    <x v="10"/>
    <x v="3"/>
    <s v="Apparel"/>
    <x v="66"/>
    <n v="1"/>
    <n v="10105.76"/>
    <n v="8589.9"/>
    <x v="1"/>
    <n v="1445.15"/>
    <n v="219.22"/>
    <x v="0"/>
    <x v="0"/>
    <n v="0.16823827984027756"/>
  </r>
  <r>
    <x v="999"/>
    <x v="505"/>
    <s v="Ayaan Patel"/>
    <s v="Consumer"/>
    <x v="1"/>
    <x v="1"/>
    <x v="4"/>
    <s v="Skincare"/>
    <x v="26"/>
    <n v="1"/>
    <n v="869.63"/>
    <n v="869.63"/>
    <x v="0"/>
    <n v="222.98"/>
    <n v="317.83"/>
    <x v="0"/>
    <x v="3"/>
    <n v="0.256407897611627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1E4C6B-225E-4DD4-9654-09761C2B3ECA}" name="PivotTable40" cacheId="1"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3">
  <location ref="C531:C532" firstHeaderRow="1" firstDataRow="1" firstDataCol="0"/>
  <pivotFields count="22">
    <pivotField showAll="0"/>
    <pivotField numFmtId="165" showAll="0">
      <items count="15">
        <item x="0"/>
        <item x="1"/>
        <item x="2"/>
        <item x="3"/>
        <item x="4"/>
        <item x="5"/>
        <item x="6"/>
        <item x="7"/>
        <item x="8"/>
        <item x="9"/>
        <item x="10"/>
        <item x="11"/>
        <item x="12"/>
        <item x="13"/>
        <item t="default"/>
      </items>
    </pivotField>
    <pivotField showAll="0"/>
    <pivotField showAll="0"/>
    <pivotField showAll="0">
      <items count="5">
        <item x="1"/>
        <item x="2"/>
        <item x="3"/>
        <item x="0"/>
        <item t="default"/>
      </items>
    </pivotField>
    <pivotField showAll="0"/>
    <pivotField showAll="0"/>
    <pivotField showAll="0"/>
    <pivotField showAll="0"/>
    <pivotField showAll="0"/>
    <pivotField numFmtId="4" showAll="0"/>
    <pivotField numFmtId="4" showAll="0"/>
    <pivotField numFmtId="164" showAll="0"/>
    <pivotField dataField="1" numFmtId="4" showAll="0"/>
    <pivotField numFmtId="4" showAll="0"/>
    <pivotField showAll="0"/>
    <pivotField showAll="0"/>
    <pivotField numFmtId="168" showAll="0"/>
    <pivotField showAll="0" defaultSubtotal="0">
      <items count="6">
        <item sd="0" x="0"/>
        <item sd="0" x="1"/>
        <item sd="0" x="2"/>
        <item sd="0" x="3"/>
        <item sd="0" x="4"/>
        <item sd="0" x="5"/>
      </items>
    </pivotField>
    <pivotField showAll="0" defaultSubtotal="0">
      <items count="4">
        <item sd="0" x="0"/>
        <item sd="0" x="1"/>
        <item sd="0" x="2"/>
        <item sd="0" x="3"/>
      </items>
    </pivotField>
    <pivotField dragToRow="0" dragToCol="0" dragToPage="0" showAll="0" defaultSubtotal="0"/>
    <pivotField dragToRow="0" dragToCol="0" dragToPage="0" showAll="0" defaultSubtotal="0"/>
  </pivotFields>
  <rowItems count="1">
    <i/>
  </rowItems>
  <colItems count="1">
    <i/>
  </colItems>
  <dataFields count="1">
    <dataField name="Sum of Profit" fld="13" baseField="4" baseItem="0" numFmtId="176"/>
  </dataFields>
  <formats count="7">
    <format dxfId="7">
      <pivotArea outline="0" collapsedLevelsAreSubtotals="1" fieldPosition="0"/>
    </format>
    <format dxfId="8">
      <pivotArea outline="0" collapsedLevelsAreSubtotals="1" fieldPosition="0"/>
    </format>
    <format dxfId="9">
      <pivotArea outline="0" collapsedLevelsAreSubtotals="1" fieldPosition="0"/>
    </format>
    <format dxfId="10">
      <pivotArea outline="0" collapsedLevelsAreSubtotals="1" fieldPosition="0"/>
    </format>
    <format dxfId="11">
      <pivotArea outline="0" collapsedLevelsAreSubtotals="1" fieldPosition="0"/>
    </format>
    <format dxfId="12">
      <pivotArea outline="0" collapsedLevelsAreSubtotals="1" fieldPosition="0"/>
    </format>
    <format dxfId="13">
      <pivotArea outline="0" fieldPosition="0">
        <references count="1">
          <reference field="4294967294" count="1">
            <x v="0"/>
          </reference>
        </references>
      </pivotArea>
    </format>
  </formats>
  <chartFormats count="2">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9" name="Order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12A8CA-F349-4399-9127-C9F5F7D1D947}" name="PivotTable38"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A531:B536" firstHeaderRow="1" firstDataRow="1" firstDataCol="1"/>
  <pivotFields count="22">
    <pivotField showAll="0"/>
    <pivotField numFmtId="165" showAll="0">
      <items count="15">
        <item x="0"/>
        <item x="1"/>
        <item x="2"/>
        <item x="3"/>
        <item x="4"/>
        <item x="5"/>
        <item x="6"/>
        <item x="7"/>
        <item x="8"/>
        <item x="9"/>
        <item x="10"/>
        <item x="11"/>
        <item x="12"/>
        <item x="13"/>
        <item t="default"/>
      </items>
    </pivotField>
    <pivotField showAll="0"/>
    <pivotField showAll="0"/>
    <pivotField axis="axisRow" showAll="0">
      <items count="5">
        <item x="1"/>
        <item x="2"/>
        <item x="3"/>
        <item x="0"/>
        <item t="default"/>
      </items>
    </pivotField>
    <pivotField showAll="0"/>
    <pivotField showAll="0"/>
    <pivotField showAll="0"/>
    <pivotField showAll="0"/>
    <pivotField showAll="0"/>
    <pivotField numFmtId="4" showAll="0"/>
    <pivotField numFmtId="4" showAll="0"/>
    <pivotField numFmtId="164" showAll="0"/>
    <pivotField dataField="1" numFmtId="4" showAll="0"/>
    <pivotField numFmtId="4" showAll="0"/>
    <pivotField showAll="0"/>
    <pivotField showAll="0"/>
    <pivotField numFmtId="168" showAll="0"/>
    <pivotField showAll="0" defaultSubtotal="0">
      <items count="6">
        <item sd="0" x="0"/>
        <item sd="0" x="1"/>
        <item sd="0" x="2"/>
        <item sd="0" x="3"/>
        <item sd="0" x="4"/>
        <item sd="0" x="5"/>
      </items>
    </pivotField>
    <pivotField showAll="0" defaultSubtotal="0">
      <items count="4">
        <item sd="0" x="0"/>
        <item sd="0" x="1"/>
        <item sd="0" x="2"/>
        <item sd="0" x="3"/>
      </items>
    </pivotField>
    <pivotField dragToRow="0" dragToCol="0" dragToPage="0" showAll="0" defaultSubtotal="0"/>
    <pivotField dragToRow="0" dragToCol="0" dragToPage="0" showAll="0" defaultSubtotal="0"/>
  </pivotFields>
  <rowFields count="1">
    <field x="4"/>
  </rowFields>
  <rowItems count="5">
    <i>
      <x/>
    </i>
    <i>
      <x v="1"/>
    </i>
    <i>
      <x v="2"/>
    </i>
    <i>
      <x v="3"/>
    </i>
    <i t="grand">
      <x/>
    </i>
  </rowItems>
  <colItems count="1">
    <i/>
  </colItems>
  <dataFields count="1">
    <dataField name="Sum of Profit" fld="13" baseField="4" baseItem="0" numFmtId="176"/>
  </dataFields>
  <formats count="7">
    <format dxfId="14">
      <pivotArea outline="0" collapsedLevelsAreSubtotals="1" fieldPosition="0"/>
    </format>
    <format dxfId="15">
      <pivotArea outline="0" collapsedLevelsAreSubtotals="1" fieldPosition="0"/>
    </format>
    <format dxfId="16">
      <pivotArea outline="0" collapsedLevelsAreSubtotals="1" fieldPosition="0"/>
    </format>
    <format dxfId="17">
      <pivotArea outline="0" collapsedLevelsAreSubtotals="1" fieldPosition="0"/>
    </format>
    <format dxfId="18">
      <pivotArea outline="0" collapsedLevelsAreSubtotals="1" fieldPosition="0"/>
    </format>
    <format dxfId="19">
      <pivotArea outline="0" collapsedLevelsAreSubtotals="1" fieldPosition="0"/>
    </format>
    <format dxfId="20">
      <pivotArea outline="0" fieldPosition="0">
        <references count="1">
          <reference field="4294967294" count="1">
            <x v="0"/>
          </reference>
        </references>
      </pivotArea>
    </format>
  </formats>
  <chartFormats count="2">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9" name="Order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D000000}" name="PivotTable2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68:B173" firstHeaderRow="1" firstDataRow="1" firstDataCol="1"/>
  <pivotFields count="22">
    <pivotField showAll="0"/>
    <pivotField numFmtId="165" showAll="0"/>
    <pivotField showAll="0"/>
    <pivotField showAll="0"/>
    <pivotField axis="axisRow" showAll="0">
      <items count="5">
        <item x="0"/>
        <item x="3"/>
        <item x="2"/>
        <item x="1"/>
        <item t="default"/>
      </items>
    </pivotField>
    <pivotField showAll="0"/>
    <pivotField showAll="0"/>
    <pivotField showAll="0"/>
    <pivotField showAll="0"/>
    <pivotField showAll="0"/>
    <pivotField numFmtId="4" showAll="0"/>
    <pivotField numFmtId="4" showAll="0"/>
    <pivotField numFmtId="164" showAll="0"/>
    <pivotField numFmtId="4" showAll="0"/>
    <pivotField numFmtId="4" showAll="0"/>
    <pivotField showAll="0"/>
    <pivotField showAll="0"/>
    <pivotField numFmtId="168" showAll="0"/>
    <pivotField showAll="0" defaultSubtotal="0"/>
    <pivotField showAll="0" defaultSubtotal="0"/>
    <pivotField dragToRow="0" dragToCol="0" dragToPage="0" showAll="0" defaultSubtotal="0"/>
    <pivotField dataField="1" dragToRow="0" dragToCol="0" dragToPage="0" showAll="0" defaultSubtotal="0"/>
  </pivotFields>
  <rowFields count="1">
    <field x="4"/>
  </rowFields>
  <rowItems count="5">
    <i>
      <x/>
    </i>
    <i>
      <x v="1"/>
    </i>
    <i>
      <x v="2"/>
    </i>
    <i>
      <x v="3"/>
    </i>
    <i t="grand">
      <x/>
    </i>
  </rowItems>
  <colItems count="1">
    <i/>
  </colItems>
  <dataFields count="1">
    <dataField name="Sum of NET SALES" fld="21" baseField="0" baseItem="0" numFmtId="167"/>
  </dataFields>
  <formats count="6">
    <format dxfId="26">
      <pivotArea outline="0" collapsedLevelsAreSubtotals="1" fieldPosition="0"/>
    </format>
    <format dxfId="25">
      <pivotArea outline="0" collapsedLevelsAreSubtotals="1" fieldPosition="0"/>
    </format>
    <format dxfId="24">
      <pivotArea outline="0" collapsedLevelsAreSubtotals="1" fieldPosition="0"/>
    </format>
    <format dxfId="23">
      <pivotArea outline="0" collapsedLevelsAreSubtotals="1" fieldPosition="0"/>
    </format>
    <format dxfId="22">
      <pivotArea outline="0" collapsedLevelsAreSubtotals="1" fieldPosition="0"/>
    </format>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9000000}" name="PivotTable7"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rowHeaderCaption="">
  <location ref="BD158:BD165" firstHeaderRow="1" firstDataRow="1" firstDataCol="1"/>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items count="7">
        <item x="4"/>
        <item x="2"/>
        <item x="5"/>
        <item x="0"/>
        <item x="1"/>
        <item x="3"/>
        <item t="default"/>
      </items>
    </pivotField>
    <pivotField showAll="0"/>
    <pivotField showAll="0"/>
    <pivotField showAll="0"/>
    <pivotField numFmtId="4" showAll="0"/>
    <pivotField numFmtId="4" showAll="0"/>
    <pivotField numFmtId="164" showAll="0"/>
    <pivotField numFmtId="4" showAll="0"/>
    <pivotField numFmtId="4"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6"/>
  </rowFields>
  <rowItems count="7">
    <i>
      <x/>
    </i>
    <i>
      <x v="1"/>
    </i>
    <i>
      <x v="2"/>
    </i>
    <i>
      <x v="3"/>
    </i>
    <i>
      <x v="4"/>
    </i>
    <i>
      <x v="5"/>
    </i>
    <i t="grand">
      <x/>
    </i>
  </rowItems>
  <colItems count="1">
    <i/>
  </colItems>
  <formats count="6">
    <format dxfId="32">
      <pivotArea outline="0" collapsedLevelsAreSubtotals="1" fieldPosition="0"/>
    </format>
    <format dxfId="31">
      <pivotArea outline="0" collapsedLevelsAreSubtotals="1" fieldPosition="0"/>
    </format>
    <format dxfId="30">
      <pivotArea outline="0" collapsedLevelsAreSubtotals="1" fieldPosition="0"/>
    </format>
    <format dxfId="29">
      <pivotArea outline="0" collapsedLevelsAreSubtotals="1" fieldPosition="0"/>
    </format>
    <format dxfId="28">
      <pivotArea outline="0" collapsedLevelsAreSubtotals="1" fieldPosition="0"/>
    </format>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1F000000}" name="PivotTable17" cacheId="0" applyNumberFormats="0" applyBorderFormats="0" applyFontFormats="0" applyPatternFormats="0" applyAlignmentFormats="0" applyWidthHeightFormats="1" dataCaption="Values" updatedVersion="8" minRefreshableVersion="5" itemPrintTitles="1" createdVersion="6" indent="0" outline="1" outlineData="1" multipleFieldFilters="0" rowHeaderCaption="REGION">
  <location ref="A85:D91" firstHeaderRow="1" firstDataRow="2" firstDataCol="1"/>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numFmtId="4" showAll="0"/>
    <pivotField dataField="1" numFmtId="4" showAll="0"/>
    <pivotField numFmtId="164" showAll="0"/>
    <pivotField numFmtId="4" showAll="0"/>
    <pivotField numFmtId="4" showAll="0"/>
    <pivotField showAll="0"/>
    <pivotField showAll="0"/>
    <pivotField axis="axisRow" showAll="0" defaultSubtotal="0">
      <items count="6">
        <item sd="0" x="0"/>
        <item sd="0" x="1"/>
        <item sd="0" x="2"/>
        <item sd="0" x="3"/>
        <item sd="0" x="4"/>
        <item sd="0" x="5"/>
      </items>
    </pivotField>
    <pivotField axis="axisCol" showAll="0" defaultSubtotal="0">
      <items count="4">
        <item sd="0" x="0"/>
        <item sd="0" x="1"/>
        <item sd="0" x="2"/>
        <item sd="0" x="3"/>
      </items>
    </pivotField>
  </pivotFields>
  <rowFields count="1">
    <field x="17"/>
  </rowFields>
  <rowItems count="5">
    <i>
      <x v="1"/>
    </i>
    <i>
      <x v="2"/>
    </i>
    <i>
      <x v="3"/>
    </i>
    <i>
      <x v="4"/>
    </i>
    <i t="grand">
      <x/>
    </i>
  </rowItems>
  <colFields count="1">
    <field x="18"/>
  </colFields>
  <colItems count="3">
    <i>
      <x v="1"/>
    </i>
    <i>
      <x v="2"/>
    </i>
    <i t="grand">
      <x/>
    </i>
  </colItems>
  <dataFields count="1">
    <dataField name="Sum of Sales" fld="11" showDataAs="percentOfCol" baseField="0" baseItem="0" numFmtId="10"/>
  </dataFields>
  <formats count="4">
    <format dxfId="36">
      <pivotArea outline="0" collapsedLevelsAreSubtotals="1" fieldPosition="0"/>
    </format>
    <format dxfId="35">
      <pivotArea outline="0" collapsedLevelsAreSubtotals="1" fieldPosition="0"/>
    </format>
    <format dxfId="34">
      <pivotArea outline="0" collapsedLevelsAreSubtotals="1" fieldPosition="0"/>
    </format>
    <format dxfId="3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25000000}" name="PivotTable37" cacheId="0" applyNumberFormats="0" applyBorderFormats="0" applyFontFormats="0" applyPatternFormats="0" applyAlignmentFormats="0" applyWidthHeightFormats="1" dataCaption="Values" updatedVersion="8" minRefreshableVersion="5" itemPrintTitles="1" createdVersion="6" indent="0" outline="1" outlineData="1" multipleFieldFilters="0" chartFormat="8" rowHeaderCaption="REGION">
  <location ref="H22:I37" firstHeaderRow="1" firstDataRow="1" firstDataCol="1"/>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axis="axisRow" showAll="0">
      <items count="15">
        <item x="0"/>
        <item x="5"/>
        <item x="13"/>
        <item x="7"/>
        <item x="9"/>
        <item x="2"/>
        <item x="3"/>
        <item x="12"/>
        <item x="6"/>
        <item x="1"/>
        <item x="11"/>
        <item x="8"/>
        <item x="10"/>
        <item x="4"/>
        <item t="default"/>
      </items>
    </pivotField>
    <pivotField showAll="0"/>
    <pivotField showAll="0"/>
    <pivotField showAll="0"/>
    <pivotField showAll="0"/>
    <pivotField numFmtId="4" showAll="0"/>
    <pivotField dataField="1" numFmtId="4" showAll="0"/>
    <pivotField numFmtId="164" showAll="0"/>
    <pivotField numFmtId="4" showAll="0"/>
    <pivotField numFmtId="4"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5"/>
  </rowFields>
  <rowItems count="15">
    <i>
      <x/>
    </i>
    <i>
      <x v="1"/>
    </i>
    <i>
      <x v="2"/>
    </i>
    <i>
      <x v="3"/>
    </i>
    <i>
      <x v="4"/>
    </i>
    <i>
      <x v="5"/>
    </i>
    <i>
      <x v="6"/>
    </i>
    <i>
      <x v="7"/>
    </i>
    <i>
      <x v="8"/>
    </i>
    <i>
      <x v="9"/>
    </i>
    <i>
      <x v="10"/>
    </i>
    <i>
      <x v="11"/>
    </i>
    <i>
      <x v="12"/>
    </i>
    <i>
      <x v="13"/>
    </i>
    <i t="grand">
      <x/>
    </i>
  </rowItems>
  <colItems count="1">
    <i/>
  </colItems>
  <dataFields count="1">
    <dataField name="Sum of Sales" fld="11" baseField="4" baseItem="0" numFmtId="44"/>
  </dataFields>
  <formats count="3">
    <format dxfId="39">
      <pivotArea outline="0" collapsedLevelsAreSubtotals="1" fieldPosition="0"/>
    </format>
    <format dxfId="38">
      <pivotArea outline="0" collapsedLevelsAreSubtotals="1" fieldPosition="0"/>
    </format>
    <format dxfId="37">
      <pivotArea outline="0" collapsedLevelsAreSubtotals="1" fieldPosition="0"/>
    </format>
  </formats>
  <chartFormats count="5">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7"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22000000}" name="PivotTable21" cacheId="0" applyNumberFormats="0" applyBorderFormats="0" applyFontFormats="0" applyPatternFormats="0" applyAlignmentFormats="0" applyWidthHeightFormats="1" dataCaption="Values" updatedVersion="8" minRefreshableVersion="5" itemPrintTitles="1" createdVersion="6" indent="0" outline="1" outlineData="1" multipleFieldFilters="0" rowHeaderCaption="REGION">
  <location ref="A109:B116" firstHeaderRow="1" firstDataRow="1" firstDataCol="1"/>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items count="7">
        <item x="4"/>
        <item x="2"/>
        <item x="5"/>
        <item x="0"/>
        <item x="1"/>
        <item x="3"/>
        <item t="default"/>
      </items>
    </pivotField>
    <pivotField showAll="0"/>
    <pivotField showAll="0"/>
    <pivotField showAll="0"/>
    <pivotField numFmtId="4" showAll="0"/>
    <pivotField dataField="1" numFmtId="4" showAll="0"/>
    <pivotField numFmtId="164" showAll="0"/>
    <pivotField numFmtId="4" showAll="0"/>
    <pivotField numFmtId="4" showAll="0"/>
    <pivotField showAll="0"/>
    <pivotField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6"/>
  </rowFields>
  <rowItems count="7">
    <i>
      <x/>
    </i>
    <i>
      <x v="1"/>
    </i>
    <i>
      <x v="2"/>
    </i>
    <i>
      <x v="3"/>
    </i>
    <i>
      <x v="4"/>
    </i>
    <i>
      <x v="5"/>
    </i>
    <i t="grand">
      <x/>
    </i>
  </rowItems>
  <colItems count="1">
    <i/>
  </colItems>
  <dataFields count="1">
    <dataField name="Sum of Sales" fld="11" showDataAs="percentOfTotal" baseField="0" baseItem="0" numFmtId="10"/>
  </dataFields>
  <formats count="4">
    <format dxfId="43">
      <pivotArea outline="0" collapsedLevelsAreSubtotals="1" fieldPosition="0"/>
    </format>
    <format dxfId="42">
      <pivotArea outline="0" collapsedLevelsAreSubtotals="1" fieldPosition="0"/>
    </format>
    <format dxfId="41">
      <pivotArea outline="0" collapsedLevelsAreSubtotals="1" fieldPosition="0"/>
    </format>
    <format dxfId="4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3"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rowHeaderCaption="CUSTOMER SEGMENT">
  <location ref="A19:C23" firstHeaderRow="0" firstDataRow="1" firstDataCol="1"/>
  <pivotFields count="19">
    <pivotField dataField="1" showAll="0"/>
    <pivotField numFmtId="165" showAll="0">
      <items count="15">
        <item x="0"/>
        <item x="1"/>
        <item x="2"/>
        <item x="3"/>
        <item x="4"/>
        <item x="5"/>
        <item x="6"/>
        <item x="7"/>
        <item x="8"/>
        <item x="9"/>
        <item x="10"/>
        <item x="11"/>
        <item x="12"/>
        <item x="13"/>
        <item t="default"/>
      </items>
    </pivotField>
    <pivotField showAll="0"/>
    <pivotField axis="axisRow" showAll="0">
      <items count="4">
        <item x="2"/>
        <item x="0"/>
        <item x="1"/>
        <item t="default"/>
      </items>
    </pivotField>
    <pivotField showAll="0"/>
    <pivotField showAll="0"/>
    <pivotField showAll="0"/>
    <pivotField showAll="0"/>
    <pivotField showAll="0"/>
    <pivotField showAll="0"/>
    <pivotField numFmtId="4" showAll="0"/>
    <pivotField numFmtId="4" showAll="0"/>
    <pivotField numFmtId="164" showAll="0"/>
    <pivotField numFmtId="4" showAll="0"/>
    <pivotField numFmtId="4"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3"/>
  </rowFields>
  <rowItems count="4">
    <i>
      <x/>
    </i>
    <i>
      <x v="1"/>
    </i>
    <i>
      <x v="2"/>
    </i>
    <i t="grand">
      <x/>
    </i>
  </rowItems>
  <colFields count="1">
    <field x="-2"/>
  </colFields>
  <colItems count="2">
    <i>
      <x/>
    </i>
    <i i="1">
      <x v="1"/>
    </i>
  </colItems>
  <dataFields count="2">
    <dataField name="Count of Order ID" fld="0" subtotal="count" baseField="0" baseItem="0"/>
    <dataField name="PERCENTAGE" fld="0" subtotal="count" showDataAs="percentOfCol" baseField="3" baseItem="1" numFmtId="9"/>
  </dataFields>
  <formats count="8">
    <format dxfId="51">
      <pivotArea outline="0" collapsedLevelsAreSubtotals="1" fieldPosition="0"/>
    </format>
    <format dxfId="50">
      <pivotArea outline="0" collapsedLevelsAreSubtotals="1" fieldPosition="0"/>
    </format>
    <format dxfId="49">
      <pivotArea outline="0" collapsedLevelsAreSubtotals="1" fieldPosition="0"/>
    </format>
    <format dxfId="48">
      <pivotArea outline="0" collapsedLevelsAreSubtotals="1" fieldPosition="0"/>
    </format>
    <format dxfId="47">
      <pivotArea outline="0" collapsedLevelsAreSubtotals="1" fieldPosition="0"/>
    </format>
    <format dxfId="46">
      <pivotArea outline="0" fieldPosition="0">
        <references count="1">
          <reference field="4294967294" count="1">
            <x v="1"/>
          </reference>
        </references>
      </pivotArea>
    </format>
    <format dxfId="45">
      <pivotArea outline="0" collapsedLevelsAreSubtotals="1" fieldPosition="0">
        <references count="1">
          <reference field="4294967294" count="1" selected="0">
            <x v="1"/>
          </reference>
        </references>
      </pivotArea>
    </format>
    <format dxfId="44">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18" cacheId="0" applyNumberFormats="0" applyBorderFormats="0" applyFontFormats="0" applyPatternFormats="0" applyAlignmentFormats="0" applyWidthHeightFormats="1" dataCaption="Values" updatedVersion="8" minRefreshableVersion="5" itemPrintTitles="1" createdVersion="6" indent="0" outline="1" outlineData="1" multipleFieldFilters="0" rowHeaderCaption="REGION">
  <location ref="G85:J91" firstHeaderRow="1" firstDataRow="2" firstDataCol="1"/>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numFmtId="4" showAll="0"/>
    <pivotField dataField="1" numFmtId="4" showAll="0"/>
    <pivotField numFmtId="164" showAll="0"/>
    <pivotField numFmtId="4" showAll="0"/>
    <pivotField numFmtId="4" showAll="0"/>
    <pivotField showAll="0"/>
    <pivotField showAll="0"/>
    <pivotField axis="axisRow" showAll="0" defaultSubtotal="0">
      <items count="6">
        <item sd="0" x="0"/>
        <item sd="0" x="1"/>
        <item sd="0" x="2"/>
        <item sd="0" x="3"/>
        <item sd="0" x="4"/>
        <item sd="0" x="5"/>
      </items>
    </pivotField>
    <pivotField axis="axisCol" showAll="0" defaultSubtotal="0">
      <items count="4">
        <item sd="0" x="0"/>
        <item sd="0" x="1"/>
        <item sd="0" x="2"/>
        <item sd="0" x="3"/>
      </items>
    </pivotField>
  </pivotFields>
  <rowFields count="1">
    <field x="17"/>
  </rowFields>
  <rowItems count="5">
    <i>
      <x v="1"/>
    </i>
    <i>
      <x v="2"/>
    </i>
    <i>
      <x v="3"/>
    </i>
    <i>
      <x v="4"/>
    </i>
    <i t="grand">
      <x/>
    </i>
  </rowItems>
  <colFields count="1">
    <field x="18"/>
  </colFields>
  <colItems count="3">
    <i>
      <x v="1"/>
    </i>
    <i>
      <x v="2"/>
    </i>
    <i t="grand">
      <x/>
    </i>
  </colItems>
  <dataFields count="1">
    <dataField name="Sum of Sales" fld="11" showDataAs="percentOfRow" baseField="0" baseItem="0" numFmtId="10"/>
  </dataFields>
  <formats count="4">
    <format dxfId="55">
      <pivotArea outline="0" collapsedLevelsAreSubtotals="1" fieldPosition="0"/>
    </format>
    <format dxfId="54">
      <pivotArea outline="0" collapsedLevelsAreSubtotals="1" fieldPosition="0"/>
    </format>
    <format dxfId="53">
      <pivotArea outline="0" collapsedLevelsAreSubtotals="1" fieldPosition="0"/>
    </format>
    <format dxfId="5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500-00001C000000}" name="PivotTable2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22:C227" firstHeaderRow="0" firstDataRow="1" firstDataCol="1"/>
  <pivotFields count="22">
    <pivotField showAll="0"/>
    <pivotField numFmtId="165" showAll="0"/>
    <pivotField showAll="0"/>
    <pivotField showAll="0"/>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measureFilter="1" sortType="ascending">
      <autoSortScope>
        <pivotArea dataOnly="0" outline="0" fieldPosition="0">
          <references count="1">
            <reference field="4294967294" count="1" selected="0">
              <x v="1"/>
            </reference>
          </references>
        </pivotArea>
      </autoSortScope>
    </pivotField>
    <pivotField showAll="0"/>
    <pivotField showAll="0"/>
    <pivotField showAll="0"/>
    <pivotField showAll="0"/>
    <pivotField numFmtId="4" showAll="0"/>
    <pivotField dataField="1" numFmtId="4" showAll="0"/>
    <pivotField numFmtId="164" showAll="0"/>
    <pivotField dataField="1" numFmtId="4" showAll="0"/>
    <pivotField numFmtId="4" showAll="0"/>
    <pivotField showAll="0"/>
    <pivotField showAll="0"/>
    <pivotField numFmtId="168" showAll="0"/>
    <pivotField showAll="0" defaultSubtotal="0"/>
    <pivotField showAll="0" defaultSubtotal="0"/>
    <pivotField dragToRow="0" dragToCol="0" dragToPage="0" showAll="0" defaultSubtotal="0"/>
    <pivotField dragToRow="0" dragToCol="0" dragToPage="0" showAll="0" defaultSubtotal="0"/>
  </pivotFields>
  <rowFields count="1">
    <field x="4"/>
  </rowFields>
  <rowItems count="5">
    <i>
      <x v="2"/>
    </i>
    <i>
      <x/>
    </i>
    <i>
      <x v="3"/>
    </i>
    <i>
      <x v="1"/>
    </i>
    <i t="grand">
      <x/>
    </i>
  </rowItems>
  <colFields count="1">
    <field x="-2"/>
  </colFields>
  <colItems count="2">
    <i>
      <x/>
    </i>
    <i i="1">
      <x v="1"/>
    </i>
  </colItems>
  <dataFields count="2">
    <dataField name="Sum of Sales" fld="11" baseField="0" baseItem="0"/>
    <dataField name="Sum of Profit" fld="13" baseField="0" baseItem="0"/>
  </dataFields>
  <formats count="6">
    <format dxfId="61">
      <pivotArea outline="0" collapsedLevelsAreSubtotals="1" fieldPosition="0"/>
    </format>
    <format dxfId="60">
      <pivotArea outline="0" collapsedLevelsAreSubtotals="1" fieldPosition="0"/>
    </format>
    <format dxfId="59">
      <pivotArea outline="0" collapsedLevelsAreSubtotals="1" fieldPosition="0"/>
    </format>
    <format dxfId="58">
      <pivotArea outline="0" collapsedLevelsAreSubtotals="1" fieldPosition="0"/>
    </format>
    <format dxfId="57">
      <pivotArea outline="0" collapsedLevelsAreSubtotals="1" fieldPosition="0"/>
    </format>
    <format dxfId="56">
      <pivotArea outline="0" collapsedLevelsAreSubtotals="1" fieldPosition="0"/>
    </format>
  </formats>
  <conditionalFormats count="2">
    <conditionalFormat priority="11">
      <pivotAreas count="1">
        <pivotArea type="data" collapsedLevelsAreSubtotals="1" fieldPosition="0">
          <references count="2">
            <reference field="4294967294" count="1" selected="0">
              <x v="0"/>
            </reference>
            <reference field="4" count="4">
              <x v="0"/>
              <x v="1"/>
              <x v="2"/>
              <x v="3"/>
            </reference>
          </references>
        </pivotArea>
      </pivotAreas>
    </conditionalFormat>
    <conditionalFormat priority="10">
      <pivotAreas count="1">
        <pivotArea type="data" collapsedLevelsAreSubtotals="1" fieldPosition="0">
          <references count="2">
            <reference field="4294967294" count="1" selected="0">
              <x v="1"/>
            </reference>
            <reference field="4" count="4">
              <x v="0"/>
              <x v="1"/>
              <x v="2"/>
              <x v="3"/>
            </reference>
          </references>
        </pivotArea>
      </pivotAreas>
    </conditionalFormat>
  </conditionalFormats>
  <pivotTableStyleInfo name="PivotStyleLight16" showRowHeaders="1" showColHeaders="1" showRowStripes="0" showColStripes="0" showLastColumn="1"/>
  <filters count="1">
    <filter fld="5" type="count" evalOrder="-1" id="2" iMeasureFld="1">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500-000013000000}" name="PivotTable30"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66:B274" firstHeaderRow="1" firstDataRow="1" firstDataCol="1"/>
  <pivotFields count="22">
    <pivotField showAll="0"/>
    <pivotField numFmtId="165" showAll="0"/>
    <pivotField showAll="0"/>
    <pivotField showAll="0"/>
    <pivotField showAll="0"/>
    <pivotField showAll="0" measureFilter="1" sortType="a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4" showAll="0"/>
    <pivotField numFmtId="4" showAll="0"/>
    <pivotField axis="axisRow" numFmtId="164" showAll="0">
      <items count="8">
        <item x="0"/>
        <item x="3"/>
        <item x="2"/>
        <item x="1"/>
        <item x="5"/>
        <item x="4"/>
        <item x="6"/>
        <item t="default"/>
      </items>
    </pivotField>
    <pivotField dataField="1" numFmtId="4" showAll="0"/>
    <pivotField numFmtId="4" showAll="0"/>
    <pivotField showAll="0"/>
    <pivotField showAll="0"/>
    <pivotField numFmtId="168" showAll="0"/>
    <pivotField showAll="0" defaultSubtotal="0"/>
    <pivotField showAll="0" defaultSubtotal="0"/>
    <pivotField dragToRow="0" dragToCol="0" dragToPage="0" showAll="0" defaultSubtotal="0"/>
    <pivotField dragToRow="0" dragToCol="0" dragToPage="0" showAll="0" defaultSubtotal="0"/>
  </pivotFields>
  <rowFields count="1">
    <field x="12"/>
  </rowFields>
  <rowItems count="8">
    <i>
      <x/>
    </i>
    <i>
      <x v="1"/>
    </i>
    <i>
      <x v="2"/>
    </i>
    <i>
      <x v="3"/>
    </i>
    <i>
      <x v="4"/>
    </i>
    <i>
      <x v="5"/>
    </i>
    <i>
      <x v="6"/>
    </i>
    <i t="grand">
      <x/>
    </i>
  </rowItems>
  <colItems count="1">
    <i/>
  </colItems>
  <dataFields count="1">
    <dataField name="Average of Profit" fld="13" subtotal="average" baseField="12" baseItem="3"/>
  </dataFields>
  <formats count="6">
    <format dxfId="67">
      <pivotArea outline="0" collapsedLevelsAreSubtotals="1" fieldPosition="0"/>
    </format>
    <format dxfId="66">
      <pivotArea outline="0" collapsedLevelsAreSubtotals="1" fieldPosition="0"/>
    </format>
    <format dxfId="65">
      <pivotArea outline="0" collapsedLevelsAreSubtotals="1" fieldPosition="0"/>
    </format>
    <format dxfId="64">
      <pivotArea outline="0" collapsedLevelsAreSubtotals="1" fieldPosition="0"/>
    </format>
    <format dxfId="63">
      <pivotArea outline="0" collapsedLevelsAreSubtotals="1" fieldPosition="0"/>
    </format>
    <format dxfId="62">
      <pivotArea outline="0" collapsedLevelsAreSubtotals="1" fieldPosition="0"/>
    </format>
  </formats>
  <pivotTableStyleInfo name="PivotStyleLight16" showRowHeaders="1" showColHeaders="1" showRowStripes="0" showColStripes="0" showLastColumn="1"/>
  <filters count="1">
    <filter fld="5"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500-000007000000}" name="PivotTable9"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rowHeaderCaption="CATEGORY ">
  <location ref="AH102:AI108" firstHeaderRow="1" firstDataRow="1" firstDataCol="1"/>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numFmtId="4" showAll="0"/>
    <pivotField numFmtId="4" showAll="0"/>
    <pivotField dataField="1" numFmtId="164" showAll="0"/>
    <pivotField numFmtId="4" showAll="0"/>
    <pivotField numFmtId="4" showAll="0"/>
    <pivotField axis="axisRow" showAll="0">
      <items count="6">
        <item x="2"/>
        <item x="1"/>
        <item x="0"/>
        <item x="4"/>
        <item x="3"/>
        <item t="default"/>
      </items>
    </pivotField>
    <pivotField showAll="0"/>
    <pivotField showAll="0" defaultSubtotal="0">
      <items count="6">
        <item x="0"/>
        <item x="1"/>
        <item x="2"/>
        <item x="3"/>
        <item x="4"/>
        <item x="5"/>
      </items>
    </pivotField>
    <pivotField showAll="0" defaultSubtotal="0">
      <items count="4">
        <item x="0"/>
        <item x="1"/>
        <item x="2"/>
        <item x="3"/>
      </items>
    </pivotField>
  </pivotFields>
  <rowFields count="1">
    <field x="15"/>
  </rowFields>
  <rowItems count="6">
    <i>
      <x/>
    </i>
    <i>
      <x v="1"/>
    </i>
    <i>
      <x v="2"/>
    </i>
    <i>
      <x v="3"/>
    </i>
    <i>
      <x v="4"/>
    </i>
    <i t="grand">
      <x/>
    </i>
  </rowItems>
  <colItems count="1">
    <i/>
  </colItems>
  <dataFields count="1">
    <dataField name="Average of Discount %" fld="12" subtotal="average" baseField="15" baseItem="0"/>
  </dataFields>
  <formats count="5">
    <format dxfId="72">
      <pivotArea outline="0" collapsedLevelsAreSubtotals="1" fieldPosition="0"/>
    </format>
    <format dxfId="71">
      <pivotArea outline="0" collapsedLevelsAreSubtotals="1" fieldPosition="0"/>
    </format>
    <format dxfId="70">
      <pivotArea outline="0" collapsedLevelsAreSubtotals="1" fieldPosition="0"/>
    </format>
    <format dxfId="69">
      <pivotArea outline="0" collapsedLevelsAreSubtotals="1" fieldPosition="0"/>
    </format>
    <format dxfId="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500-00000B000000}" name="PivotTable11"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rowHeaderCaption="CUSTOMER SEGMENT">
  <location ref="A52:F57" firstHeaderRow="1" firstDataRow="2" firstDataCol="1"/>
  <pivotFields count="19">
    <pivotField dataField="1" showAll="0"/>
    <pivotField numFmtId="165" showAll="0">
      <items count="15">
        <item x="0"/>
        <item x="1"/>
        <item x="2"/>
        <item x="3"/>
        <item x="4"/>
        <item x="5"/>
        <item x="6"/>
        <item x="7"/>
        <item x="8"/>
        <item x="9"/>
        <item x="10"/>
        <item x="11"/>
        <item x="12"/>
        <item x="13"/>
        <item t="default"/>
      </items>
    </pivotField>
    <pivotField showAll="0"/>
    <pivotField axis="axisRow" showAll="0">
      <items count="4">
        <item x="2"/>
        <item x="0"/>
        <item x="1"/>
        <item t="default"/>
      </items>
    </pivotField>
    <pivotField showAll="0"/>
    <pivotField showAll="0"/>
    <pivotField showAll="0"/>
    <pivotField showAll="0"/>
    <pivotField showAll="0"/>
    <pivotField showAll="0"/>
    <pivotField numFmtId="4" showAll="0"/>
    <pivotField numFmtId="4" showAll="0"/>
    <pivotField numFmtId="164" showAll="0"/>
    <pivotField numFmtId="4" showAll="0"/>
    <pivotField numFmtId="4" showAll="0"/>
    <pivotField showAll="0"/>
    <pivotField axis="axisCol" showAll="0">
      <items count="5">
        <item x="1"/>
        <item x="2"/>
        <item x="0"/>
        <item x="3"/>
        <item t="default"/>
      </items>
    </pivotField>
    <pivotField showAll="0" defaultSubtotal="0">
      <items count="6">
        <item x="0"/>
        <item x="1"/>
        <item x="2"/>
        <item x="3"/>
        <item x="4"/>
        <item x="5"/>
      </items>
    </pivotField>
    <pivotField showAll="0" defaultSubtotal="0">
      <items count="4">
        <item x="0"/>
        <item x="1"/>
        <item x="2"/>
        <item x="3"/>
      </items>
    </pivotField>
  </pivotFields>
  <rowFields count="1">
    <field x="3"/>
  </rowFields>
  <rowItems count="4">
    <i>
      <x/>
    </i>
    <i>
      <x v="1"/>
    </i>
    <i>
      <x v="2"/>
    </i>
    <i t="grand">
      <x/>
    </i>
  </rowItems>
  <colFields count="1">
    <field x="16"/>
  </colFields>
  <colItems count="5">
    <i>
      <x/>
    </i>
    <i>
      <x v="1"/>
    </i>
    <i>
      <x v="2"/>
    </i>
    <i>
      <x v="3"/>
    </i>
    <i t="grand">
      <x/>
    </i>
  </colItems>
  <dataFields count="1">
    <dataField name="Count of Order ID" fld="0" subtotal="count" baseField="0" baseItem="0"/>
  </dataFields>
  <formats count="12">
    <format dxfId="84">
      <pivotArea outline="0" collapsedLevelsAreSubtotals="1" fieldPosition="0"/>
    </format>
    <format dxfId="83">
      <pivotArea outline="0" collapsedLevelsAreSubtotals="1" fieldPosition="0"/>
    </format>
    <format dxfId="82">
      <pivotArea outline="0" collapsedLevelsAreSubtotals="1" fieldPosition="0"/>
    </format>
    <format dxfId="81">
      <pivotArea outline="0" collapsedLevelsAreSubtotals="1" fieldPosition="0"/>
    </format>
    <format dxfId="80">
      <pivotArea outline="0" collapsedLevelsAreSubtotals="1" fieldPosition="0"/>
    </format>
    <format dxfId="79">
      <pivotArea outline="0" collapsedLevelsAreSubtotals="1" fieldPosition="0"/>
    </format>
    <format dxfId="78">
      <pivotArea outline="0" collapsedLevelsAreSubtotals="1" fieldPosition="0"/>
    </format>
    <format dxfId="77">
      <pivotArea outline="0" collapsedLevelsAreSubtotals="1" fieldPosition="0"/>
    </format>
    <format dxfId="76">
      <pivotArea outline="0" collapsedLevelsAreSubtotals="1" fieldPosition="0"/>
    </format>
    <format dxfId="75">
      <pivotArea outline="0" collapsedLevelsAreSubtotals="1" fieldPosition="0"/>
    </format>
    <format dxfId="74">
      <pivotArea outline="0" collapsedLevelsAreSubtotals="1" fieldPosition="0"/>
    </format>
    <format dxfId="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500-00000C000000}" name="PivotTable14"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rowHeaderCaption="CUSTOMER SEGMENT">
  <location ref="Q60:U61" firstHeaderRow="1" firstDataRow="2" firstDataCol="0"/>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numFmtId="4" showAll="0"/>
    <pivotField numFmtId="4" showAll="0"/>
    <pivotField numFmtId="164" showAll="0"/>
    <pivotField numFmtId="4" showAll="0"/>
    <pivotField numFmtId="4" showAll="0"/>
    <pivotField showAll="0"/>
    <pivotField axis="axisCol" showAll="0">
      <items count="5">
        <item x="1"/>
        <item x="2"/>
        <item x="0"/>
        <item x="3"/>
        <item t="default"/>
      </items>
    </pivotField>
    <pivotField showAll="0" defaultSubtotal="0">
      <items count="6">
        <item x="0"/>
        <item x="1"/>
        <item x="2"/>
        <item x="3"/>
        <item x="4"/>
        <item x="5"/>
      </items>
    </pivotField>
    <pivotField showAll="0" defaultSubtotal="0">
      <items count="4">
        <item x="0"/>
        <item x="1"/>
        <item x="2"/>
        <item x="3"/>
      </items>
    </pivotField>
  </pivotFields>
  <rowItems count="1">
    <i/>
  </rowItems>
  <colFields count="1">
    <field x="16"/>
  </colFields>
  <colItems count="5">
    <i>
      <x/>
    </i>
    <i>
      <x v="1"/>
    </i>
    <i>
      <x v="2"/>
    </i>
    <i>
      <x v="3"/>
    </i>
    <i t="grand">
      <x/>
    </i>
  </colItems>
  <formats count="12">
    <format dxfId="96">
      <pivotArea outline="0" collapsedLevelsAreSubtotals="1" fieldPosition="0"/>
    </format>
    <format dxfId="95">
      <pivotArea outline="0" collapsedLevelsAreSubtotals="1" fieldPosition="0"/>
    </format>
    <format dxfId="94">
      <pivotArea outline="0" collapsedLevelsAreSubtotals="1" fieldPosition="0"/>
    </format>
    <format dxfId="93">
      <pivotArea outline="0" collapsedLevelsAreSubtotals="1" fieldPosition="0"/>
    </format>
    <format dxfId="92">
      <pivotArea outline="0" collapsedLevelsAreSubtotals="1" fieldPosition="0"/>
    </format>
    <format dxfId="91">
      <pivotArea outline="0" collapsedLevelsAreSubtotals="1" fieldPosition="0"/>
    </format>
    <format dxfId="90">
      <pivotArea outline="0" collapsedLevelsAreSubtotals="1" fieldPosition="0"/>
    </format>
    <format dxfId="89">
      <pivotArea outline="0" collapsedLevelsAreSubtotals="1" fieldPosition="0"/>
    </format>
    <format dxfId="88">
      <pivotArea outline="0" collapsedLevelsAreSubtotals="1" fieldPosition="0"/>
    </format>
    <format dxfId="87">
      <pivotArea outline="0" collapsedLevelsAreSubtotals="1" fieldPosition="0"/>
    </format>
    <format dxfId="86">
      <pivotArea outline="0" collapsedLevelsAreSubtotals="1" fieldPosition="0"/>
    </format>
    <format dxfId="8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500-000011000000}" name="PivotTable35" cacheId="0" applyNumberFormats="0" applyBorderFormats="0" applyFontFormats="0" applyPatternFormats="0" applyAlignmentFormats="0" applyWidthHeightFormats="1" dataCaption="Values" updatedVersion="8" minRefreshableVersion="5" itemPrintTitles="1" createdVersion="6" indent="0" outline="1" outlineData="1" multipleFieldFilters="0" chartFormat="8" rowHeaderCaption="REGION">
  <location ref="H2:K3" firstHeaderRow="0" firstDataRow="1" firstDataCol="0"/>
  <pivotFields count="19">
    <pivotField dataField="1"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numFmtId="4" showAll="0"/>
    <pivotField dataField="1" numFmtId="4" showAll="0"/>
    <pivotField numFmtId="164" showAll="0"/>
    <pivotField dataField="1" numFmtId="4" showAll="0"/>
    <pivotField numFmtId="4" showAll="0"/>
    <pivotField showAll="0"/>
    <pivotField showAll="0"/>
    <pivotField showAll="0" defaultSubtotal="0">
      <items count="6">
        <item x="0"/>
        <item x="1"/>
        <item x="2"/>
        <item x="3"/>
        <item x="4"/>
        <item x="5"/>
      </items>
    </pivotField>
    <pivotField showAll="0" defaultSubtotal="0">
      <items count="4">
        <item x="0"/>
        <item x="1"/>
        <item x="2"/>
        <item x="3"/>
      </items>
    </pivotField>
  </pivotFields>
  <rowItems count="1">
    <i/>
  </rowItems>
  <colFields count="1">
    <field x="-2"/>
  </colFields>
  <colItems count="4">
    <i>
      <x/>
    </i>
    <i i="1">
      <x v="1"/>
    </i>
    <i i="2">
      <x v="2"/>
    </i>
    <i i="3">
      <x v="3"/>
    </i>
  </colItems>
  <dataFields count="4">
    <dataField name="Sum of Profit" fld="13" baseField="0" baseItem="1" numFmtId="172"/>
    <dataField name="Sum of Sales" fld="11" baseField="0" baseItem="1" numFmtId="172"/>
    <dataField name="Count of Order ID" fld="0" subtotal="count" baseField="0" baseItem="2" numFmtId="172"/>
    <dataField name="Average of Sales2" fld="11" subtotal="average" baseField="0" baseItem="3" numFmtId="172"/>
  </dataFields>
  <formats count="9">
    <format dxfId="105">
      <pivotArea outline="0" collapsedLevelsAreSubtotals="1" fieldPosition="0"/>
    </format>
    <format dxfId="104">
      <pivotArea outline="0" collapsedLevelsAreSubtotals="1" fieldPosition="0"/>
    </format>
    <format dxfId="103">
      <pivotArea outline="0" collapsedLevelsAreSubtotals="1" fieldPosition="0"/>
    </format>
    <format dxfId="102">
      <pivotArea outline="0" collapsedLevelsAreSubtotals="1" fieldPosition="0"/>
    </format>
    <format dxfId="101">
      <pivotArea outline="0" collapsedLevelsAreSubtotals="1" fieldPosition="0"/>
    </format>
    <format dxfId="100">
      <pivotArea outline="0" fieldPosition="0">
        <references count="1">
          <reference field="4294967294" count="1">
            <x v="2"/>
          </reference>
        </references>
      </pivotArea>
    </format>
    <format dxfId="99">
      <pivotArea outline="0" fieldPosition="0">
        <references count="1">
          <reference field="4294967294" count="1">
            <x v="1"/>
          </reference>
        </references>
      </pivotArea>
    </format>
    <format dxfId="98">
      <pivotArea outline="0" fieldPosition="0">
        <references count="1">
          <reference field="4294967294" count="1">
            <x v="0"/>
          </reference>
        </references>
      </pivotArea>
    </format>
    <format dxfId="97">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500-00001B000000}" name="PivotTable2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77:B188" firstHeaderRow="1" firstDataRow="1" firstDataCol="1"/>
  <pivotFields count="22">
    <pivotField showAll="0"/>
    <pivotField numFmtId="165" showAll="0"/>
    <pivotField showAll="0"/>
    <pivotField showAll="0"/>
    <pivotField showAll="0"/>
    <pivotField showAll="0"/>
    <pivotField showAll="0"/>
    <pivotField showAll="0"/>
    <pivotField axis="axisRow" showAll="0" measureFilter="1" sortType="descending">
      <items count="100">
        <item x="0"/>
        <item x="57"/>
        <item x="7"/>
        <item x="98"/>
        <item x="26"/>
        <item x="17"/>
        <item x="68"/>
        <item x="76"/>
        <item x="46"/>
        <item x="2"/>
        <item x="34"/>
        <item x="52"/>
        <item x="21"/>
        <item x="33"/>
        <item x="61"/>
        <item x="79"/>
        <item x="32"/>
        <item x="47"/>
        <item x="58"/>
        <item x="20"/>
        <item x="66"/>
        <item x="85"/>
        <item x="80"/>
        <item x="69"/>
        <item x="97"/>
        <item x="42"/>
        <item x="73"/>
        <item x="15"/>
        <item x="16"/>
        <item x="24"/>
        <item x="63"/>
        <item x="54"/>
        <item x="27"/>
        <item x="22"/>
        <item x="35"/>
        <item x="37"/>
        <item x="71"/>
        <item x="74"/>
        <item x="90"/>
        <item x="43"/>
        <item x="77"/>
        <item x="53"/>
        <item x="3"/>
        <item x="93"/>
        <item x="4"/>
        <item x="83"/>
        <item x="95"/>
        <item x="59"/>
        <item x="40"/>
        <item x="28"/>
        <item x="45"/>
        <item x="64"/>
        <item x="41"/>
        <item x="9"/>
        <item x="6"/>
        <item x="72"/>
        <item x="25"/>
        <item x="14"/>
        <item x="91"/>
        <item x="62"/>
        <item x="8"/>
        <item x="50"/>
        <item x="78"/>
        <item x="94"/>
        <item x="92"/>
        <item x="11"/>
        <item x="29"/>
        <item x="65"/>
        <item x="89"/>
        <item x="81"/>
        <item x="86"/>
        <item x="55"/>
        <item x="31"/>
        <item x="44"/>
        <item x="60"/>
        <item x="75"/>
        <item x="5"/>
        <item x="38"/>
        <item x="1"/>
        <item x="84"/>
        <item x="10"/>
        <item x="56"/>
        <item x="30"/>
        <item x="23"/>
        <item x="36"/>
        <item x="87"/>
        <item x="18"/>
        <item x="51"/>
        <item x="12"/>
        <item x="96"/>
        <item x="67"/>
        <item x="70"/>
        <item x="82"/>
        <item x="49"/>
        <item x="48"/>
        <item x="39"/>
        <item x="19"/>
        <item x="88"/>
        <item x="13"/>
        <item t="default"/>
      </items>
      <autoSortScope>
        <pivotArea dataOnly="0" outline="0" fieldPosition="0">
          <references count="1">
            <reference field="4294967294" count="1" selected="0">
              <x v="0"/>
            </reference>
          </references>
        </pivotArea>
      </autoSortScope>
    </pivotField>
    <pivotField showAll="0"/>
    <pivotField numFmtId="4" showAll="0"/>
    <pivotField dataField="1" numFmtId="4" showAll="0"/>
    <pivotField numFmtId="164" showAll="0"/>
    <pivotField numFmtId="4" showAll="0"/>
    <pivotField numFmtId="4" showAll="0"/>
    <pivotField showAll="0"/>
    <pivotField showAll="0"/>
    <pivotField numFmtId="168" showAll="0"/>
    <pivotField showAll="0" defaultSubtotal="0"/>
    <pivotField showAll="0" defaultSubtotal="0"/>
    <pivotField dragToRow="0" dragToCol="0" dragToPage="0" showAll="0" defaultSubtotal="0"/>
    <pivotField dragToRow="0" dragToCol="0" dragToPage="0" showAll="0" defaultSubtotal="0"/>
  </pivotFields>
  <rowFields count="1">
    <field x="8"/>
  </rowFields>
  <rowItems count="11">
    <i>
      <x v="69"/>
    </i>
    <i>
      <x v="60"/>
    </i>
    <i>
      <x v="27"/>
    </i>
    <i>
      <x/>
    </i>
    <i>
      <x v="6"/>
    </i>
    <i>
      <x v="74"/>
    </i>
    <i>
      <x v="59"/>
    </i>
    <i>
      <x v="61"/>
    </i>
    <i>
      <x v="56"/>
    </i>
    <i>
      <x v="89"/>
    </i>
    <i t="grand">
      <x/>
    </i>
  </rowItems>
  <colItems count="1">
    <i/>
  </colItems>
  <dataFields count="1">
    <dataField name="Sum of Sales" fld="11" baseField="0" baseItem="0"/>
  </dataFields>
  <formats count="6">
    <format dxfId="111">
      <pivotArea outline="0" collapsedLevelsAreSubtotals="1" fieldPosition="0"/>
    </format>
    <format dxfId="110">
      <pivotArea outline="0" collapsedLevelsAreSubtotals="1" fieldPosition="0"/>
    </format>
    <format dxfId="109">
      <pivotArea outline="0" collapsedLevelsAreSubtotals="1" fieldPosition="0"/>
    </format>
    <format dxfId="108">
      <pivotArea outline="0" collapsedLevelsAreSubtotals="1" fieldPosition="0"/>
    </format>
    <format dxfId="107">
      <pivotArea outline="0" collapsedLevelsAreSubtotals="1" fieldPosition="0"/>
    </format>
    <format dxfId="106">
      <pivotArea outline="0" collapsedLevelsAreSubtotals="1" fieldPosition="0"/>
    </format>
  </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500-000010000000}" name="PivotTable4"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5" rowHeaderCaption="CATEGORY ">
  <location ref="A25:B32" firstHeaderRow="1" firstDataRow="1" firstDataCol="1"/>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sortType="ascending">
      <items count="7">
        <item x="4"/>
        <item x="2"/>
        <item x="5"/>
        <item x="0"/>
        <item x="1"/>
        <item x="3"/>
        <item t="default"/>
      </items>
    </pivotField>
    <pivotField showAll="0"/>
    <pivotField showAll="0"/>
    <pivotField dataField="1" showAll="0"/>
    <pivotField numFmtId="4" showAll="0"/>
    <pivotField numFmtId="4" showAll="0"/>
    <pivotField numFmtId="164" showAll="0"/>
    <pivotField numFmtId="4" showAll="0"/>
    <pivotField numFmtId="4"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6"/>
  </rowFields>
  <rowItems count="7">
    <i>
      <x/>
    </i>
    <i>
      <x v="1"/>
    </i>
    <i>
      <x v="2"/>
    </i>
    <i>
      <x v="3"/>
    </i>
    <i>
      <x v="4"/>
    </i>
    <i>
      <x v="5"/>
    </i>
    <i t="grand">
      <x/>
    </i>
  </rowItems>
  <colItems count="1">
    <i/>
  </colItems>
  <dataFields count="1">
    <dataField name="Sum of Quantity" fld="9" baseField="6" baseItem="0"/>
  </dataFields>
  <formats count="5">
    <format dxfId="116">
      <pivotArea outline="0" collapsedLevelsAreSubtotals="1" fieldPosition="0"/>
    </format>
    <format dxfId="115">
      <pivotArea outline="0" collapsedLevelsAreSubtotals="1" fieldPosition="0"/>
    </format>
    <format dxfId="114">
      <pivotArea outline="0" collapsedLevelsAreSubtotals="1" fieldPosition="0"/>
    </format>
    <format dxfId="113">
      <pivotArea outline="0" collapsedLevelsAreSubtotals="1" fieldPosition="0"/>
    </format>
    <format dxfId="112">
      <pivotArea outline="0" collapsedLevelsAreSubtotals="1" fieldPosition="0"/>
    </format>
  </formats>
  <chartFormats count="21">
    <chartFormat chart="0" format="0" series="1">
      <pivotArea type="data" outline="0" fieldPosition="0">
        <references count="1">
          <reference field="4294967294" count="1" selected="0">
            <x v="0"/>
          </reference>
        </references>
      </pivotArea>
    </chartFormat>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6" count="1" selected="0">
            <x v="0"/>
          </reference>
        </references>
      </pivotArea>
    </chartFormat>
    <chartFormat chart="4" format="24">
      <pivotArea type="data" outline="0" fieldPosition="0">
        <references count="2">
          <reference field="4294967294" count="1" selected="0">
            <x v="0"/>
          </reference>
          <reference field="6" count="1" selected="0">
            <x v="1"/>
          </reference>
        </references>
      </pivotArea>
    </chartFormat>
    <chartFormat chart="4" format="25">
      <pivotArea type="data" outline="0" fieldPosition="0">
        <references count="2">
          <reference field="4294967294" count="1" selected="0">
            <x v="0"/>
          </reference>
          <reference field="6" count="1" selected="0">
            <x v="2"/>
          </reference>
        </references>
      </pivotArea>
    </chartFormat>
    <chartFormat chart="4" format="26">
      <pivotArea type="data" outline="0" fieldPosition="0">
        <references count="2">
          <reference field="4294967294" count="1" selected="0">
            <x v="0"/>
          </reference>
          <reference field="6" count="1" selected="0">
            <x v="3"/>
          </reference>
        </references>
      </pivotArea>
    </chartFormat>
    <chartFormat chart="4" format="27">
      <pivotArea type="data" outline="0" fieldPosition="0">
        <references count="2">
          <reference field="4294967294" count="1" selected="0">
            <x v="0"/>
          </reference>
          <reference field="6" count="1" selected="0">
            <x v="4"/>
          </reference>
        </references>
      </pivotArea>
    </chartFormat>
    <chartFormat chart="4" format="28">
      <pivotArea type="data" outline="0" fieldPosition="0">
        <references count="2">
          <reference field="4294967294" count="1" selected="0">
            <x v="0"/>
          </reference>
          <reference field="6" count="1" selected="0">
            <x v="5"/>
          </reference>
        </references>
      </pivotArea>
    </chartFormat>
    <chartFormat chart="2" format="16"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0" format="6">
      <pivotArea type="data" outline="0" fieldPosition="0">
        <references count="2">
          <reference field="4294967294" count="1" selected="0">
            <x v="0"/>
          </reference>
          <reference field="6" count="1" selected="0">
            <x v="5"/>
          </reference>
        </references>
      </pivotArea>
    </chartFormat>
    <chartFormat chart="2" format="17">
      <pivotArea type="data" outline="0" fieldPosition="0">
        <references count="2">
          <reference field="4294967294" count="1" selected="0">
            <x v="0"/>
          </reference>
          <reference field="6" count="1" selected="0">
            <x v="0"/>
          </reference>
        </references>
      </pivotArea>
    </chartFormat>
    <chartFormat chart="2" format="18">
      <pivotArea type="data" outline="0" fieldPosition="0">
        <references count="2">
          <reference field="4294967294" count="1" selected="0">
            <x v="0"/>
          </reference>
          <reference field="6" count="1" selected="0">
            <x v="1"/>
          </reference>
        </references>
      </pivotArea>
    </chartFormat>
    <chartFormat chart="2" format="19">
      <pivotArea type="data" outline="0" fieldPosition="0">
        <references count="2">
          <reference field="4294967294" count="1" selected="0">
            <x v="0"/>
          </reference>
          <reference field="6" count="1" selected="0">
            <x v="2"/>
          </reference>
        </references>
      </pivotArea>
    </chartFormat>
    <chartFormat chart="2" format="20">
      <pivotArea type="data" outline="0" fieldPosition="0">
        <references count="2">
          <reference field="4294967294" count="1" selected="0">
            <x v="0"/>
          </reference>
          <reference field="6" count="1" selected="0">
            <x v="3"/>
          </reference>
        </references>
      </pivotArea>
    </chartFormat>
    <chartFormat chart="2" format="21">
      <pivotArea type="data" outline="0" fieldPosition="0">
        <references count="2">
          <reference field="4294967294" count="1" selected="0">
            <x v="0"/>
          </reference>
          <reference field="6" count="1" selected="0">
            <x v="4"/>
          </reference>
        </references>
      </pivotArea>
    </chartFormat>
    <chartFormat chart="2" format="22">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500-000018000000}" name="PivotTable3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I167:J174" firstHeaderRow="1" firstDataRow="1" firstDataCol="1"/>
  <pivotFields count="22">
    <pivotField showAll="0"/>
    <pivotField numFmtId="165" showAll="0"/>
    <pivotField showAll="0"/>
    <pivotField showAll="0"/>
    <pivotField showAll="0"/>
    <pivotField showAll="0"/>
    <pivotField axis="axisRow" showAll="0">
      <items count="7">
        <item x="4"/>
        <item x="2"/>
        <item x="5"/>
        <item x="0"/>
        <item x="1"/>
        <item x="3"/>
        <item t="default"/>
      </items>
    </pivotField>
    <pivotField showAll="0"/>
    <pivotField showAll="0"/>
    <pivotField showAll="0"/>
    <pivotField numFmtId="4" showAll="0"/>
    <pivotField numFmtId="4" showAll="0"/>
    <pivotField numFmtId="164" showAll="0"/>
    <pivotField numFmtId="4" showAll="0"/>
    <pivotField numFmtId="4" showAll="0"/>
    <pivotField showAll="0"/>
    <pivotField showAll="0"/>
    <pivotField numFmtId="168" showAll="0"/>
    <pivotField showAll="0" defaultSubtotal="0"/>
    <pivotField showAll="0" defaultSubtotal="0"/>
    <pivotField dragToRow="0" dragToCol="0" dragToPage="0" showAll="0" defaultSubtotal="0"/>
    <pivotField dataField="1" dragToRow="0" dragToCol="0" dragToPage="0" showAll="0" defaultSubtotal="0"/>
  </pivotFields>
  <rowFields count="1">
    <field x="6"/>
  </rowFields>
  <rowItems count="7">
    <i>
      <x/>
    </i>
    <i>
      <x v="1"/>
    </i>
    <i>
      <x v="2"/>
    </i>
    <i>
      <x v="3"/>
    </i>
    <i>
      <x v="4"/>
    </i>
    <i>
      <x v="5"/>
    </i>
    <i t="grand">
      <x/>
    </i>
  </rowItems>
  <colItems count="1">
    <i/>
  </colItems>
  <dataFields count="1">
    <dataField name="Sum of NET SALES" fld="21" baseField="0" baseItem="0" numFmtId="4"/>
  </dataFields>
  <formats count="6">
    <format dxfId="122">
      <pivotArea outline="0" collapsedLevelsAreSubtotals="1" fieldPosition="0"/>
    </format>
    <format dxfId="121">
      <pivotArea outline="0" collapsedLevelsAreSubtotals="1" fieldPosition="0"/>
    </format>
    <format dxfId="120">
      <pivotArea outline="0" collapsedLevelsAreSubtotals="1" fieldPosition="0"/>
    </format>
    <format dxfId="119">
      <pivotArea outline="0" collapsedLevelsAreSubtotals="1" fieldPosition="0"/>
    </format>
    <format dxfId="118">
      <pivotArea outline="0" collapsedLevelsAreSubtotals="1" fieldPosition="0"/>
    </format>
    <format dxfId="117">
      <pivotArea outline="0" collapsedLevelsAreSubtotals="1"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500-00001A000000}" name="PivotTable12"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rowHeaderCaption="CUSTOMER SEGMENT">
  <location ref="P66:P67" firstHeaderRow="1" firstDataRow="1" firstDataCol="0"/>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numFmtId="4" showAll="0"/>
    <pivotField numFmtId="4" showAll="0"/>
    <pivotField numFmtId="164" showAll="0"/>
    <pivotField dataField="1" numFmtId="4" showAll="0"/>
    <pivotField numFmtId="4" showAll="0"/>
    <pivotField showAll="0"/>
    <pivotField showAll="0"/>
    <pivotField showAll="0" defaultSubtotal="0">
      <items count="6">
        <item x="0"/>
        <item x="1"/>
        <item x="2"/>
        <item x="3"/>
        <item x="4"/>
        <item x="5"/>
      </items>
    </pivotField>
    <pivotField showAll="0" defaultSubtotal="0">
      <items count="4">
        <item x="0"/>
        <item x="1"/>
        <item x="2"/>
        <item x="3"/>
      </items>
    </pivotField>
  </pivotFields>
  <rowItems count="1">
    <i/>
  </rowItems>
  <colItems count="1">
    <i/>
  </colItems>
  <dataFields count="1">
    <dataField name="Sum of Profit" fld="13" showDataAs="percentOfRow" baseField="0" baseItem="0" numFmtId="9"/>
  </dataFields>
  <formats count="18">
    <format dxfId="140">
      <pivotArea outline="0" collapsedLevelsAreSubtotals="1" fieldPosition="0"/>
    </format>
    <format dxfId="139">
      <pivotArea outline="0" collapsedLevelsAreSubtotals="1" fieldPosition="0"/>
    </format>
    <format dxfId="138">
      <pivotArea outline="0" collapsedLevelsAreSubtotals="1" fieldPosition="0"/>
    </format>
    <format dxfId="137">
      <pivotArea outline="0" collapsedLevelsAreSubtotals="1" fieldPosition="0"/>
    </format>
    <format dxfId="136">
      <pivotArea outline="0" collapsedLevelsAreSubtotals="1" fieldPosition="0"/>
    </format>
    <format dxfId="135">
      <pivotArea outline="0" collapsedLevelsAreSubtotals="1" fieldPosition="0"/>
    </format>
    <format dxfId="134">
      <pivotArea outline="0" collapsedLevelsAreSubtotals="1" fieldPosition="0"/>
    </format>
    <format dxfId="133">
      <pivotArea outline="0" collapsedLevelsAreSubtotals="1" fieldPosition="0"/>
    </format>
    <format dxfId="132">
      <pivotArea outline="0" collapsedLevelsAreSubtotals="1" fieldPosition="0"/>
    </format>
    <format dxfId="131">
      <pivotArea outline="0" collapsedLevelsAreSubtotals="1" fieldPosition="0"/>
    </format>
    <format dxfId="130">
      <pivotArea outline="0" collapsedLevelsAreSubtotals="1" fieldPosition="0"/>
    </format>
    <format dxfId="129">
      <pivotArea outline="0" collapsedLevelsAreSubtotals="1" fieldPosition="0"/>
    </format>
    <format dxfId="128">
      <pivotArea outline="0" collapsedLevelsAreSubtotals="1" fieldPosition="0"/>
    </format>
    <format dxfId="127">
      <pivotArea outline="0" fieldPosition="0">
        <references count="1">
          <reference field="4294967294" count="1">
            <x v="0"/>
          </reference>
        </references>
      </pivotArea>
    </format>
    <format dxfId="126">
      <pivotArea outline="0" collapsedLevelsAreSubtotals="1" fieldPosition="0"/>
    </format>
    <format dxfId="125">
      <pivotArea outline="0" collapsedLevelsAreSubtotals="1" fieldPosition="0"/>
    </format>
    <format dxfId="124">
      <pivotArea outline="0" collapsedLevelsAreSubtotals="1" fieldPosition="0"/>
    </format>
    <format dxfId="1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500-000012000000}" name="PivotTable23" cacheId="1" applyNumberFormats="0" applyBorderFormats="0" applyFontFormats="0" applyPatternFormats="0" applyAlignmentFormats="0" applyWidthHeightFormats="1" dataCaption="Values" updatedVersion="6" minRefreshableVersion="3" itemPrintTitles="1" createdVersion="6" indent="0" outline="1" outlineData="1" multipleFieldFilters="0" rowHeaderCaption="REGION">
  <location ref="A125:D139" firstHeaderRow="1" firstDataRow="2" firstDataCol="1"/>
  <pivotFields count="22">
    <pivotField showAll="0"/>
    <pivotField axis="axisRow"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numFmtId="4" showAll="0"/>
    <pivotField dataField="1" numFmtId="4" showAll="0"/>
    <pivotField numFmtId="164" showAll="0"/>
    <pivotField numFmtId="4" showAll="0"/>
    <pivotField numFmtId="4" showAll="0"/>
    <pivotField showAll="0"/>
    <pivotField showAll="0"/>
    <pivotField numFmtId="168" showAll="0" defaultSubtotal="0"/>
    <pivotField showAll="0" defaultSubtotal="0">
      <items count="6">
        <item sd="0" x="0"/>
        <item sd="0" x="1"/>
        <item sd="0" x="2"/>
        <item sd="0" x="3"/>
        <item sd="0" x="4"/>
        <item sd="0" x="5"/>
      </items>
    </pivotField>
    <pivotField axis="axisCol" showAll="0" defaultSubtotal="0">
      <items count="4">
        <item sd="0" x="0"/>
        <item sd="0" x="1"/>
        <item sd="0" x="2"/>
        <item sd="0" x="3"/>
      </items>
    </pivotField>
    <pivotField dragToRow="0" dragToCol="0" dragToPage="0" showAll="0" defaultSubtotal="0"/>
    <pivotField dragToRow="0" dragToCol="0" dragToPage="0" showAll="0" defaultSubtotal="0"/>
  </pivotFields>
  <rowFields count="1">
    <field x="1"/>
  </rowFields>
  <rowItems count="13">
    <i>
      <x v="1"/>
    </i>
    <i>
      <x v="2"/>
    </i>
    <i>
      <x v="3"/>
    </i>
    <i>
      <x v="4"/>
    </i>
    <i>
      <x v="5"/>
    </i>
    <i>
      <x v="6"/>
    </i>
    <i>
      <x v="7"/>
    </i>
    <i>
      <x v="8"/>
    </i>
    <i>
      <x v="9"/>
    </i>
    <i>
      <x v="10"/>
    </i>
    <i>
      <x v="11"/>
    </i>
    <i>
      <x v="12"/>
    </i>
    <i t="grand">
      <x/>
    </i>
  </rowItems>
  <colFields count="1">
    <field x="19"/>
  </colFields>
  <colItems count="3">
    <i>
      <x v="1"/>
    </i>
    <i>
      <x v="2"/>
    </i>
    <i t="grand">
      <x/>
    </i>
  </colItems>
  <dataFields count="1">
    <dataField name="Sum of Sales" fld="11" showDataAs="percent" baseField="1" baseItem="1048828" numFmtId="10"/>
  </dataFields>
  <formats count="18">
    <format dxfId="158">
      <pivotArea outline="0" collapsedLevelsAreSubtotals="1" fieldPosition="0"/>
    </format>
    <format dxfId="157">
      <pivotArea outline="0" collapsedLevelsAreSubtotals="1" fieldPosition="0"/>
    </format>
    <format dxfId="156">
      <pivotArea outline="0" collapsedLevelsAreSubtotals="1" fieldPosition="0"/>
    </format>
    <format dxfId="155">
      <pivotArea collapsedLevelsAreSubtotals="1" fieldPosition="0">
        <references count="1">
          <reference field="1" count="12">
            <x v="1"/>
            <x v="2"/>
            <x v="3"/>
            <x v="4"/>
            <x v="5"/>
            <x v="6"/>
            <x v="7"/>
            <x v="8"/>
            <x v="9"/>
            <x v="10"/>
            <x v="11"/>
            <x v="12"/>
          </reference>
        </references>
      </pivotArea>
    </format>
    <format dxfId="154">
      <pivotArea collapsedLevelsAreSubtotals="1" fieldPosition="0">
        <references count="1">
          <reference field="1" count="12">
            <x v="1"/>
            <x v="2"/>
            <x v="3"/>
            <x v="4"/>
            <x v="5"/>
            <x v="6"/>
            <x v="7"/>
            <x v="8"/>
            <x v="9"/>
            <x v="10"/>
            <x v="11"/>
            <x v="12"/>
          </reference>
        </references>
      </pivotArea>
    </format>
    <format dxfId="153">
      <pivotArea collapsedLevelsAreSubtotals="1" fieldPosition="0">
        <references count="1">
          <reference field="1" count="12">
            <x v="1"/>
            <x v="2"/>
            <x v="3"/>
            <x v="4"/>
            <x v="5"/>
            <x v="6"/>
            <x v="7"/>
            <x v="8"/>
            <x v="9"/>
            <x v="10"/>
            <x v="11"/>
            <x v="12"/>
          </reference>
        </references>
      </pivotArea>
    </format>
    <format dxfId="152">
      <pivotArea collapsedLevelsAreSubtotals="1" fieldPosition="0">
        <references count="1">
          <reference field="1" count="12">
            <x v="1"/>
            <x v="2"/>
            <x v="3"/>
            <x v="4"/>
            <x v="5"/>
            <x v="6"/>
            <x v="7"/>
            <x v="8"/>
            <x v="9"/>
            <x v="10"/>
            <x v="11"/>
            <x v="12"/>
          </reference>
        </references>
      </pivotArea>
    </format>
    <format dxfId="151">
      <pivotArea collapsedLevelsAreSubtotals="1" fieldPosition="0">
        <references count="1">
          <reference field="1" count="12">
            <x v="1"/>
            <x v="2"/>
            <x v="3"/>
            <x v="4"/>
            <x v="5"/>
            <x v="6"/>
            <x v="7"/>
            <x v="8"/>
            <x v="9"/>
            <x v="10"/>
            <x v="11"/>
            <x v="12"/>
          </reference>
        </references>
      </pivotArea>
    </format>
    <format dxfId="150">
      <pivotArea collapsedLevelsAreSubtotals="1" fieldPosition="0">
        <references count="1">
          <reference field="1" count="12">
            <x v="1"/>
            <x v="2"/>
            <x v="3"/>
            <x v="4"/>
            <x v="5"/>
            <x v="6"/>
            <x v="7"/>
            <x v="8"/>
            <x v="9"/>
            <x v="10"/>
            <x v="11"/>
            <x v="12"/>
          </reference>
        </references>
      </pivotArea>
    </format>
    <format dxfId="149">
      <pivotArea collapsedLevelsAreSubtotals="1" fieldPosition="0">
        <references count="1">
          <reference field="1" count="12">
            <x v="1"/>
            <x v="2"/>
            <x v="3"/>
            <x v="4"/>
            <x v="5"/>
            <x v="6"/>
            <x v="7"/>
            <x v="8"/>
            <x v="9"/>
            <x v="10"/>
            <x v="11"/>
            <x v="12"/>
          </reference>
        </references>
      </pivotArea>
    </format>
    <format dxfId="148">
      <pivotArea collapsedLevelsAreSubtotals="1" fieldPosition="0">
        <references count="1">
          <reference field="1" count="12">
            <x v="1"/>
            <x v="2"/>
            <x v="3"/>
            <x v="4"/>
            <x v="5"/>
            <x v="6"/>
            <x v="7"/>
            <x v="8"/>
            <x v="9"/>
            <x v="10"/>
            <x v="11"/>
            <x v="12"/>
          </reference>
        </references>
      </pivotArea>
    </format>
    <format dxfId="147">
      <pivotArea collapsedLevelsAreSubtotals="1" fieldPosition="0">
        <references count="1">
          <reference field="1" count="12">
            <x v="1"/>
            <x v="2"/>
            <x v="3"/>
            <x v="4"/>
            <x v="5"/>
            <x v="6"/>
            <x v="7"/>
            <x v="8"/>
            <x v="9"/>
            <x v="10"/>
            <x v="11"/>
            <x v="12"/>
          </reference>
        </references>
      </pivotArea>
    </format>
    <format dxfId="146">
      <pivotArea collapsedLevelsAreSubtotals="1" fieldPosition="0">
        <references count="1">
          <reference field="1" count="12">
            <x v="1"/>
            <x v="2"/>
            <x v="3"/>
            <x v="4"/>
            <x v="5"/>
            <x v="6"/>
            <x v="7"/>
            <x v="8"/>
            <x v="9"/>
            <x v="10"/>
            <x v="11"/>
            <x v="12"/>
          </reference>
        </references>
      </pivotArea>
    </format>
    <format dxfId="145">
      <pivotArea collapsedLevelsAreSubtotals="1" fieldPosition="0">
        <references count="1">
          <reference field="1" count="12">
            <x v="1"/>
            <x v="2"/>
            <x v="3"/>
            <x v="4"/>
            <x v="5"/>
            <x v="6"/>
            <x v="7"/>
            <x v="8"/>
            <x v="9"/>
            <x v="10"/>
            <x v="11"/>
            <x v="12"/>
          </reference>
        </references>
      </pivotArea>
    </format>
    <format dxfId="144">
      <pivotArea collapsedLevelsAreSubtotals="1" fieldPosition="0">
        <references count="1">
          <reference field="1" count="12">
            <x v="1"/>
            <x v="2"/>
            <x v="3"/>
            <x v="4"/>
            <x v="5"/>
            <x v="6"/>
            <x v="7"/>
            <x v="8"/>
            <x v="9"/>
            <x v="10"/>
            <x v="11"/>
            <x v="12"/>
          </reference>
        </references>
      </pivotArea>
    </format>
    <format dxfId="143">
      <pivotArea collapsedLevelsAreSubtotals="1" fieldPosition="0">
        <references count="2">
          <reference field="1" count="1">
            <x v="9"/>
          </reference>
          <reference field="19" count="1" selected="0">
            <x v="2"/>
          </reference>
        </references>
      </pivotArea>
    </format>
    <format dxfId="142">
      <pivotArea outline="0" collapsedLevelsAreSubtotals="1" fieldPosition="0"/>
    </format>
    <format dxfId="14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10"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rowHeaderCaption="CATEGORY ">
  <location ref="AH110:AI116" firstHeaderRow="1" firstDataRow="1" firstDataCol="1"/>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numFmtId="4" showAll="0"/>
    <pivotField numFmtId="4" showAll="0"/>
    <pivotField dataField="1" numFmtId="164" showAll="0"/>
    <pivotField numFmtId="4" showAll="0"/>
    <pivotField numFmtId="4" showAll="0"/>
    <pivotField axis="axisRow" showAll="0">
      <items count="6">
        <item x="2"/>
        <item x="1"/>
        <item x="0"/>
        <item x="4"/>
        <item x="3"/>
        <item t="default"/>
      </items>
    </pivotField>
    <pivotField showAll="0"/>
    <pivotField showAll="0" defaultSubtotal="0">
      <items count="6">
        <item x="0"/>
        <item x="1"/>
        <item x="2"/>
        <item x="3"/>
        <item x="4"/>
        <item x="5"/>
      </items>
    </pivotField>
    <pivotField showAll="0" defaultSubtotal="0">
      <items count="4">
        <item x="0"/>
        <item x="1"/>
        <item x="2"/>
        <item x="3"/>
      </items>
    </pivotField>
  </pivotFields>
  <rowFields count="1">
    <field x="15"/>
  </rowFields>
  <rowItems count="6">
    <i>
      <x/>
    </i>
    <i>
      <x v="1"/>
    </i>
    <i>
      <x v="2"/>
    </i>
    <i>
      <x v="3"/>
    </i>
    <i>
      <x v="4"/>
    </i>
    <i t="grand">
      <x/>
    </i>
  </rowItems>
  <colItems count="1">
    <i/>
  </colItems>
  <dataFields count="1">
    <dataField name="Average of Discount %" fld="12" subtotal="average" baseField="15" baseItem="0"/>
  </dataFields>
  <formats count="5">
    <format dxfId="163">
      <pivotArea outline="0" collapsedLevelsAreSubtotals="1" fieldPosition="0"/>
    </format>
    <format dxfId="162">
      <pivotArea outline="0" collapsedLevelsAreSubtotals="1" fieldPosition="0"/>
    </format>
    <format dxfId="161">
      <pivotArea outline="0" collapsedLevelsAreSubtotals="1" fieldPosition="0"/>
    </format>
    <format dxfId="160">
      <pivotArea outline="0" collapsedLevelsAreSubtotals="1" fieldPosition="0"/>
    </format>
    <format dxfId="1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0500-000019000000}" name="PivotTable1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44:F151" firstHeaderRow="0" firstDataRow="1" firstDataCol="1"/>
  <pivotFields count="22">
    <pivotField showAll="0"/>
    <pivotField numFmtId="165" showAll="0"/>
    <pivotField showAll="0"/>
    <pivotField showAll="0"/>
    <pivotField showAll="0"/>
    <pivotField showAll="0"/>
    <pivotField axis="axisRow" showAll="0">
      <items count="7">
        <item x="4"/>
        <item x="2"/>
        <item x="5"/>
        <item x="0"/>
        <item x="1"/>
        <item x="3"/>
        <item t="default"/>
      </items>
    </pivotField>
    <pivotField showAll="0"/>
    <pivotField showAll="0"/>
    <pivotField showAll="0"/>
    <pivotField numFmtId="4" showAll="0"/>
    <pivotField dataField="1" numFmtId="4" showAll="0"/>
    <pivotField numFmtId="164" showAll="0"/>
    <pivotField dataField="1" numFmtId="4" showAll="0"/>
    <pivotField numFmtId="4" showAll="0"/>
    <pivotField showAll="0"/>
    <pivotField showAll="0"/>
    <pivotField dataField="1" numFmtId="168" showAll="0"/>
    <pivotField showAll="0" defaultSubtotal="0"/>
    <pivotField showAll="0" defaultSubtotal="0"/>
    <pivotField dataField="1" dragToRow="0" dragToCol="0" dragToPage="0" showAll="0" defaultSubtotal="0"/>
    <pivotField dragToRow="0" dragToCol="0" dragToPage="0" showAll="0" defaultSubtotal="0"/>
  </pivotFields>
  <rowFields count="1">
    <field x="6"/>
  </rowFields>
  <rowItems count="7">
    <i>
      <x/>
    </i>
    <i>
      <x v="1"/>
    </i>
    <i>
      <x v="2"/>
    </i>
    <i>
      <x v="3"/>
    </i>
    <i>
      <x v="4"/>
    </i>
    <i>
      <x v="5"/>
    </i>
    <i t="grand">
      <x/>
    </i>
  </rowItems>
  <colFields count="1">
    <field x="-2"/>
  </colFields>
  <colItems count="4">
    <i>
      <x/>
    </i>
    <i i="1">
      <x v="1"/>
    </i>
    <i i="2">
      <x v="2"/>
    </i>
    <i i="3">
      <x v="3"/>
    </i>
  </colItems>
  <dataFields count="4">
    <dataField name="Sum of Profit" fld="13" baseField="6" baseItem="2" numFmtId="167"/>
    <dataField name="Sum of Sales" fld="11" baseField="0" baseItem="0" numFmtId="167"/>
    <dataField name="Average of PM DATA " fld="17" subtotal="average" baseField="6" baseItem="5" numFmtId="9"/>
    <dataField name="Sum of PM CALC" fld="20" baseField="0" baseItem="0" numFmtId="4"/>
  </dataFields>
  <formats count="10">
    <format dxfId="173">
      <pivotArea outline="0" collapsedLevelsAreSubtotals="1" fieldPosition="0"/>
    </format>
    <format dxfId="172">
      <pivotArea outline="0" collapsedLevelsAreSubtotals="1" fieldPosition="0">
        <references count="1">
          <reference field="4294967294" count="2" selected="0">
            <x v="0"/>
            <x v="1"/>
          </reference>
        </references>
      </pivotArea>
    </format>
    <format dxfId="171">
      <pivotArea outline="0" collapsedLevelsAreSubtotals="1" fieldPosition="0">
        <references count="1">
          <reference field="4294967294" count="2" selected="0">
            <x v="0"/>
            <x v="1"/>
          </reference>
        </references>
      </pivotArea>
    </format>
    <format dxfId="170">
      <pivotArea outline="0" collapsedLevelsAreSubtotals="1" fieldPosition="0">
        <references count="1">
          <reference field="4294967294" count="2" selected="0">
            <x v="0"/>
            <x v="1"/>
          </reference>
        </references>
      </pivotArea>
    </format>
    <format dxfId="169">
      <pivotArea outline="0" collapsedLevelsAreSubtotals="1" fieldPosition="0">
        <references count="1">
          <reference field="4294967294" count="2" selected="0">
            <x v="0"/>
            <x v="1"/>
          </reference>
        </references>
      </pivotArea>
    </format>
    <format dxfId="168">
      <pivotArea outline="0" collapsedLevelsAreSubtotals="1" fieldPosition="0">
        <references count="1">
          <reference field="4294967294" count="2" selected="0">
            <x v="0"/>
            <x v="1"/>
          </reference>
        </references>
      </pivotArea>
    </format>
    <format dxfId="167">
      <pivotArea outline="0" collapsedLevelsAreSubtotals="1" fieldPosition="0">
        <references count="1">
          <reference field="4294967294" count="2" selected="0">
            <x v="0"/>
            <x v="1"/>
          </reference>
        </references>
      </pivotArea>
    </format>
    <format dxfId="166">
      <pivotArea outline="0" collapsedLevelsAreSubtotals="1" fieldPosition="0">
        <references count="1">
          <reference field="4294967294" count="2" selected="0">
            <x v="0"/>
            <x v="1"/>
          </reference>
        </references>
      </pivotArea>
    </format>
    <format dxfId="165">
      <pivotArea outline="0" collapsedLevelsAreSubtotals="1" fieldPosition="0">
        <references count="1">
          <reference field="4294967294" count="2" selected="0">
            <x v="0"/>
            <x v="1"/>
          </reference>
        </references>
      </pivotArea>
    </format>
    <format dxfId="164">
      <pivotArea outline="0" collapsedLevelsAreSubtotals="1" fieldPosition="0">
        <references count="1">
          <reference field="4294967294" count="2" selected="0">
            <x v="0"/>
            <x v="1"/>
          </reference>
        </references>
      </pivotArea>
    </format>
  </formats>
  <conditionalFormats count="1">
    <conditionalFormat priority="14">
      <pivotAreas count="1">
        <pivotArea type="data" collapsedLevelsAreSubtotals="1" fieldPosition="0">
          <references count="2">
            <reference field="4294967294" count="1" selected="0">
              <x v="2"/>
            </reference>
            <reference field="6"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000000-0007-0000-0500-000016000000}" name="PivotTable19"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rowHeaderCaption="CUSTOMER SEGMENT">
  <location ref="A59:E67" firstHeaderRow="1" firstDataRow="2" firstDataCol="1"/>
  <pivotFields count="19">
    <pivotField showAll="0"/>
    <pivotField numFmtId="165" showAll="0">
      <items count="15">
        <item x="0"/>
        <item x="1"/>
        <item x="2"/>
        <item x="3"/>
        <item x="4"/>
        <item x="5"/>
        <item x="6"/>
        <item x="7"/>
        <item x="8"/>
        <item x="9"/>
        <item x="10"/>
        <item x="11"/>
        <item x="12"/>
        <item x="13"/>
        <item t="default"/>
      </items>
    </pivotField>
    <pivotField showAll="0"/>
    <pivotField axis="axisCol" showAll="0">
      <items count="4">
        <item x="2"/>
        <item x="0"/>
        <item x="1"/>
        <item t="default"/>
      </items>
    </pivotField>
    <pivotField showAll="0"/>
    <pivotField showAll="0"/>
    <pivotField axis="axisRow" showAll="0">
      <items count="7">
        <item x="4"/>
        <item x="2"/>
        <item x="5"/>
        <item x="0"/>
        <item x="1"/>
        <item x="3"/>
        <item t="default"/>
      </items>
    </pivotField>
    <pivotField showAll="0"/>
    <pivotField showAll="0"/>
    <pivotField showAll="0"/>
    <pivotField numFmtId="4" showAll="0"/>
    <pivotField numFmtId="4" showAll="0"/>
    <pivotField numFmtId="164" showAll="0"/>
    <pivotField dataField="1" numFmtId="4" showAll="0"/>
    <pivotField numFmtId="4"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6"/>
  </rowFields>
  <rowItems count="7">
    <i>
      <x/>
    </i>
    <i>
      <x v="1"/>
    </i>
    <i>
      <x v="2"/>
    </i>
    <i>
      <x v="3"/>
    </i>
    <i>
      <x v="4"/>
    </i>
    <i>
      <x v="5"/>
    </i>
    <i t="grand">
      <x/>
    </i>
  </rowItems>
  <colFields count="1">
    <field x="3"/>
  </colFields>
  <colItems count="4">
    <i>
      <x/>
    </i>
    <i>
      <x v="1"/>
    </i>
    <i>
      <x v="2"/>
    </i>
    <i t="grand">
      <x/>
    </i>
  </colItems>
  <dataFields count="1">
    <dataField name="Sum of Profit" fld="13" showDataAs="percentOfRow" baseField="0" baseItem="0" numFmtId="9"/>
  </dataFields>
  <formats count="17">
    <format dxfId="190">
      <pivotArea outline="0" collapsedLevelsAreSubtotals="1" fieldPosition="0"/>
    </format>
    <format dxfId="189">
      <pivotArea outline="0" collapsedLevelsAreSubtotals="1" fieldPosition="0"/>
    </format>
    <format dxfId="188">
      <pivotArea outline="0" collapsedLevelsAreSubtotals="1" fieldPosition="0"/>
    </format>
    <format dxfId="187">
      <pivotArea outline="0" collapsedLevelsAreSubtotals="1" fieldPosition="0"/>
    </format>
    <format dxfId="186">
      <pivotArea outline="0" collapsedLevelsAreSubtotals="1" fieldPosition="0"/>
    </format>
    <format dxfId="185">
      <pivotArea outline="0" collapsedLevelsAreSubtotals="1" fieldPosition="0"/>
    </format>
    <format dxfId="184">
      <pivotArea outline="0" collapsedLevelsAreSubtotals="1" fieldPosition="0"/>
    </format>
    <format dxfId="183">
      <pivotArea outline="0" collapsedLevelsAreSubtotals="1" fieldPosition="0"/>
    </format>
    <format dxfId="182">
      <pivotArea outline="0" collapsedLevelsAreSubtotals="1" fieldPosition="0"/>
    </format>
    <format dxfId="181">
      <pivotArea outline="0" collapsedLevelsAreSubtotals="1" fieldPosition="0"/>
    </format>
    <format dxfId="180">
      <pivotArea outline="0" collapsedLevelsAreSubtotals="1" fieldPosition="0"/>
    </format>
    <format dxfId="179">
      <pivotArea outline="0" collapsedLevelsAreSubtotals="1" fieldPosition="0"/>
    </format>
    <format dxfId="178">
      <pivotArea outline="0" collapsedLevelsAreSubtotals="1" fieldPosition="0"/>
    </format>
    <format dxfId="177">
      <pivotArea outline="0" collapsedLevelsAreSubtotals="1" fieldPosition="0"/>
    </format>
    <format dxfId="176">
      <pivotArea outline="0" collapsedLevelsAreSubtotals="1" fieldPosition="0"/>
    </format>
    <format dxfId="175">
      <pivotArea outline="0" collapsedLevelsAreSubtotals="1" fieldPosition="0"/>
    </format>
    <format dxfId="1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0000000-0007-0000-0500-000020000000}" name="PivotTable6"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7" rowHeaderCaption="CATEGORY ">
  <location ref="A42:F50" firstHeaderRow="1" firstDataRow="2" firstDataCol="1"/>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axis="axisCol" showAll="0">
      <items count="5">
        <item x="0"/>
        <item x="3"/>
        <item x="2"/>
        <item x="1"/>
        <item t="default"/>
      </items>
    </pivotField>
    <pivotField showAll="0"/>
    <pivotField axis="axisRow" showAll="0">
      <items count="7">
        <item x="4"/>
        <item x="2"/>
        <item x="5"/>
        <item x="0"/>
        <item x="1"/>
        <item x="3"/>
        <item t="default"/>
      </items>
    </pivotField>
    <pivotField showAll="0"/>
    <pivotField showAll="0"/>
    <pivotField showAll="0"/>
    <pivotField numFmtId="4" showAll="0"/>
    <pivotField dataField="1" numFmtId="4" showAll="0"/>
    <pivotField numFmtId="164" showAll="0"/>
    <pivotField numFmtId="4" showAll="0"/>
    <pivotField numFmtId="4"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6"/>
  </rowFields>
  <rowItems count="7">
    <i>
      <x/>
    </i>
    <i>
      <x v="1"/>
    </i>
    <i>
      <x v="2"/>
    </i>
    <i>
      <x v="3"/>
    </i>
    <i>
      <x v="4"/>
    </i>
    <i>
      <x v="5"/>
    </i>
    <i t="grand">
      <x/>
    </i>
  </rowItems>
  <colFields count="1">
    <field x="4"/>
  </colFields>
  <colItems count="5">
    <i>
      <x/>
    </i>
    <i>
      <x v="1"/>
    </i>
    <i>
      <x v="2"/>
    </i>
    <i>
      <x v="3"/>
    </i>
    <i t="grand">
      <x/>
    </i>
  </colItems>
  <dataFields count="1">
    <dataField name="Sum of Sales" fld="11" showDataAs="percentOfTotal" baseField="0" baseItem="0" numFmtId="10"/>
  </dataFields>
  <formats count="40">
    <format dxfId="230">
      <pivotArea outline="0" collapsedLevelsAreSubtotals="1" fieldPosition="0"/>
    </format>
    <format dxfId="229">
      <pivotArea outline="0" collapsedLevelsAreSubtotals="1" fieldPosition="0"/>
    </format>
    <format dxfId="228">
      <pivotArea outline="0" collapsedLevelsAreSubtotals="1" fieldPosition="0"/>
    </format>
    <format dxfId="227">
      <pivotArea outline="0" collapsedLevelsAreSubtotals="1" fieldPosition="0"/>
    </format>
    <format dxfId="226">
      <pivotArea outline="0" collapsedLevelsAreSubtotals="1" fieldPosition="0"/>
    </format>
    <format dxfId="225">
      <pivotArea outline="0" collapsedLevelsAreSubtotals="1" fieldPosition="0"/>
    </format>
    <format dxfId="224">
      <pivotArea outline="0" collapsedLevelsAreSubtotals="1" fieldPosition="0"/>
    </format>
    <format dxfId="223">
      <pivotArea outline="0" fieldPosition="0">
        <references count="1">
          <reference field="4294967294" count="1">
            <x v="0"/>
          </reference>
        </references>
      </pivotArea>
    </format>
    <format dxfId="222">
      <pivotArea outline="0" collapsedLevelsAreSubtotals="1" fieldPosition="0"/>
    </format>
    <format dxfId="221">
      <pivotArea outline="0" collapsedLevelsAreSubtotals="1" fieldPosition="0"/>
    </format>
    <format dxfId="220">
      <pivotArea outline="0" collapsedLevelsAreSubtotals="1" fieldPosition="0"/>
    </format>
    <format dxfId="219">
      <pivotArea outline="0" collapsedLevelsAreSubtotals="1" fieldPosition="0"/>
    </format>
    <format dxfId="218">
      <pivotArea outline="0" collapsedLevelsAreSubtotals="1" fieldPosition="0">
        <references count="1">
          <reference field="4" count="3" selected="0">
            <x v="1"/>
            <x v="2"/>
            <x v="3"/>
          </reference>
        </references>
      </pivotArea>
    </format>
    <format dxfId="217">
      <pivotArea grandCol="1" outline="0" collapsedLevelsAreSubtotals="1" fieldPosition="0"/>
    </format>
    <format dxfId="216">
      <pivotArea dataOnly="0" labelOnly="1" fieldPosition="0">
        <references count="1">
          <reference field="4" count="3">
            <x v="1"/>
            <x v="2"/>
            <x v="3"/>
          </reference>
        </references>
      </pivotArea>
    </format>
    <format dxfId="215">
      <pivotArea dataOnly="0" labelOnly="1" grandCol="1" outline="0" fieldPosition="0"/>
    </format>
    <format dxfId="214">
      <pivotArea outline="0" collapsedLevelsAreSubtotals="1" fieldPosition="0">
        <references count="1">
          <reference field="4" count="3" selected="0">
            <x v="1"/>
            <x v="2"/>
            <x v="3"/>
          </reference>
        </references>
      </pivotArea>
    </format>
    <format dxfId="213">
      <pivotArea grandCol="1" outline="0" collapsedLevelsAreSubtotals="1" fieldPosition="0"/>
    </format>
    <format dxfId="212">
      <pivotArea dataOnly="0" labelOnly="1" fieldPosition="0">
        <references count="1">
          <reference field="4" count="3">
            <x v="1"/>
            <x v="2"/>
            <x v="3"/>
          </reference>
        </references>
      </pivotArea>
    </format>
    <format dxfId="211">
      <pivotArea dataOnly="0" labelOnly="1" grandCol="1" outline="0" fieldPosition="0"/>
    </format>
    <format dxfId="210">
      <pivotArea outline="0" collapsedLevelsAreSubtotals="1" fieldPosition="0">
        <references count="1">
          <reference field="4" count="3" selected="0">
            <x v="1"/>
            <x v="2"/>
            <x v="3"/>
          </reference>
        </references>
      </pivotArea>
    </format>
    <format dxfId="209">
      <pivotArea grandCol="1" outline="0" collapsedLevelsAreSubtotals="1" fieldPosition="0"/>
    </format>
    <format dxfId="208">
      <pivotArea dataOnly="0" labelOnly="1" fieldPosition="0">
        <references count="1">
          <reference field="4" count="3">
            <x v="1"/>
            <x v="2"/>
            <x v="3"/>
          </reference>
        </references>
      </pivotArea>
    </format>
    <format dxfId="207">
      <pivotArea dataOnly="0" labelOnly="1" grandCol="1" outline="0" fieldPosition="0"/>
    </format>
    <format dxfId="206">
      <pivotArea outline="0" collapsedLevelsAreSubtotals="1" fieldPosition="0">
        <references count="1">
          <reference field="4" count="3" selected="0">
            <x v="1"/>
            <x v="2"/>
            <x v="3"/>
          </reference>
        </references>
      </pivotArea>
    </format>
    <format dxfId="205">
      <pivotArea grandCol="1" outline="0" collapsedLevelsAreSubtotals="1" fieldPosition="0"/>
    </format>
    <format dxfId="204">
      <pivotArea dataOnly="0" labelOnly="1" fieldPosition="0">
        <references count="1">
          <reference field="4" count="3">
            <x v="1"/>
            <x v="2"/>
            <x v="3"/>
          </reference>
        </references>
      </pivotArea>
    </format>
    <format dxfId="203">
      <pivotArea dataOnly="0" labelOnly="1" grandCol="1" outline="0" fieldPosition="0"/>
    </format>
    <format dxfId="202">
      <pivotArea outline="0" collapsedLevelsAreSubtotals="1" fieldPosition="0">
        <references count="1">
          <reference field="4" count="3" selected="0">
            <x v="1"/>
            <x v="2"/>
            <x v="3"/>
          </reference>
        </references>
      </pivotArea>
    </format>
    <format dxfId="201">
      <pivotArea grandCol="1" outline="0" collapsedLevelsAreSubtotals="1" fieldPosition="0"/>
    </format>
    <format dxfId="200">
      <pivotArea dataOnly="0" labelOnly="1" fieldPosition="0">
        <references count="1">
          <reference field="4" count="3">
            <x v="1"/>
            <x v="2"/>
            <x v="3"/>
          </reference>
        </references>
      </pivotArea>
    </format>
    <format dxfId="199">
      <pivotArea dataOnly="0" labelOnly="1" grandCol="1" outline="0" fieldPosition="0"/>
    </format>
    <format dxfId="198">
      <pivotArea outline="0" collapsedLevelsAreSubtotals="1" fieldPosition="0">
        <references count="1">
          <reference field="4" count="3" selected="0">
            <x v="1"/>
            <x v="2"/>
            <x v="3"/>
          </reference>
        </references>
      </pivotArea>
    </format>
    <format dxfId="197">
      <pivotArea grandCol="1" outline="0" collapsedLevelsAreSubtotals="1" fieldPosition="0"/>
    </format>
    <format dxfId="196">
      <pivotArea dataOnly="0" labelOnly="1" fieldPosition="0">
        <references count="1">
          <reference field="4" count="3">
            <x v="1"/>
            <x v="2"/>
            <x v="3"/>
          </reference>
        </references>
      </pivotArea>
    </format>
    <format dxfId="195">
      <pivotArea dataOnly="0" labelOnly="1" grandCol="1" outline="0" fieldPosition="0"/>
    </format>
    <format dxfId="194">
      <pivotArea outline="0" collapsedLevelsAreSubtotals="1" fieldPosition="0">
        <references count="1">
          <reference field="4" count="3" selected="0">
            <x v="1"/>
            <x v="2"/>
            <x v="3"/>
          </reference>
        </references>
      </pivotArea>
    </format>
    <format dxfId="193">
      <pivotArea grandCol="1" outline="0" collapsedLevelsAreSubtotals="1" fieldPosition="0"/>
    </format>
    <format dxfId="192">
      <pivotArea dataOnly="0" labelOnly="1" fieldPosition="0">
        <references count="1">
          <reference field="4" count="3">
            <x v="1"/>
            <x v="2"/>
            <x v="3"/>
          </reference>
        </references>
      </pivotArea>
    </format>
    <format dxfId="191">
      <pivotArea dataOnly="0" labelOnly="1" grandCol="1" outline="0" fieldPosition="0"/>
    </format>
  </formats>
  <chartFormats count="1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2" format="16" series="1">
      <pivotArea type="data" outline="0" fieldPosition="0">
        <references count="2">
          <reference field="4294967294" count="1" selected="0">
            <x v="0"/>
          </reference>
          <reference field="4" count="1" selected="0">
            <x v="0"/>
          </reference>
        </references>
      </pivotArea>
    </chartFormat>
    <chartFormat chart="2" format="17" series="1">
      <pivotArea type="data" outline="0" fieldPosition="0">
        <references count="2">
          <reference field="4294967294" count="1" selected="0">
            <x v="0"/>
          </reference>
          <reference field="4" count="1" selected="0">
            <x v="1"/>
          </reference>
        </references>
      </pivotArea>
    </chartFormat>
    <chartFormat chart="2" format="18" series="1">
      <pivotArea type="data" outline="0" fieldPosition="0">
        <references count="2">
          <reference field="4294967294" count="1" selected="0">
            <x v="0"/>
          </reference>
          <reference field="4" count="1" selected="0">
            <x v="2"/>
          </reference>
        </references>
      </pivotArea>
    </chartFormat>
    <chartFormat chart="2" format="19" series="1">
      <pivotArea type="data" outline="0" fieldPosition="0">
        <references count="2">
          <reference field="4294967294" count="1" selected="0">
            <x v="0"/>
          </reference>
          <reference field="4" count="1" selected="0">
            <x v="3"/>
          </reference>
        </references>
      </pivotArea>
    </chartFormat>
    <chartFormat chart="3" format="20" series="1">
      <pivotArea type="data" outline="0" fieldPosition="0">
        <references count="2">
          <reference field="4294967294" count="1" selected="0">
            <x v="0"/>
          </reference>
          <reference field="4" count="1" selected="0">
            <x v="0"/>
          </reference>
        </references>
      </pivotArea>
    </chartFormat>
    <chartFormat chart="3" format="21" series="1">
      <pivotArea type="data" outline="0" fieldPosition="0">
        <references count="2">
          <reference field="4294967294" count="1" selected="0">
            <x v="0"/>
          </reference>
          <reference field="4" count="1" selected="0">
            <x v="1"/>
          </reference>
        </references>
      </pivotArea>
    </chartFormat>
    <chartFormat chart="3" format="22" series="1">
      <pivotArea type="data" outline="0" fieldPosition="0">
        <references count="2">
          <reference field="4294967294" count="1" selected="0">
            <x v="0"/>
          </reference>
          <reference field="4" count="1" selected="0">
            <x v="2"/>
          </reference>
        </references>
      </pivotArea>
    </chartFormat>
    <chartFormat chart="3" format="23" series="1">
      <pivotArea type="data" outline="0" fieldPosition="0">
        <references count="2">
          <reference field="4294967294" count="1" selected="0">
            <x v="0"/>
          </reference>
          <reference field="4" count="1" selected="0">
            <x v="3"/>
          </reference>
        </references>
      </pivotArea>
    </chartFormat>
    <chartFormat chart="4" format="28" series="1">
      <pivotArea type="data" outline="0" fieldPosition="0">
        <references count="2">
          <reference field="4294967294" count="1" selected="0">
            <x v="0"/>
          </reference>
          <reference field="4" count="1" selected="0">
            <x v="0"/>
          </reference>
        </references>
      </pivotArea>
    </chartFormat>
    <chartFormat chart="4" format="29" series="1">
      <pivotArea type="data" outline="0" fieldPosition="0">
        <references count="2">
          <reference field="4294967294" count="1" selected="0">
            <x v="0"/>
          </reference>
          <reference field="4" count="1" selected="0">
            <x v="1"/>
          </reference>
        </references>
      </pivotArea>
    </chartFormat>
    <chartFormat chart="4" format="30" series="1">
      <pivotArea type="data" outline="0" fieldPosition="0">
        <references count="2">
          <reference field="4294967294" count="1" selected="0">
            <x v="0"/>
          </reference>
          <reference field="4" count="1" selected="0">
            <x v="2"/>
          </reference>
        </references>
      </pivotArea>
    </chartFormat>
    <chartFormat chart="4" format="31"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0000000-0007-0000-0500-000017000000}" name="PivotTable2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210:E216" firstHeaderRow="1" firstDataRow="1" firstDataCol="1"/>
  <pivotFields count="22">
    <pivotField showAll="0"/>
    <pivotField numFmtId="165" showAll="0"/>
    <pivotField showAll="0"/>
    <pivotField showAll="0"/>
    <pivotField showAll="0"/>
    <pivotField axis="axisRow" showAll="0" measureFilter="1" sortType="ascending">
      <items count="15">
        <item x="0"/>
        <item x="5"/>
        <item x="13"/>
        <item x="7"/>
        <item x="9"/>
        <item x="2"/>
        <item x="3"/>
        <item x="12"/>
        <item x="6"/>
        <item x="1"/>
        <item x="11"/>
        <item x="8"/>
        <item x="1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4" showAll="0"/>
    <pivotField numFmtId="4" showAll="0"/>
    <pivotField numFmtId="164" showAll="0"/>
    <pivotField dataField="1" numFmtId="4" showAll="0"/>
    <pivotField numFmtId="4" showAll="0"/>
    <pivotField showAll="0"/>
    <pivotField showAll="0"/>
    <pivotField numFmtId="168" showAll="0"/>
    <pivotField showAll="0" defaultSubtotal="0"/>
    <pivotField showAll="0" defaultSubtotal="0"/>
    <pivotField dragToRow="0" dragToCol="0" dragToPage="0" showAll="0" defaultSubtotal="0"/>
    <pivotField dragToRow="0" dragToCol="0" dragToPage="0" showAll="0" defaultSubtotal="0"/>
  </pivotFields>
  <rowFields count="1">
    <field x="5"/>
  </rowFields>
  <rowItems count="6">
    <i>
      <x v="1"/>
    </i>
    <i>
      <x v="11"/>
    </i>
    <i>
      <x v="12"/>
    </i>
    <i>
      <x v="4"/>
    </i>
    <i>
      <x v="9"/>
    </i>
    <i t="grand">
      <x/>
    </i>
  </rowItems>
  <colItems count="1">
    <i/>
  </colItems>
  <dataFields count="1">
    <dataField name="Sum of Profit" fld="13" baseField="0" baseItem="0"/>
  </dataFields>
  <formats count="6">
    <format dxfId="236">
      <pivotArea outline="0" collapsedLevelsAreSubtotals="1" fieldPosition="0"/>
    </format>
    <format dxfId="235">
      <pivotArea outline="0" collapsedLevelsAreSubtotals="1" fieldPosition="0"/>
    </format>
    <format dxfId="234">
      <pivotArea outline="0" collapsedLevelsAreSubtotals="1" fieldPosition="0"/>
    </format>
    <format dxfId="233">
      <pivotArea outline="0" collapsedLevelsAreSubtotals="1" fieldPosition="0"/>
    </format>
    <format dxfId="232">
      <pivotArea outline="0" collapsedLevelsAreSubtotals="1" fieldPosition="0"/>
    </format>
    <format dxfId="231">
      <pivotArea outline="0" collapsedLevelsAreSubtotals="1" fieldPosition="0"/>
    </format>
  </formats>
  <pivotTableStyleInfo name="PivotStyleLight16" showRowHeaders="1" showColHeaders="1" showRowStripes="0" showColStripes="0" showLastColumn="1"/>
  <filters count="1">
    <filter fld="5"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0000000-0007-0000-0500-000014000000}" name="PivotTable2"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2" rowHeaderCaption="CATEGORY ">
  <location ref="A10:B17" firstHeaderRow="1" firstDataRow="1" firstDataCol="1"/>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sortType="descending">
      <items count="7">
        <item x="4"/>
        <item x="2"/>
        <item x="5"/>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4" showAll="0"/>
    <pivotField numFmtId="4" showAll="0"/>
    <pivotField numFmtId="164" showAll="0"/>
    <pivotField dataField="1" numFmtId="4" showAll="0"/>
    <pivotField numFmtId="4"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6"/>
  </rowFields>
  <rowItems count="7">
    <i>
      <x v="3"/>
    </i>
    <i>
      <x v="5"/>
    </i>
    <i>
      <x v="4"/>
    </i>
    <i>
      <x v="2"/>
    </i>
    <i>
      <x/>
    </i>
    <i>
      <x v="1"/>
    </i>
    <i t="grand">
      <x/>
    </i>
  </rowItems>
  <colItems count="1">
    <i/>
  </colItems>
  <dataFields count="1">
    <dataField name="Average of Profit" fld="13" subtotal="average" baseField="6" baseItem="3" numFmtId="167"/>
  </dataFields>
  <formats count="5">
    <format dxfId="241">
      <pivotArea outline="0" collapsedLevelsAreSubtotals="1" fieldPosition="0"/>
    </format>
    <format dxfId="240">
      <pivotArea outline="0" collapsedLevelsAreSubtotals="1" fieldPosition="0"/>
    </format>
    <format dxfId="239">
      <pivotArea outline="0" collapsedLevelsAreSubtotals="1" fieldPosition="0"/>
    </format>
    <format dxfId="238">
      <pivotArea outline="0" collapsedLevelsAreSubtotals="1" fieldPosition="0"/>
    </format>
    <format dxfId="237">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23000000}" name="PivotTable22" cacheId="0" applyNumberFormats="0" applyBorderFormats="0" applyFontFormats="0" applyPatternFormats="0" applyAlignmentFormats="0" applyWidthHeightFormats="1" dataCaption="Values" updatedVersion="8" minRefreshableVersion="5" itemPrintTitles="1" createdVersion="6" indent="0" outline="1" outlineData="1" multipleFieldFilters="0" rowHeaderCaption="REGION">
  <location ref="A118:B123" firstHeaderRow="1" firstDataRow="1" firstDataCol="1"/>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axis="axisRow" showAll="0">
      <items count="5">
        <item sd="0" x="0"/>
        <item sd="0" x="3"/>
        <item sd="0" x="2"/>
        <item sd="0" x="1"/>
        <item t="default"/>
      </items>
    </pivotField>
    <pivotField showAll="0"/>
    <pivotField axis="axisRow" showAll="0">
      <items count="7">
        <item x="4"/>
        <item x="2"/>
        <item x="5"/>
        <item x="0"/>
        <item x="1"/>
        <item x="3"/>
        <item t="default"/>
      </items>
    </pivotField>
    <pivotField showAll="0"/>
    <pivotField showAll="0"/>
    <pivotField showAll="0"/>
    <pivotField numFmtId="4" showAll="0"/>
    <pivotField dataField="1" numFmtId="4" showAll="0"/>
    <pivotField numFmtId="164" showAll="0"/>
    <pivotField numFmtId="4" showAll="0"/>
    <pivotField numFmtId="4" showAll="0"/>
    <pivotField showAll="0"/>
    <pivotField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2">
    <field x="4"/>
    <field x="6"/>
  </rowFields>
  <rowItems count="5">
    <i>
      <x/>
    </i>
    <i>
      <x v="1"/>
    </i>
    <i>
      <x v="2"/>
    </i>
    <i>
      <x v="3"/>
    </i>
    <i t="grand">
      <x/>
    </i>
  </rowItems>
  <colItems count="1">
    <i/>
  </colItems>
  <dataFields count="1">
    <dataField name="Sum of Sales" fld="11" baseField="0" baseItem="0" numFmtId="10">
      <extLst>
        <ext xmlns:x14="http://schemas.microsoft.com/office/spreadsheetml/2009/9/main" uri="{E15A36E0-9728-4e99-A89B-3F7291B0FE68}">
          <x14:dataField pivotShowAs="percentOfParentRow"/>
        </ext>
      </extLst>
    </dataField>
  </dataFields>
  <formats count="5">
    <format dxfId="246">
      <pivotArea outline="0" collapsedLevelsAreSubtotals="1" fieldPosition="0"/>
    </format>
    <format dxfId="245">
      <pivotArea outline="0" collapsedLevelsAreSubtotals="1" fieldPosition="0"/>
    </format>
    <format dxfId="244">
      <pivotArea outline="0" collapsedLevelsAreSubtotals="1" fieldPosition="0"/>
    </format>
    <format dxfId="243">
      <pivotArea outline="0" collapsedLevelsAreSubtotals="1" fieldPosition="0"/>
    </format>
    <format dxfId="24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700-000026000000}" name="PivotTable36"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0">
  <location ref="A462:C464" firstHeaderRow="0" firstDataRow="1" firstDataCol="1"/>
  <pivotFields count="22">
    <pivotField showAll="0"/>
    <pivotField numFmtId="165" showAll="0"/>
    <pivotField showAll="0"/>
    <pivotField showAll="0"/>
    <pivotField axis="axisRow" showAll="0">
      <items count="5">
        <item x="0"/>
        <item h="1" x="3"/>
        <item h="1" x="2"/>
        <item h="1" x="1"/>
        <item t="default"/>
      </items>
    </pivotField>
    <pivotField showAll="0"/>
    <pivotField showAll="0"/>
    <pivotField showAll="0"/>
    <pivotField showAll="0"/>
    <pivotField showAll="0"/>
    <pivotField numFmtId="4" showAll="0"/>
    <pivotField dataField="1" numFmtId="4" showAll="0"/>
    <pivotField numFmtId="164" showAll="0"/>
    <pivotField dataField="1" numFmtId="4" showAll="0"/>
    <pivotField numFmtId="4" showAll="0"/>
    <pivotField showAll="0"/>
    <pivotField showAll="0"/>
    <pivotField numFmtId="168" showAll="0"/>
    <pivotField showAll="0" defaultSubtotal="0"/>
    <pivotField showAll="0" defaultSubtotal="0"/>
    <pivotField dragToRow="0" dragToCol="0" dragToPage="0" showAll="0" defaultSubtotal="0"/>
    <pivotField dragToRow="0" dragToCol="0" dragToPage="0" showAll="0" defaultSubtotal="0"/>
  </pivotFields>
  <rowFields count="1">
    <field x="4"/>
  </rowFields>
  <rowItems count="2">
    <i>
      <x/>
    </i>
    <i t="grand">
      <x/>
    </i>
  </rowItems>
  <colFields count="1">
    <field x="-2"/>
  </colFields>
  <colItems count="2">
    <i>
      <x/>
    </i>
    <i i="1">
      <x v="1"/>
    </i>
  </colItems>
  <dataFields count="2">
    <dataField name="Sum of Sales" fld="11" baseField="0" baseItem="0"/>
    <dataField name="Average of Profit" fld="13" subtotal="average" baseField="4" baseItem="0"/>
  </dataFields>
  <formats count="1">
    <format dxfId="247">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0"/>
          </reference>
        </references>
      </pivotArea>
    </chartFormat>
    <chartFormat chart="4" format="15" series="1">
      <pivotArea type="data" outline="0" fieldPosition="0">
        <references count="1">
          <reference field="4294967294" count="1" selected="0">
            <x v="1"/>
          </reference>
        </references>
      </pivotArea>
    </chartFormat>
    <chartFormat chart="9" format="18" series="1">
      <pivotArea type="data" outline="0" fieldPosition="0">
        <references count="1">
          <reference field="4294967294" count="1" selected="0">
            <x v="0"/>
          </reference>
        </references>
      </pivotArea>
    </chartFormat>
    <chartFormat chart="9" format="1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21000000}" name="PivotTable8"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rowHeaderCaption="CATEGORY ">
  <location ref="AH94:AI100" firstHeaderRow="1" firstDataRow="1" firstDataCol="1"/>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numFmtId="4" showAll="0"/>
    <pivotField numFmtId="4" showAll="0"/>
    <pivotField dataField="1" numFmtId="164" showAll="0"/>
    <pivotField numFmtId="4" showAll="0"/>
    <pivotField numFmtId="4" showAll="0"/>
    <pivotField axis="axisRow" showAll="0">
      <items count="6">
        <item x="2"/>
        <item x="1"/>
        <item x="0"/>
        <item x="4"/>
        <item x="3"/>
        <item t="default"/>
      </items>
    </pivotField>
    <pivotField showAll="0"/>
    <pivotField showAll="0" defaultSubtotal="0">
      <items count="6">
        <item x="0"/>
        <item x="1"/>
        <item x="2"/>
        <item x="3"/>
        <item x="4"/>
        <item x="5"/>
      </items>
    </pivotField>
    <pivotField showAll="0" defaultSubtotal="0">
      <items count="4">
        <item x="0"/>
        <item x="1"/>
        <item x="2"/>
        <item x="3"/>
      </items>
    </pivotField>
  </pivotFields>
  <rowFields count="1">
    <field x="15"/>
  </rowFields>
  <rowItems count="6">
    <i>
      <x/>
    </i>
    <i>
      <x v="1"/>
    </i>
    <i>
      <x v="2"/>
    </i>
    <i>
      <x v="3"/>
    </i>
    <i>
      <x v="4"/>
    </i>
    <i t="grand">
      <x/>
    </i>
  </rowItems>
  <colItems count="1">
    <i/>
  </colItems>
  <dataFields count="1">
    <dataField name="Average of Discount %" fld="12" subtotal="average" baseField="15" baseItem="0"/>
  </dataFields>
  <formats count="5">
    <format dxfId="252">
      <pivotArea outline="0" collapsedLevelsAreSubtotals="1" fieldPosition="0"/>
    </format>
    <format dxfId="251">
      <pivotArea outline="0" collapsedLevelsAreSubtotals="1" fieldPosition="0"/>
    </format>
    <format dxfId="250">
      <pivotArea outline="0" collapsedLevelsAreSubtotals="1" fieldPosition="0"/>
    </format>
    <format dxfId="249">
      <pivotArea outline="0" collapsedLevelsAreSubtotals="1" fieldPosition="0"/>
    </format>
    <format dxfId="2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1E000000}" name="PivotTable1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56:C163" firstHeaderRow="0" firstDataRow="1" firstDataCol="1"/>
  <pivotFields count="22">
    <pivotField dataField="1" showAll="0"/>
    <pivotField numFmtId="165" showAll="0"/>
    <pivotField showAll="0"/>
    <pivotField showAll="0"/>
    <pivotField showAll="0"/>
    <pivotField showAll="0"/>
    <pivotField axis="axisRow" showAll="0">
      <items count="7">
        <item x="4"/>
        <item x="2"/>
        <item x="5"/>
        <item x="0"/>
        <item x="1"/>
        <item x="3"/>
        <item t="default"/>
      </items>
    </pivotField>
    <pivotField showAll="0"/>
    <pivotField showAll="0"/>
    <pivotField showAll="0"/>
    <pivotField numFmtId="4" showAll="0"/>
    <pivotField dataField="1" numFmtId="4" showAll="0"/>
    <pivotField numFmtId="164" showAll="0"/>
    <pivotField numFmtId="4" showAll="0"/>
    <pivotField numFmtId="4" showAll="0"/>
    <pivotField showAll="0"/>
    <pivotField showAll="0"/>
    <pivotField numFmtId="168" showAll="0"/>
    <pivotField showAll="0" defaultSubtotal="0"/>
    <pivotField showAll="0" defaultSubtotal="0"/>
    <pivotField dragToRow="0" dragToCol="0" dragToPage="0" showAll="0" defaultSubtotal="0"/>
    <pivotField dragToRow="0" dragToCol="0" dragToPage="0" showAll="0" defaultSubtotal="0"/>
  </pivotFields>
  <rowFields count="1">
    <field x="6"/>
  </rowFields>
  <rowItems count="7">
    <i>
      <x/>
    </i>
    <i>
      <x v="1"/>
    </i>
    <i>
      <x v="2"/>
    </i>
    <i>
      <x v="3"/>
    </i>
    <i>
      <x v="4"/>
    </i>
    <i>
      <x v="5"/>
    </i>
    <i t="grand">
      <x/>
    </i>
  </rowItems>
  <colFields count="1">
    <field x="-2"/>
  </colFields>
  <colItems count="2">
    <i>
      <x/>
    </i>
    <i i="1">
      <x v="1"/>
    </i>
  </colItems>
  <dataFields count="2">
    <dataField name="Count of Order ID" fld="0" subtotal="count" baseField="0" baseItem="0"/>
    <dataField name="Sum of Sales" fld="11" baseField="0" baseItem="0" numFmtId="169"/>
  </dataFields>
  <formats count="5">
    <format dxfId="257">
      <pivotArea outline="0" collapsedLevelsAreSubtotals="1" fieldPosition="0"/>
    </format>
    <format dxfId="256">
      <pivotArea outline="0" collapsedLevelsAreSubtotals="1" fieldPosition="0"/>
    </format>
    <format dxfId="255">
      <pivotArea outline="0" collapsedLevelsAreSubtotals="1" fieldPosition="0"/>
    </format>
    <format dxfId="254">
      <pivotArea outline="0" collapsedLevelsAreSubtotals="1" fieldPosition="0">
        <references count="1">
          <reference field="4294967294" count="1" selected="0">
            <x v="1"/>
          </reference>
        </references>
      </pivotArea>
    </format>
    <format dxfId="25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24000000}" name="PivotTable1" cacheId="0" applyNumberFormats="0" applyBorderFormats="0" applyFontFormats="0" applyPatternFormats="0" applyAlignmentFormats="0" applyWidthHeightFormats="1" dataCaption="Values" updatedVersion="8" minRefreshableVersion="5" itemPrintTitles="1" createdVersion="6" indent="0" outline="1" outlineData="1" multipleFieldFilters="0" chartFormat="8" rowHeaderCaption="REGION">
  <location ref="A3:B8" firstHeaderRow="1" firstDataRow="1" firstDataCol="1"/>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4" showAll="0"/>
    <pivotField dataField="1" numFmtId="4" showAll="0"/>
    <pivotField numFmtId="164" showAll="0"/>
    <pivotField numFmtId="4" showAll="0"/>
    <pivotField numFmtId="4"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v="1"/>
    </i>
    <i>
      <x v="3"/>
    </i>
    <i>
      <x/>
    </i>
    <i>
      <x v="2"/>
    </i>
    <i t="grand">
      <x/>
    </i>
  </rowItems>
  <colItems count="1">
    <i/>
  </colItems>
  <dataFields count="1">
    <dataField name="Sum of Sales" fld="11" baseField="0" baseItem="1960435136" numFmtId="175"/>
  </dataFields>
  <formats count="4">
    <format dxfId="261">
      <pivotArea outline="0" collapsedLevelsAreSubtotals="1" fieldPosition="0"/>
    </format>
    <format dxfId="260">
      <pivotArea outline="0" collapsedLevelsAreSubtotals="1" fieldPosition="0"/>
    </format>
    <format dxfId="259">
      <pivotArea outline="0" collapsedLevelsAreSubtotals="1" fieldPosition="0"/>
    </format>
    <format dxfId="258">
      <pivotArea outline="0" fieldPosition="0">
        <references count="1">
          <reference field="4294967294" count="1">
            <x v="0"/>
          </reference>
        </references>
      </pivotArea>
    </format>
  </formats>
  <conditionalFormats count="1">
    <conditionalFormat priority="22">
      <pivotAreas count="1">
        <pivotArea type="data" collapsedLevelsAreSubtotals="1" fieldPosition="0">
          <references count="2">
            <reference field="4294967294" count="1" selected="0">
              <x v="0"/>
            </reference>
            <reference field="4" count="4">
              <x v="0"/>
              <x v="1"/>
              <x v="2"/>
              <x v="3"/>
            </reference>
          </references>
        </pivotArea>
      </pivotAreas>
    </conditionalFormat>
  </conditionalFormats>
  <chartFormats count="13">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 chart="2" format="7">
      <pivotArea type="data" outline="0" fieldPosition="0">
        <references count="2">
          <reference field="4294967294" count="1" selected="0">
            <x v="0"/>
          </reference>
          <reference field="4" count="1" selected="0">
            <x v="3"/>
          </reference>
        </references>
      </pivotArea>
    </chartFormat>
    <chartFormat chart="2" format="8">
      <pivotArea type="data" outline="0" fieldPosition="0">
        <references count="2">
          <reference field="4294967294" count="1" selected="0">
            <x v="0"/>
          </reference>
          <reference field="4" count="1" selected="0">
            <x v="0"/>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4" format="3"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7" format="21" series="1">
      <pivotArea type="data" outline="0" fieldPosition="0">
        <references count="1">
          <reference field="4294967294" count="1" selected="0">
            <x v="0"/>
          </reference>
        </references>
      </pivotArea>
    </chartFormat>
    <chartFormat chart="7" format="22">
      <pivotArea type="data" outline="0" fieldPosition="0">
        <references count="2">
          <reference field="4294967294" count="1" selected="0">
            <x v="0"/>
          </reference>
          <reference field="4" count="1" selected="0">
            <x v="1"/>
          </reference>
        </references>
      </pivotArea>
    </chartFormat>
    <chartFormat chart="7" format="23">
      <pivotArea type="data" outline="0" fieldPosition="0">
        <references count="2">
          <reference field="4294967294" count="1" selected="0">
            <x v="0"/>
          </reference>
          <reference field="4" count="1" selected="0">
            <x v="3"/>
          </reference>
        </references>
      </pivotArea>
    </chartFormat>
    <chartFormat chart="7" format="24">
      <pivotArea type="data" outline="0" fieldPosition="0">
        <references count="2">
          <reference field="4294967294" count="1" selected="0">
            <x v="0"/>
          </reference>
          <reference field="4" count="1" selected="0">
            <x v="0"/>
          </reference>
        </references>
      </pivotArea>
    </chartFormat>
    <chartFormat chart="7" format="25">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500-00000F000000}" name="PivotTable33"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B311:C318" firstHeaderRow="1" firstDataRow="1" firstDataCol="1"/>
  <pivotFields count="22">
    <pivotField showAll="0"/>
    <pivotField numFmtId="165" showAll="0">
      <items count="15">
        <item x="0"/>
        <item x="1"/>
        <item x="2"/>
        <item x="3"/>
        <item x="4"/>
        <item x="5"/>
        <item x="6"/>
        <item x="7"/>
        <item x="8"/>
        <item x="9"/>
        <item x="10"/>
        <item x="11"/>
        <item x="12"/>
        <item x="13"/>
        <item t="default"/>
      </items>
    </pivotField>
    <pivotField showAll="0"/>
    <pivotField showAll="0"/>
    <pivotField showAll="0">
      <items count="5">
        <item x="0"/>
        <item x="3"/>
        <item x="2"/>
        <item x="1"/>
        <item t="default"/>
      </items>
    </pivotField>
    <pivotField showAll="0"/>
    <pivotField axis="axisRow" showAll="0">
      <items count="7">
        <item x="4"/>
        <item x="2"/>
        <item x="5"/>
        <item x="0"/>
        <item x="1"/>
        <item x="3"/>
        <item t="default"/>
      </items>
    </pivotField>
    <pivotField showAll="0"/>
    <pivotField showAll="0"/>
    <pivotField showAll="0"/>
    <pivotField numFmtId="4" showAll="0"/>
    <pivotField dataField="1" numFmtId="4" showAll="0"/>
    <pivotField numFmtId="164" showAll="0"/>
    <pivotField numFmtId="4" showAll="0"/>
    <pivotField numFmtId="4" showAll="0"/>
    <pivotField showAll="0"/>
    <pivotField showAll="0"/>
    <pivotField numFmtId="168" showAll="0"/>
    <pivotField showAll="0" defaultSubtotal="0">
      <items count="6">
        <item sd="0" x="0"/>
        <item sd="0" x="1"/>
        <item sd="0" x="2"/>
        <item sd="0" x="3"/>
        <item sd="0" x="4"/>
        <item sd="0" x="5"/>
      </items>
    </pivotField>
    <pivotField showAll="0" defaultSubtotal="0">
      <items count="4">
        <item sd="0" x="0"/>
        <item sd="0" x="1"/>
        <item sd="0" x="2"/>
        <item sd="0" x="3"/>
      </items>
    </pivotField>
    <pivotField dragToRow="0" dragToCol="0" dragToPage="0" showAll="0" defaultSubtotal="0"/>
    <pivotField dragToRow="0" dragToCol="0" dragToPage="0" showAll="0" defaultSubtotal="0"/>
  </pivotFields>
  <rowFields count="1">
    <field x="6"/>
  </rowFields>
  <rowItems count="7">
    <i>
      <x/>
    </i>
    <i>
      <x v="1"/>
    </i>
    <i>
      <x v="2"/>
    </i>
    <i>
      <x v="3"/>
    </i>
    <i>
      <x v="4"/>
    </i>
    <i>
      <x v="5"/>
    </i>
    <i t="grand">
      <x/>
    </i>
  </rowItems>
  <colItems count="1">
    <i/>
  </colItems>
  <dataFields count="1">
    <dataField name="Sum of Sales" fld="11" showDataAs="percentOfTotal" baseField="6" baseItem="0" numFmtId="10"/>
  </dataFields>
  <formats count="7">
    <format dxfId="268">
      <pivotArea outline="0" collapsedLevelsAreSubtotals="1" fieldPosition="0"/>
    </format>
    <format dxfId="267">
      <pivotArea outline="0" collapsedLevelsAreSubtotals="1" fieldPosition="0"/>
    </format>
    <format dxfId="266">
      <pivotArea outline="0" collapsedLevelsAreSubtotals="1" fieldPosition="0"/>
    </format>
    <format dxfId="265">
      <pivotArea outline="0" collapsedLevelsAreSubtotals="1" fieldPosition="0"/>
    </format>
    <format dxfId="264">
      <pivotArea outline="0" collapsedLevelsAreSubtotals="1" fieldPosition="0"/>
    </format>
    <format dxfId="263">
      <pivotArea outline="0" collapsedLevelsAreSubtotals="1" fieldPosition="0"/>
    </format>
    <format dxfId="262">
      <pivotArea outline="0" fieldPosition="0">
        <references count="1">
          <reference field="4294967294" count="1">
            <x v="0"/>
          </reference>
        </references>
      </pivotArea>
    </format>
  </formats>
  <conditionalFormats count="1">
    <conditionalFormat priority="4">
      <pivotAreas count="1">
        <pivotArea type="data" collapsedLevelsAreSubtotals="1" fieldPosition="0">
          <references count="2">
            <reference field="4294967294" count="1" selected="0">
              <x v="0"/>
            </reference>
            <reference field="6" count="6">
              <x v="0"/>
              <x v="1"/>
              <x v="2"/>
              <x v="3"/>
              <x v="4"/>
              <x v="5"/>
            </reference>
          </references>
        </pivotArea>
      </pivotAreas>
    </conditionalFormat>
  </conditionalFormats>
  <pivotTableStyleInfo name="PivotStyleLight16" showRowHeaders="1" showColHeaders="1" showRowStripes="0" showColStripes="0" showLastColumn="1"/>
  <filters count="1">
    <filter fld="1" type="dateBetween" evalOrder="-1" id="9" name="Order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32:C261" firstHeaderRow="0" firstDataRow="1" firstDataCol="1"/>
  <pivotFields count="22">
    <pivotField showAll="0"/>
    <pivotField numFmtId="165" showAll="0"/>
    <pivotField showAll="0"/>
    <pivotField showAll="0"/>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measureFilter="1" sortType="ascending">
      <autoSortScope>
        <pivotArea dataOnly="0" outline="0" fieldPosition="0">
          <references count="1">
            <reference field="4294967294" count="1" selected="0">
              <x v="1"/>
            </reference>
          </references>
        </pivotArea>
      </autoSortScope>
    </pivotField>
    <pivotField axis="axisRow" showAll="0">
      <items count="7">
        <item x="4"/>
        <item x="2"/>
        <item x="5"/>
        <item x="0"/>
        <item x="1"/>
        <item x="3"/>
        <item t="default"/>
      </items>
    </pivotField>
    <pivotField showAll="0"/>
    <pivotField showAll="0"/>
    <pivotField showAll="0"/>
    <pivotField numFmtId="4" showAll="0"/>
    <pivotField dataField="1" numFmtId="4" showAll="0"/>
    <pivotField numFmtId="164" showAll="0"/>
    <pivotField dataField="1" numFmtId="4" showAll="0"/>
    <pivotField numFmtId="4" showAll="0"/>
    <pivotField showAll="0"/>
    <pivotField showAll="0"/>
    <pivotField numFmtId="168" showAll="0"/>
    <pivotField showAll="0" defaultSubtotal="0"/>
    <pivotField showAll="0" defaultSubtotal="0"/>
    <pivotField dragToRow="0" dragToCol="0" dragToPage="0" showAll="0" defaultSubtotal="0"/>
    <pivotField dragToRow="0" dragToCol="0" dragToPage="0" showAll="0" defaultSubtotal="0"/>
  </pivotFields>
  <rowFields count="2">
    <field x="4"/>
    <field x="6"/>
  </rowFields>
  <rowItems count="29">
    <i>
      <x v="2"/>
    </i>
    <i r="1">
      <x/>
    </i>
    <i r="1">
      <x v="1"/>
    </i>
    <i r="1">
      <x v="2"/>
    </i>
    <i r="1">
      <x v="3"/>
    </i>
    <i r="1">
      <x v="4"/>
    </i>
    <i r="1">
      <x v="5"/>
    </i>
    <i>
      <x/>
    </i>
    <i r="1">
      <x/>
    </i>
    <i r="1">
      <x v="1"/>
    </i>
    <i r="1">
      <x v="2"/>
    </i>
    <i r="1">
      <x v="3"/>
    </i>
    <i r="1">
      <x v="4"/>
    </i>
    <i r="1">
      <x v="5"/>
    </i>
    <i>
      <x v="3"/>
    </i>
    <i r="1">
      <x/>
    </i>
    <i r="1">
      <x v="1"/>
    </i>
    <i r="1">
      <x v="2"/>
    </i>
    <i r="1">
      <x v="3"/>
    </i>
    <i r="1">
      <x v="4"/>
    </i>
    <i r="1">
      <x v="5"/>
    </i>
    <i>
      <x v="1"/>
    </i>
    <i r="1">
      <x/>
    </i>
    <i r="1">
      <x v="1"/>
    </i>
    <i r="1">
      <x v="2"/>
    </i>
    <i r="1">
      <x v="3"/>
    </i>
    <i r="1">
      <x v="4"/>
    </i>
    <i r="1">
      <x v="5"/>
    </i>
    <i t="grand">
      <x/>
    </i>
  </rowItems>
  <colFields count="1">
    <field x="-2"/>
  </colFields>
  <colItems count="2">
    <i>
      <x/>
    </i>
    <i i="1">
      <x v="1"/>
    </i>
  </colItems>
  <dataFields count="2">
    <dataField name="Sum of Sales" fld="11" baseField="0" baseItem="0"/>
    <dataField name="Sum of Profit" fld="13" baseField="0" baseItem="0"/>
  </dataFields>
  <formats count="6">
    <format dxfId="274">
      <pivotArea outline="0" collapsedLevelsAreSubtotals="1" fieldPosition="0"/>
    </format>
    <format dxfId="273">
      <pivotArea outline="0" collapsedLevelsAreSubtotals="1" fieldPosition="0"/>
    </format>
    <format dxfId="272">
      <pivotArea outline="0" collapsedLevelsAreSubtotals="1" fieldPosition="0"/>
    </format>
    <format dxfId="271">
      <pivotArea outline="0" collapsedLevelsAreSubtotals="1" fieldPosition="0"/>
    </format>
    <format dxfId="270">
      <pivotArea outline="0" collapsedLevelsAreSubtotals="1" fieldPosition="0"/>
    </format>
    <format dxfId="269">
      <pivotArea outline="0" collapsedLevelsAreSubtotals="1" fieldPosition="0"/>
    </format>
  </formats>
  <conditionalFormats count="2">
    <conditionalFormat priority="9">
      <pivotAreas count="1">
        <pivotArea type="data" collapsedLevelsAreSubtotals="1" fieldPosition="0">
          <references count="2">
            <reference field="4294967294" count="1" selected="0">
              <x v="0"/>
            </reference>
            <reference field="4" count="4">
              <x v="0"/>
              <x v="1"/>
              <x v="2"/>
              <x v="3"/>
            </reference>
          </references>
        </pivotArea>
      </pivotAreas>
    </conditionalFormat>
    <conditionalFormat priority="8">
      <pivotAreas count="1">
        <pivotArea type="data" collapsedLevelsAreSubtotals="1" fieldPosition="0">
          <references count="2">
            <reference field="4294967294" count="1" selected="0">
              <x v="1"/>
            </reference>
            <reference field="4" count="4">
              <x v="0"/>
              <x v="1"/>
              <x v="2"/>
              <x v="3"/>
            </reference>
          </references>
        </pivotArea>
      </pivotAreas>
    </conditionalFormat>
  </conditionalFormats>
  <pivotTableStyleInfo name="PivotStyleLight16" showRowHeaders="1" showColHeaders="1" showRowStripes="0" showColStripes="0" showLastColumn="1"/>
  <filters count="1">
    <filter fld="5" type="count" evalOrder="-1" id="2" iMeasureFld="1">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79:C285" firstHeaderRow="1" firstDataRow="2" firstDataCol="1"/>
  <pivotFields count="22">
    <pivotField showAll="0"/>
    <pivotField numFmtId="165" showAll="0"/>
    <pivotField showAll="0"/>
    <pivotField showAll="0"/>
    <pivotField axis="axisRow" showAll="0">
      <items count="5">
        <item x="1"/>
        <item x="2"/>
        <item x="3"/>
        <item x="0"/>
        <item t="default"/>
      </items>
    </pivotField>
    <pivotField showAll="0"/>
    <pivotField showAll="0"/>
    <pivotField showAll="0"/>
    <pivotField showAll="0"/>
    <pivotField showAll="0"/>
    <pivotField numFmtId="4" showAll="0"/>
    <pivotField dataField="1" numFmtId="4" showAll="0"/>
    <pivotField numFmtId="164" showAll="0"/>
    <pivotField numFmtId="4" showAll="0"/>
    <pivotField numFmtId="4" showAll="0"/>
    <pivotField axis="axisCol" showAll="0">
      <items count="6">
        <item h="1" x="2"/>
        <item h="1" x="1"/>
        <item x="0"/>
        <item h="1" x="4"/>
        <item h="1" x="3"/>
        <item t="default"/>
      </items>
    </pivotField>
    <pivotField showAll="0"/>
    <pivotField numFmtId="168" showAll="0"/>
    <pivotField showAll="0" defaultSubtotal="0"/>
    <pivotField showAll="0" defaultSubtotal="0"/>
    <pivotField dragToRow="0" dragToCol="0" dragToPage="0" showAll="0" defaultSubtotal="0"/>
    <pivotField dragToRow="0" dragToCol="0" dragToPage="0" showAll="0" defaultSubtotal="0"/>
  </pivotFields>
  <rowFields count="1">
    <field x="4"/>
  </rowFields>
  <rowItems count="5">
    <i>
      <x/>
    </i>
    <i>
      <x v="1"/>
    </i>
    <i>
      <x v="2"/>
    </i>
    <i>
      <x v="3"/>
    </i>
    <i t="grand">
      <x/>
    </i>
  </rowItems>
  <colFields count="1">
    <field x="15"/>
  </colFields>
  <colItems count="2">
    <i>
      <x v="2"/>
    </i>
    <i t="grand">
      <x/>
    </i>
  </colItems>
  <dataFields count="1">
    <dataField name="Sum of Sales" fld="11" baseField="0" baseItem="0"/>
  </dataFields>
  <formats count="6">
    <format dxfId="280">
      <pivotArea outline="0" collapsedLevelsAreSubtotals="1" fieldPosition="0"/>
    </format>
    <format dxfId="279">
      <pivotArea outline="0" collapsedLevelsAreSubtotals="1" fieldPosition="0"/>
    </format>
    <format dxfId="278">
      <pivotArea outline="0" collapsedLevelsAreSubtotals="1" fieldPosition="0"/>
    </format>
    <format dxfId="277">
      <pivotArea outline="0" collapsedLevelsAreSubtotals="1" fieldPosition="0"/>
    </format>
    <format dxfId="276">
      <pivotArea outline="0" collapsedLevelsAreSubtotals="1" fieldPosition="0"/>
    </format>
    <format dxfId="2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00000000-0007-0000-0500-00001D000000}" name="PivotTable34"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A413:B418" firstHeaderRow="1" firstDataRow="1" firstDataCol="1"/>
  <pivotFields count="22">
    <pivotField showAll="0"/>
    <pivotField numFmtId="165" showAll="0">
      <items count="15">
        <item x="0"/>
        <item x="1"/>
        <item x="2"/>
        <item x="3"/>
        <item x="4"/>
        <item x="5"/>
        <item x="6"/>
        <item x="7"/>
        <item x="8"/>
        <item x="9"/>
        <item x="10"/>
        <item x="11"/>
        <item x="12"/>
        <item x="13"/>
        <item t="default"/>
      </items>
    </pivotField>
    <pivotField showAll="0"/>
    <pivotField showAll="0"/>
    <pivotField axis="axisRow" showAll="0">
      <items count="5">
        <item x="1"/>
        <item x="2"/>
        <item x="3"/>
        <item x="0"/>
        <item t="default"/>
      </items>
    </pivotField>
    <pivotField showAll="0"/>
    <pivotField showAll="0"/>
    <pivotField showAll="0"/>
    <pivotField showAll="0"/>
    <pivotField showAll="0"/>
    <pivotField numFmtId="4" showAll="0"/>
    <pivotField numFmtId="4" showAll="0"/>
    <pivotField numFmtId="164" showAll="0"/>
    <pivotField dataField="1" numFmtId="4" showAll="0"/>
    <pivotField numFmtId="4" showAll="0"/>
    <pivotField showAll="0"/>
    <pivotField showAll="0"/>
    <pivotField numFmtId="168" showAll="0"/>
    <pivotField showAll="0" defaultSubtotal="0">
      <items count="6">
        <item sd="0" x="0"/>
        <item sd="0" x="1"/>
        <item sd="0" x="2"/>
        <item sd="0" x="3"/>
        <item sd="0" x="4"/>
        <item sd="0" x="5"/>
      </items>
    </pivotField>
    <pivotField showAll="0" defaultSubtotal="0">
      <items count="4">
        <item sd="0" x="0"/>
        <item sd="0" x="1"/>
        <item sd="0" x="2"/>
        <item sd="0" x="3"/>
      </items>
    </pivotField>
    <pivotField dragToRow="0" dragToCol="0" dragToPage="0" showAll="0" defaultSubtotal="0"/>
    <pivotField dragToRow="0" dragToCol="0" dragToPage="0" showAll="0" defaultSubtotal="0"/>
  </pivotFields>
  <rowFields count="1">
    <field x="4"/>
  </rowFields>
  <rowItems count="5">
    <i>
      <x/>
    </i>
    <i>
      <x v="1"/>
    </i>
    <i>
      <x v="2"/>
    </i>
    <i>
      <x v="3"/>
    </i>
    <i t="grand">
      <x/>
    </i>
  </rowItems>
  <colItems count="1">
    <i/>
  </colItems>
  <dataFields count="1">
    <dataField name="Sum of Profit" fld="13" baseField="4" baseItem="0" numFmtId="176"/>
  </dataFields>
  <formats count="7">
    <format dxfId="287">
      <pivotArea outline="0" collapsedLevelsAreSubtotals="1" fieldPosition="0"/>
    </format>
    <format dxfId="286">
      <pivotArea outline="0" collapsedLevelsAreSubtotals="1" fieldPosition="0"/>
    </format>
    <format dxfId="285">
      <pivotArea outline="0" collapsedLevelsAreSubtotals="1" fieldPosition="0"/>
    </format>
    <format dxfId="284">
      <pivotArea outline="0" collapsedLevelsAreSubtotals="1" fieldPosition="0"/>
    </format>
    <format dxfId="283">
      <pivotArea outline="0" collapsedLevelsAreSubtotals="1" fieldPosition="0"/>
    </format>
    <format dxfId="282">
      <pivotArea outline="0" collapsedLevelsAreSubtotals="1" fieldPosition="0"/>
    </format>
    <format dxfId="281">
      <pivotArea outline="0" fieldPosition="0">
        <references count="1">
          <reference field="4294967294" count="1">
            <x v="0"/>
          </reference>
        </references>
      </pivotArea>
    </format>
  </formats>
  <chartFormats count="2">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9" name="Order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00000000-0007-0000-0500-00000E000000}" name="PivotTable15" cacheId="0" applyNumberFormats="0" applyBorderFormats="0" applyFontFormats="0" applyPatternFormats="0" applyAlignmentFormats="0" applyWidthHeightFormats="1" dataCaption="Values" updatedVersion="8" minRefreshableVersion="5" itemPrintTitles="1" createdVersion="6" indent="0" outline="1" outlineData="1" multipleFieldFilters="0" rowHeaderCaption="REGION">
  <location ref="A69:D83" firstHeaderRow="1" firstDataRow="2" firstDataCol="1"/>
  <pivotFields count="19">
    <pivotField showAll="0"/>
    <pivotField axis="axisRow"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numFmtId="4" showAll="0"/>
    <pivotField dataField="1" numFmtId="4" showAll="0"/>
    <pivotField numFmtId="164" showAll="0"/>
    <pivotField numFmtId="4" showAll="0"/>
    <pivotField numFmtId="4" showAll="0"/>
    <pivotField showAll="0"/>
    <pivotField showAll="0"/>
    <pivotField showAll="0" defaultSubtotal="0">
      <items count="6">
        <item sd="0" x="0"/>
        <item sd="0" x="1"/>
        <item sd="0" x="2"/>
        <item sd="0" x="3"/>
        <item sd="0" x="4"/>
        <item sd="0" x="5"/>
      </items>
    </pivotField>
    <pivotField axis="axisCol" showAll="0" defaultSubtotal="0">
      <items count="4">
        <item sd="0" x="0"/>
        <item sd="0" x="1"/>
        <item sd="0" x="2"/>
        <item sd="0" x="3"/>
      </items>
    </pivotField>
  </pivotFields>
  <rowFields count="1">
    <field x="1"/>
  </rowFields>
  <rowItems count="13">
    <i>
      <x v="1"/>
    </i>
    <i>
      <x v="2"/>
    </i>
    <i>
      <x v="3"/>
    </i>
    <i>
      <x v="4"/>
    </i>
    <i>
      <x v="5"/>
    </i>
    <i>
      <x v="6"/>
    </i>
    <i>
      <x v="7"/>
    </i>
    <i>
      <x v="8"/>
    </i>
    <i>
      <x v="9"/>
    </i>
    <i>
      <x v="10"/>
    </i>
    <i>
      <x v="11"/>
    </i>
    <i>
      <x v="12"/>
    </i>
    <i t="grand">
      <x/>
    </i>
  </rowItems>
  <colFields count="1">
    <field x="18"/>
  </colFields>
  <colItems count="3">
    <i>
      <x v="1"/>
    </i>
    <i>
      <x v="2"/>
    </i>
    <i t="grand">
      <x/>
    </i>
  </colItems>
  <dataFields count="1">
    <dataField name="Sum of Sales" fld="11" baseField="0" baseItem="0"/>
  </dataFields>
  <formats count="3">
    <format dxfId="290">
      <pivotArea outline="0" collapsedLevelsAreSubtotals="1" fieldPosition="0"/>
    </format>
    <format dxfId="289">
      <pivotArea outline="0" collapsedLevelsAreSubtotals="1" fieldPosition="0"/>
    </format>
    <format dxfId="288">
      <pivotArea outline="0" collapsedLevelsAreSubtotals="1" fieldPosition="0"/>
    </format>
  </formats>
  <conditionalFormats count="1">
    <conditionalFormat priority="19">
      <pivotAreas count="1">
        <pivotArea type="data" collapsedLevelsAreSubtotals="1" fieldPosition="0">
          <references count="3">
            <reference field="4294967294" count="1" selected="0">
              <x v="0"/>
            </reference>
            <reference field="1" count="11">
              <x v="1"/>
              <x v="2"/>
              <x v="3"/>
              <x v="4"/>
              <x v="5"/>
              <x v="6"/>
              <x v="7"/>
              <x v="8"/>
              <x v="9"/>
              <x v="10"/>
              <x v="11"/>
            </reference>
            <reference field="18" count="2" selected="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00000000-0007-0000-0500-000006000000}" name="PivotTable20" cacheId="0" applyNumberFormats="0" applyBorderFormats="0" applyFontFormats="0" applyPatternFormats="0" applyAlignmentFormats="0" applyWidthHeightFormats="1" dataCaption="Values" updatedVersion="8" minRefreshableVersion="5" itemPrintTitles="1" createdVersion="6" indent="0" outline="1" outlineData="1" multipleFieldFilters="0" rowHeaderCaption="REGION">
  <location ref="A94:B107" firstHeaderRow="1" firstDataRow="1" firstDataCol="1"/>
  <pivotFields count="19">
    <pivotField showAll="0"/>
    <pivotField axis="axisRow"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numFmtId="4" showAll="0"/>
    <pivotField dataField="1" numFmtId="4" showAll="0"/>
    <pivotField numFmtId="164" showAll="0"/>
    <pivotField numFmtId="4" showAll="0"/>
    <pivotField numFmtId="4" showAll="0"/>
    <pivotField showAll="0"/>
    <pivotField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Sales" fld="11" baseField="0" baseItem="0"/>
  </dataFields>
  <formats count="15">
    <format dxfId="305">
      <pivotArea outline="0" collapsedLevelsAreSubtotals="1" fieldPosition="0"/>
    </format>
    <format dxfId="304">
      <pivotArea outline="0" collapsedLevelsAreSubtotals="1" fieldPosition="0"/>
    </format>
    <format dxfId="303">
      <pivotArea outline="0" collapsedLevelsAreSubtotals="1" fieldPosition="0"/>
    </format>
    <format dxfId="302">
      <pivotArea collapsedLevelsAreSubtotals="1" fieldPosition="0">
        <references count="1">
          <reference field="1" count="12">
            <x v="1"/>
            <x v="2"/>
            <x v="3"/>
            <x v="4"/>
            <x v="5"/>
            <x v="6"/>
            <x v="7"/>
            <x v="8"/>
            <x v="9"/>
            <x v="10"/>
            <x v="11"/>
            <x v="12"/>
          </reference>
        </references>
      </pivotArea>
    </format>
    <format dxfId="301">
      <pivotArea collapsedLevelsAreSubtotals="1" fieldPosition="0">
        <references count="1">
          <reference field="1" count="12">
            <x v="1"/>
            <x v="2"/>
            <x v="3"/>
            <x v="4"/>
            <x v="5"/>
            <x v="6"/>
            <x v="7"/>
            <x v="8"/>
            <x v="9"/>
            <x v="10"/>
            <x v="11"/>
            <x v="12"/>
          </reference>
        </references>
      </pivotArea>
    </format>
    <format dxfId="300">
      <pivotArea collapsedLevelsAreSubtotals="1" fieldPosition="0">
        <references count="1">
          <reference field="1" count="12">
            <x v="1"/>
            <x v="2"/>
            <x v="3"/>
            <x v="4"/>
            <x v="5"/>
            <x v="6"/>
            <x v="7"/>
            <x v="8"/>
            <x v="9"/>
            <x v="10"/>
            <x v="11"/>
            <x v="12"/>
          </reference>
        </references>
      </pivotArea>
    </format>
    <format dxfId="299">
      <pivotArea collapsedLevelsAreSubtotals="1" fieldPosition="0">
        <references count="1">
          <reference field="1" count="12">
            <x v="1"/>
            <x v="2"/>
            <x v="3"/>
            <x v="4"/>
            <x v="5"/>
            <x v="6"/>
            <x v="7"/>
            <x v="8"/>
            <x v="9"/>
            <x v="10"/>
            <x v="11"/>
            <x v="12"/>
          </reference>
        </references>
      </pivotArea>
    </format>
    <format dxfId="298">
      <pivotArea collapsedLevelsAreSubtotals="1" fieldPosition="0">
        <references count="1">
          <reference field="1" count="12">
            <x v="1"/>
            <x v="2"/>
            <x v="3"/>
            <x v="4"/>
            <x v="5"/>
            <x v="6"/>
            <x v="7"/>
            <x v="8"/>
            <x v="9"/>
            <x v="10"/>
            <x v="11"/>
            <x v="12"/>
          </reference>
        </references>
      </pivotArea>
    </format>
    <format dxfId="297">
      <pivotArea collapsedLevelsAreSubtotals="1" fieldPosition="0">
        <references count="1">
          <reference field="1" count="12">
            <x v="1"/>
            <x v="2"/>
            <x v="3"/>
            <x v="4"/>
            <x v="5"/>
            <x v="6"/>
            <x v="7"/>
            <x v="8"/>
            <x v="9"/>
            <x v="10"/>
            <x v="11"/>
            <x v="12"/>
          </reference>
        </references>
      </pivotArea>
    </format>
    <format dxfId="296">
      <pivotArea collapsedLevelsAreSubtotals="1" fieldPosition="0">
        <references count="1">
          <reference field="1" count="12">
            <x v="1"/>
            <x v="2"/>
            <x v="3"/>
            <x v="4"/>
            <x v="5"/>
            <x v="6"/>
            <x v="7"/>
            <x v="8"/>
            <x v="9"/>
            <x v="10"/>
            <x v="11"/>
            <x v="12"/>
          </reference>
        </references>
      </pivotArea>
    </format>
    <format dxfId="295">
      <pivotArea collapsedLevelsAreSubtotals="1" fieldPosition="0">
        <references count="1">
          <reference field="1" count="12">
            <x v="1"/>
            <x v="2"/>
            <x v="3"/>
            <x v="4"/>
            <x v="5"/>
            <x v="6"/>
            <x v="7"/>
            <x v="8"/>
            <x v="9"/>
            <x v="10"/>
            <x v="11"/>
            <x v="12"/>
          </reference>
        </references>
      </pivotArea>
    </format>
    <format dxfId="294">
      <pivotArea collapsedLevelsAreSubtotals="1" fieldPosition="0">
        <references count="1">
          <reference field="1" count="12">
            <x v="1"/>
            <x v="2"/>
            <x v="3"/>
            <x v="4"/>
            <x v="5"/>
            <x v="6"/>
            <x v="7"/>
            <x v="8"/>
            <x v="9"/>
            <x v="10"/>
            <x v="11"/>
            <x v="12"/>
          </reference>
        </references>
      </pivotArea>
    </format>
    <format dxfId="293">
      <pivotArea collapsedLevelsAreSubtotals="1" fieldPosition="0">
        <references count="1">
          <reference field="1" count="12">
            <x v="1"/>
            <x v="2"/>
            <x v="3"/>
            <x v="4"/>
            <x v="5"/>
            <x v="6"/>
            <x v="7"/>
            <x v="8"/>
            <x v="9"/>
            <x v="10"/>
            <x v="11"/>
            <x v="12"/>
          </reference>
        </references>
      </pivotArea>
    </format>
    <format dxfId="292">
      <pivotArea collapsedLevelsAreSubtotals="1" fieldPosition="0">
        <references count="1">
          <reference field="1" count="12">
            <x v="1"/>
            <x v="2"/>
            <x v="3"/>
            <x v="4"/>
            <x v="5"/>
            <x v="6"/>
            <x v="7"/>
            <x v="8"/>
            <x v="9"/>
            <x v="10"/>
            <x v="11"/>
            <x v="12"/>
          </reference>
        </references>
      </pivotArea>
    </format>
    <format dxfId="291">
      <pivotArea collapsedLevelsAreSubtotals="1" fieldPosition="0">
        <references count="1">
          <reference field="1" count="12">
            <x v="1"/>
            <x v="2"/>
            <x v="3"/>
            <x v="4"/>
            <x v="5"/>
            <x v="6"/>
            <x v="7"/>
            <x v="8"/>
            <x v="9"/>
            <x v="10"/>
            <x v="11"/>
            <x v="12"/>
          </reference>
        </references>
      </pivotArea>
    </format>
  </formats>
  <conditionalFormats count="1">
    <conditionalFormat priority="17">
      <pivotAreas count="1">
        <pivotArea type="data" collapsedLevelsAreSubtotals="1" fieldPosition="0">
          <references count="2">
            <reference field="4294967294" count="1" selected="0">
              <x v="0"/>
            </reference>
            <reference field="1" count="12">
              <x v="1"/>
              <x v="2"/>
              <x v="3"/>
              <x v="4"/>
              <x v="5"/>
              <x v="6"/>
              <x v="7"/>
              <x v="8"/>
              <x v="9"/>
              <x v="10"/>
              <x v="1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00000000-0007-0000-0500-00000A000000}" name="PivotTable2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98:B205" firstHeaderRow="1" firstDataRow="1" firstDataCol="1" rowPageCount="2" colPageCount="1"/>
  <pivotFields count="22">
    <pivotField axis="axisPage" dataField="1" showAll="0">
      <items count="1001">
        <item x="600"/>
        <item x="637"/>
        <item x="121"/>
        <item x="535"/>
        <item x="631"/>
        <item x="967"/>
        <item x="932"/>
        <item x="665"/>
        <item x="538"/>
        <item x="688"/>
        <item x="104"/>
        <item x="651"/>
        <item x="295"/>
        <item x="364"/>
        <item x="71"/>
        <item x="25"/>
        <item x="472"/>
        <item x="520"/>
        <item x="57"/>
        <item x="998"/>
        <item x="713"/>
        <item x="236"/>
        <item x="552"/>
        <item x="735"/>
        <item x="852"/>
        <item x="742"/>
        <item x="788"/>
        <item x="476"/>
        <item x="516"/>
        <item x="416"/>
        <item x="921"/>
        <item x="950"/>
        <item x="293"/>
        <item x="965"/>
        <item x="531"/>
        <item x="354"/>
        <item x="209"/>
        <item x="433"/>
        <item x="474"/>
        <item x="813"/>
        <item x="643"/>
        <item x="475"/>
        <item x="6"/>
        <item x="14"/>
        <item x="227"/>
        <item x="585"/>
        <item x="690"/>
        <item x="916"/>
        <item x="307"/>
        <item x="815"/>
        <item x="640"/>
        <item x="308"/>
        <item x="862"/>
        <item x="52"/>
        <item x="775"/>
        <item x="427"/>
        <item x="736"/>
        <item x="874"/>
        <item x="533"/>
        <item x="687"/>
        <item x="34"/>
        <item x="641"/>
        <item x="70"/>
        <item x="380"/>
        <item x="74"/>
        <item x="12"/>
        <item x="478"/>
        <item x="893"/>
        <item x="644"/>
        <item x="117"/>
        <item x="668"/>
        <item x="179"/>
        <item x="962"/>
        <item x="487"/>
        <item x="243"/>
        <item x="695"/>
        <item x="279"/>
        <item x="939"/>
        <item x="945"/>
        <item x="63"/>
        <item x="774"/>
        <item x="110"/>
        <item x="769"/>
        <item x="795"/>
        <item x="309"/>
        <item x="936"/>
        <item x="876"/>
        <item x="315"/>
        <item x="86"/>
        <item x="612"/>
        <item x="624"/>
        <item x="168"/>
        <item x="639"/>
        <item x="58"/>
        <item x="807"/>
        <item x="759"/>
        <item x="254"/>
        <item x="696"/>
        <item x="834"/>
        <item x="368"/>
        <item x="577"/>
        <item x="54"/>
        <item x="240"/>
        <item x="1"/>
        <item x="686"/>
        <item x="77"/>
        <item x="219"/>
        <item x="259"/>
        <item x="692"/>
        <item x="16"/>
        <item x="488"/>
        <item x="833"/>
        <item x="975"/>
        <item x="727"/>
        <item x="278"/>
        <item x="509"/>
        <item x="322"/>
        <item x="532"/>
        <item x="646"/>
        <item x="170"/>
        <item x="2"/>
        <item x="116"/>
        <item x="902"/>
        <item x="539"/>
        <item x="562"/>
        <item x="976"/>
        <item x="462"/>
        <item x="461"/>
        <item x="163"/>
        <item x="72"/>
        <item x="61"/>
        <item x="960"/>
        <item x="888"/>
        <item x="13"/>
        <item x="566"/>
        <item x="102"/>
        <item x="480"/>
        <item x="995"/>
        <item x="885"/>
        <item x="299"/>
        <item x="802"/>
        <item x="172"/>
        <item x="554"/>
        <item x="502"/>
        <item x="782"/>
        <item x="517"/>
        <item x="977"/>
        <item x="479"/>
        <item x="56"/>
        <item x="773"/>
        <item x="550"/>
        <item x="991"/>
        <item x="0"/>
        <item x="901"/>
        <item x="283"/>
        <item x="415"/>
        <item x="514"/>
        <item x="420"/>
        <item x="252"/>
        <item x="156"/>
        <item x="361"/>
        <item x="747"/>
        <item x="685"/>
        <item x="615"/>
        <item x="340"/>
        <item x="570"/>
        <item x="698"/>
        <item x="250"/>
        <item x="26"/>
        <item x="152"/>
        <item x="349"/>
        <item x="158"/>
        <item x="369"/>
        <item x="920"/>
        <item x="430"/>
        <item x="633"/>
        <item x="568"/>
        <item x="3"/>
        <item x="869"/>
        <item x="884"/>
        <item x="99"/>
        <item x="816"/>
        <item x="193"/>
        <item x="330"/>
        <item x="638"/>
        <item x="469"/>
        <item x="732"/>
        <item x="414"/>
        <item x="649"/>
        <item x="206"/>
        <item x="241"/>
        <item x="819"/>
        <item x="185"/>
        <item x="439"/>
        <item x="771"/>
        <item x="141"/>
        <item x="194"/>
        <item x="900"/>
        <item x="714"/>
        <item x="534"/>
        <item x="245"/>
        <item x="81"/>
        <item x="985"/>
        <item x="318"/>
        <item x="262"/>
        <item x="59"/>
        <item x="30"/>
        <item x="468"/>
        <item x="825"/>
        <item x="923"/>
        <item x="971"/>
        <item x="47"/>
        <item x="906"/>
        <item x="792"/>
        <item x="398"/>
        <item x="492"/>
        <item x="681"/>
        <item x="60"/>
        <item x="653"/>
        <item x="29"/>
        <item x="418"/>
        <item x="663"/>
        <item x="710"/>
        <item x="711"/>
        <item x="979"/>
        <item x="459"/>
        <item x="935"/>
        <item x="508"/>
        <item x="671"/>
        <item x="195"/>
        <item x="987"/>
        <item x="275"/>
        <item x="578"/>
        <item x="541"/>
        <item x="596"/>
        <item x="881"/>
        <item x="757"/>
        <item x="85"/>
        <item x="608"/>
        <item x="737"/>
        <item x="393"/>
        <item x="237"/>
        <item x="75"/>
        <item x="234"/>
        <item x="442"/>
        <item x="808"/>
        <item x="450"/>
        <item x="440"/>
        <item x="409"/>
        <item x="55"/>
        <item x="286"/>
        <item x="917"/>
        <item x="956"/>
        <item x="726"/>
        <item x="706"/>
        <item x="762"/>
        <item x="66"/>
        <item x="493"/>
        <item x="572"/>
        <item x="460"/>
        <item x="662"/>
        <item x="40"/>
        <item x="385"/>
        <item x="630"/>
        <item x="826"/>
        <item x="658"/>
        <item x="119"/>
        <item x="153"/>
        <item x="628"/>
        <item x="106"/>
        <item x="537"/>
        <item x="699"/>
        <item x="84"/>
        <item x="929"/>
        <item x="953"/>
        <item x="908"/>
        <item x="137"/>
        <item x="422"/>
        <item x="186"/>
        <item x="548"/>
        <item x="760"/>
        <item x="867"/>
        <item x="267"/>
        <item x="136"/>
        <item x="930"/>
        <item x="809"/>
        <item x="506"/>
        <item x="131"/>
        <item x="226"/>
        <item x="969"/>
        <item x="19"/>
        <item x="959"/>
        <item x="990"/>
        <item x="482"/>
        <item x="44"/>
        <item x="177"/>
        <item x="273"/>
        <item x="357"/>
        <item x="810"/>
        <item x="652"/>
        <item x="452"/>
        <item x="524"/>
        <item x="251"/>
        <item x="374"/>
        <item x="801"/>
        <item x="303"/>
        <item x="400"/>
        <item x="806"/>
        <item x="789"/>
        <item x="5"/>
        <item x="83"/>
        <item x="952"/>
        <item x="145"/>
        <item x="590"/>
        <item x="389"/>
        <item x="892"/>
        <item x="205"/>
        <item x="171"/>
        <item x="761"/>
        <item x="377"/>
        <item x="744"/>
        <item x="431"/>
        <item x="822"/>
        <item x="449"/>
        <item x="992"/>
        <item x="581"/>
        <item x="123"/>
        <item x="438"/>
        <item x="799"/>
        <item x="436"/>
        <item x="36"/>
        <item x="428"/>
        <item x="456"/>
        <item x="183"/>
        <item x="582"/>
        <item x="288"/>
        <item x="399"/>
        <item x="513"/>
        <item x="165"/>
        <item x="919"/>
        <item x="178"/>
        <item x="217"/>
        <item x="606"/>
        <item x="868"/>
        <item x="855"/>
        <item x="689"/>
        <item x="421"/>
        <item x="627"/>
        <item x="704"/>
        <item x="51"/>
        <item x="831"/>
        <item x="817"/>
        <item x="184"/>
        <item x="525"/>
        <item x="228"/>
        <item x="648"/>
        <item x="895"/>
        <item x="694"/>
        <item x="477"/>
        <item x="629"/>
        <item x="851"/>
        <item x="972"/>
        <item x="395"/>
        <item x="673"/>
        <item x="910"/>
        <item x="91"/>
        <item x="556"/>
        <item x="708"/>
        <item x="343"/>
        <item x="523"/>
        <item x="849"/>
        <item x="850"/>
        <item x="544"/>
        <item x="334"/>
        <item x="473"/>
        <item x="675"/>
        <item x="776"/>
        <item x="586"/>
        <item x="660"/>
        <item x="768"/>
        <item x="743"/>
        <item x="22"/>
        <item x="233"/>
        <item x="390"/>
        <item x="584"/>
        <item x="151"/>
        <item x="268"/>
        <item x="213"/>
        <item x="188"/>
        <item x="212"/>
        <item x="599"/>
        <item x="844"/>
        <item x="680"/>
        <item x="239"/>
        <item x="444"/>
        <item x="140"/>
        <item x="176"/>
        <item x="336"/>
        <item x="563"/>
        <item x="574"/>
        <item x="926"/>
        <item x="703"/>
        <item x="370"/>
        <item x="871"/>
        <item x="636"/>
        <item x="635"/>
        <item x="312"/>
        <item x="31"/>
        <item x="497"/>
        <item x="756"/>
        <item x="618"/>
        <item x="15"/>
        <item x="23"/>
        <item x="21"/>
        <item x="601"/>
        <item x="230"/>
        <item x="32"/>
        <item x="53"/>
        <item x="33"/>
        <item x="963"/>
        <item x="896"/>
        <item x="878"/>
        <item x="974"/>
        <item x="657"/>
        <item x="647"/>
        <item x="103"/>
        <item x="770"/>
        <item x="787"/>
        <item x="978"/>
        <item x="371"/>
        <item x="98"/>
        <item x="358"/>
        <item x="401"/>
        <item x="785"/>
        <item x="804"/>
        <item x="752"/>
        <item x="961"/>
        <item x="941"/>
        <item x="899"/>
        <item x="589"/>
        <item x="166"/>
        <item x="507"/>
        <item x="191"/>
        <item x="341"/>
        <item x="46"/>
        <item x="749"/>
        <item x="41"/>
        <item x="913"/>
        <item x="353"/>
        <item x="49"/>
        <item x="854"/>
        <item x="78"/>
        <item x="64"/>
        <item x="519"/>
        <item x="387"/>
        <item x="728"/>
        <item x="723"/>
        <item x="327"/>
        <item x="150"/>
        <item x="781"/>
        <item x="835"/>
        <item x="894"/>
        <item x="122"/>
        <item x="154"/>
        <item x="883"/>
        <item x="829"/>
        <item x="555"/>
        <item x="155"/>
        <item x="306"/>
        <item x="386"/>
        <item x="314"/>
        <item x="339"/>
        <item x="661"/>
        <item x="814"/>
        <item x="247"/>
        <item x="560"/>
        <item x="224"/>
        <item x="779"/>
        <item x="860"/>
        <item x="180"/>
        <item x="105"/>
        <item x="437"/>
        <item x="511"/>
        <item x="603"/>
        <item x="331"/>
        <item x="453"/>
        <item x="92"/>
        <item x="803"/>
        <item x="650"/>
        <item x="677"/>
        <item x="432"/>
        <item x="429"/>
        <item x="366"/>
        <item x="567"/>
        <item x="891"/>
        <item x="101"/>
        <item x="490"/>
        <item x="739"/>
        <item x="832"/>
        <item x="347"/>
        <item x="938"/>
        <item x="419"/>
        <item x="471"/>
        <item x="720"/>
        <item x="863"/>
        <item x="127"/>
        <item x="367"/>
        <item x="857"/>
        <item x="583"/>
        <item x="451"/>
        <item x="139"/>
        <item x="800"/>
        <item x="481"/>
        <item x="394"/>
        <item x="232"/>
        <item x="352"/>
        <item x="858"/>
        <item x="182"/>
        <item x="43"/>
        <item x="521"/>
        <item x="609"/>
        <item x="890"/>
        <item x="591"/>
        <item x="748"/>
        <item x="796"/>
        <item x="512"/>
        <item x="887"/>
        <item x="287"/>
        <item x="664"/>
        <item x="827"/>
        <item x="504"/>
        <item x="310"/>
        <item x="381"/>
        <item x="579"/>
        <item x="467"/>
        <item x="317"/>
        <item x="164"/>
        <item x="877"/>
        <item x="328"/>
        <item x="114"/>
        <item x="925"/>
        <item x="754"/>
        <item x="376"/>
        <item x="249"/>
        <item x="235"/>
        <item x="943"/>
        <item x="933"/>
        <item x="443"/>
        <item x="745"/>
        <item x="335"/>
        <item x="38"/>
        <item x="146"/>
        <item x="918"/>
        <item x="830"/>
        <item x="715"/>
        <item x="214"/>
        <item x="207"/>
        <item x="485"/>
        <item x="922"/>
        <item x="522"/>
        <item x="620"/>
        <item x="805"/>
        <item x="423"/>
        <item x="42"/>
        <item x="626"/>
        <item x="569"/>
        <item x="282"/>
        <item x="344"/>
        <item x="731"/>
        <item x="996"/>
        <item x="547"/>
        <item x="786"/>
        <item x="594"/>
        <item x="946"/>
        <item x="238"/>
        <item x="260"/>
        <item x="623"/>
        <item x="846"/>
        <item x="682"/>
        <item x="859"/>
        <item x="625"/>
        <item x="836"/>
        <item x="120"/>
        <item x="300"/>
        <item x="667"/>
        <item x="700"/>
        <item x="839"/>
        <item x="124"/>
        <item x="905"/>
        <item x="707"/>
        <item x="518"/>
        <item x="931"/>
        <item x="955"/>
        <item x="879"/>
        <item x="702"/>
        <item x="388"/>
        <item x="999"/>
        <item x="670"/>
        <item x="222"/>
        <item x="553"/>
        <item x="598"/>
        <item x="112"/>
        <item x="45"/>
        <item x="489"/>
        <item x="934"/>
        <item x="927"/>
        <item x="11"/>
        <item x="740"/>
        <item x="542"/>
        <item x="8"/>
        <item x="593"/>
        <item x="889"/>
        <item x="730"/>
        <item x="486"/>
        <item x="396"/>
        <item x="298"/>
        <item x="619"/>
        <item x="678"/>
        <item x="767"/>
        <item x="97"/>
        <item x="425"/>
        <item x="621"/>
        <item x="272"/>
        <item x="904"/>
        <item x="983"/>
        <item x="79"/>
        <item x="290"/>
        <item x="313"/>
        <item x="750"/>
        <item x="320"/>
        <item x="210"/>
        <item x="558"/>
        <item x="722"/>
        <item x="296"/>
        <item x="316"/>
        <item x="345"/>
        <item x="797"/>
        <item x="838"/>
        <item x="108"/>
        <item x="383"/>
        <item x="132"/>
        <item x="719"/>
        <item x="391"/>
        <item x="610"/>
        <item x="842"/>
        <item x="129"/>
        <item x="734"/>
        <item x="4"/>
        <item x="404"/>
        <item x="284"/>
        <item x="100"/>
        <item x="645"/>
        <item x="622"/>
        <item x="408"/>
        <item x="464"/>
        <item x="861"/>
        <item x="866"/>
        <item x="402"/>
        <item x="766"/>
        <item x="18"/>
        <item x="325"/>
        <item x="82"/>
        <item x="669"/>
        <item x="342"/>
        <item x="765"/>
        <item x="564"/>
        <item x="980"/>
        <item x="424"/>
        <item x="417"/>
        <item x="937"/>
        <item x="225"/>
        <item x="360"/>
        <item x="500"/>
        <item x="323"/>
        <item x="435"/>
        <item x="90"/>
        <item x="407"/>
        <item x="778"/>
        <item x="616"/>
        <item x="840"/>
        <item x="784"/>
        <item x="940"/>
        <item x="147"/>
        <item x="62"/>
        <item x="231"/>
        <item x="67"/>
        <item x="495"/>
        <item x="448"/>
        <item x="684"/>
        <item x="928"/>
        <item x="944"/>
        <item x="359"/>
        <item x="958"/>
        <item x="915"/>
        <item x="457"/>
        <item x="199"/>
        <item x="159"/>
        <item x="9"/>
        <item x="530"/>
        <item x="37"/>
        <item x="375"/>
        <item x="611"/>
        <item x="880"/>
        <item x="397"/>
        <item x="540"/>
        <item x="118"/>
        <item x="872"/>
        <item x="573"/>
        <item x="329"/>
        <item x="793"/>
        <item x="783"/>
        <item x="338"/>
        <item x="580"/>
        <item x="903"/>
        <item x="911"/>
        <item x="571"/>
        <item x="160"/>
        <item x="617"/>
        <item x="221"/>
        <item x="319"/>
        <item x="382"/>
        <item x="276"/>
        <item x="798"/>
        <item x="96"/>
        <item x="463"/>
        <item x="864"/>
        <item x="951"/>
        <item x="981"/>
        <item x="458"/>
        <item x="725"/>
        <item x="426"/>
        <item x="824"/>
        <item x="143"/>
        <item x="733"/>
        <item x="413"/>
        <item x="405"/>
        <item x="654"/>
        <item x="115"/>
        <item x="561"/>
        <item x="741"/>
        <item x="701"/>
        <item x="841"/>
        <item x="693"/>
        <item x="87"/>
        <item x="909"/>
        <item x="791"/>
        <item x="602"/>
        <item x="465"/>
        <item x="549"/>
        <item x="942"/>
        <item x="496"/>
        <item x="253"/>
        <item x="717"/>
        <item x="494"/>
        <item x="559"/>
        <item x="378"/>
        <item x="632"/>
        <item x="261"/>
        <item x="709"/>
        <item x="882"/>
        <item x="843"/>
        <item x="870"/>
        <item x="134"/>
        <item x="204"/>
        <item x="988"/>
        <item x="738"/>
        <item x="89"/>
        <item x="986"/>
        <item x="565"/>
        <item x="820"/>
        <item x="24"/>
        <item x="758"/>
        <item x="865"/>
        <item x="607"/>
        <item x="265"/>
        <item x="192"/>
        <item x="242"/>
        <item x="304"/>
        <item x="294"/>
        <item x="302"/>
        <item x="362"/>
        <item x="837"/>
        <item x="811"/>
        <item x="515"/>
        <item x="510"/>
        <item x="291"/>
        <item x="133"/>
        <item x="672"/>
        <item x="196"/>
        <item x="557"/>
        <item x="912"/>
        <item x="215"/>
        <item x="229"/>
        <item x="201"/>
        <item x="543"/>
        <item x="718"/>
        <item x="202"/>
        <item x="821"/>
        <item x="270"/>
        <item x="536"/>
        <item x="277"/>
        <item x="528"/>
        <item x="305"/>
        <item x="297"/>
        <item x="128"/>
        <item x="181"/>
        <item x="7"/>
        <item x="679"/>
        <item x="772"/>
        <item x="216"/>
        <item x="642"/>
        <item x="498"/>
        <item x="289"/>
        <item x="95"/>
        <item x="256"/>
        <item x="655"/>
        <item x="545"/>
        <item x="246"/>
        <item x="88"/>
        <item x="197"/>
        <item x="350"/>
        <item x="76"/>
        <item x="968"/>
        <item x="613"/>
        <item x="332"/>
        <item x="274"/>
        <item x="321"/>
        <item x="326"/>
        <item x="954"/>
        <item x="157"/>
        <item x="149"/>
        <item x="997"/>
        <item x="351"/>
        <item x="794"/>
        <item x="113"/>
        <item x="683"/>
        <item x="263"/>
        <item x="208"/>
        <item x="970"/>
        <item x="982"/>
        <item x="604"/>
        <item x="712"/>
        <item x="311"/>
        <item x="957"/>
        <item x="39"/>
        <item x="848"/>
        <item x="764"/>
        <item x="853"/>
        <item x="576"/>
        <item x="10"/>
        <item x="614"/>
        <item x="529"/>
        <item x="746"/>
        <item x="780"/>
        <item x="410"/>
        <item x="148"/>
        <item x="200"/>
        <item x="187"/>
        <item x="755"/>
        <item x="255"/>
        <item x="777"/>
        <item x="790"/>
        <item x="337"/>
        <item x="218"/>
        <item x="125"/>
        <item x="994"/>
        <item x="551"/>
        <item x="258"/>
        <item x="189"/>
        <item x="264"/>
        <item x="676"/>
        <item x="924"/>
        <item x="280"/>
        <item x="659"/>
        <item x="285"/>
        <item x="966"/>
        <item x="818"/>
        <item x="973"/>
        <item x="17"/>
        <item x="111"/>
        <item x="875"/>
        <item x="248"/>
        <item x="35"/>
        <item x="173"/>
        <item x="65"/>
        <item x="949"/>
        <item x="753"/>
        <item x="907"/>
        <item x="365"/>
        <item x="575"/>
        <item x="203"/>
        <item x="28"/>
        <item x="126"/>
        <item x="244"/>
        <item x="729"/>
        <item x="363"/>
        <item x="20"/>
        <item x="373"/>
        <item x="198"/>
        <item x="588"/>
        <item x="697"/>
        <item x="898"/>
        <item x="466"/>
        <item x="856"/>
        <item x="406"/>
        <item x="812"/>
        <item x="356"/>
        <item x="634"/>
        <item x="411"/>
        <item x="223"/>
        <item x="333"/>
        <item x="346"/>
        <item x="691"/>
        <item x="94"/>
        <item x="470"/>
        <item x="130"/>
        <item x="434"/>
        <item x="220"/>
        <item x="914"/>
        <item x="847"/>
        <item x="211"/>
        <item x="162"/>
        <item x="886"/>
        <item x="505"/>
        <item x="441"/>
        <item x="412"/>
        <item x="845"/>
        <item x="138"/>
        <item x="379"/>
        <item x="595"/>
        <item x="501"/>
        <item x="454"/>
        <item x="984"/>
        <item x="269"/>
        <item x="109"/>
        <item x="446"/>
        <item x="384"/>
        <item x="823"/>
        <item x="93"/>
        <item x="348"/>
        <item x="324"/>
        <item x="483"/>
        <item x="721"/>
        <item x="897"/>
        <item x="292"/>
        <item x="526"/>
        <item x="546"/>
        <item x="50"/>
        <item x="587"/>
        <item x="948"/>
        <item x="281"/>
        <item x="491"/>
        <item x="751"/>
        <item x="527"/>
        <item x="169"/>
        <item x="873"/>
        <item x="73"/>
        <item x="144"/>
        <item x="48"/>
        <item x="175"/>
        <item x="142"/>
        <item x="27"/>
        <item x="455"/>
        <item x="674"/>
        <item x="503"/>
        <item x="592"/>
        <item x="724"/>
        <item x="161"/>
        <item x="656"/>
        <item x="666"/>
        <item x="499"/>
        <item x="135"/>
        <item x="174"/>
        <item x="257"/>
        <item x="993"/>
        <item x="964"/>
        <item x="947"/>
        <item x="355"/>
        <item x="392"/>
        <item x="605"/>
        <item x="107"/>
        <item x="763"/>
        <item x="403"/>
        <item x="372"/>
        <item x="69"/>
        <item x="705"/>
        <item x="190"/>
        <item x="80"/>
        <item x="716"/>
        <item x="484"/>
        <item x="266"/>
        <item x="597"/>
        <item x="989"/>
        <item x="828"/>
        <item x="68"/>
        <item x="301"/>
        <item x="445"/>
        <item x="167"/>
        <item x="271"/>
        <item x="447"/>
        <item t="default"/>
      </items>
    </pivotField>
    <pivotField numFmtId="165" showAll="0"/>
    <pivotField showAll="0"/>
    <pivotField showAll="0"/>
    <pivotField showAll="0"/>
    <pivotField showAll="0"/>
    <pivotField axis="axisRow" showAll="0">
      <items count="7">
        <item x="4"/>
        <item x="2"/>
        <item x="5"/>
        <item x="0"/>
        <item x="1"/>
        <item x="3"/>
        <item t="default"/>
      </items>
    </pivotField>
    <pivotField showAll="0"/>
    <pivotField showAll="0"/>
    <pivotField showAll="0"/>
    <pivotField numFmtId="4" showAll="0"/>
    <pivotField numFmtId="4" showAll="0"/>
    <pivotField numFmtId="164" showAll="0"/>
    <pivotField numFmtId="4" showAll="0"/>
    <pivotField numFmtId="4" showAll="0"/>
    <pivotField showAll="0"/>
    <pivotField axis="axisPage" multipleItemSelectionAllowed="1" showAll="0">
      <items count="5">
        <item x="1"/>
        <item x="2"/>
        <item h="1" x="0"/>
        <item h="1" x="3"/>
        <item t="default"/>
      </items>
    </pivotField>
    <pivotField numFmtId="168" showAll="0"/>
    <pivotField showAll="0" defaultSubtotal="0"/>
    <pivotField showAll="0" defaultSubtotal="0"/>
    <pivotField dragToRow="0" dragToCol="0" dragToPage="0" showAll="0" defaultSubtotal="0"/>
    <pivotField dragToRow="0" dragToCol="0" dragToPage="0" showAll="0" defaultSubtotal="0"/>
  </pivotFields>
  <rowFields count="1">
    <field x="6"/>
  </rowFields>
  <rowItems count="7">
    <i>
      <x/>
    </i>
    <i>
      <x v="1"/>
    </i>
    <i>
      <x v="2"/>
    </i>
    <i>
      <x v="3"/>
    </i>
    <i>
      <x v="4"/>
    </i>
    <i>
      <x v="5"/>
    </i>
    <i t="grand">
      <x/>
    </i>
  </rowItems>
  <colItems count="1">
    <i/>
  </colItems>
  <pageFields count="2">
    <pageField fld="16" hier="-1"/>
    <pageField fld="0" hier="-1"/>
  </pageFields>
  <dataFields count="1">
    <dataField name="Count of Order ID" fld="0" subtotal="count" baseField="0" baseItem="0"/>
  </dataFields>
  <formats count="7">
    <format dxfId="312">
      <pivotArea outline="0" collapsedLevelsAreSubtotals="1" fieldPosition="0"/>
    </format>
    <format dxfId="311">
      <pivotArea outline="0" collapsedLevelsAreSubtotals="1" fieldPosition="0"/>
    </format>
    <format dxfId="310">
      <pivotArea outline="0" collapsedLevelsAreSubtotals="1" fieldPosition="0"/>
    </format>
    <format dxfId="309">
      <pivotArea outline="0" collapsedLevelsAreSubtotals="1" fieldPosition="0"/>
    </format>
    <format dxfId="308">
      <pivotArea outline="0" collapsedLevelsAreSubtotals="1" fieldPosition="0"/>
    </format>
    <format dxfId="307">
      <pivotArea outline="0" collapsedLevelsAreSubtotals="1" fieldPosition="0"/>
    </format>
    <format dxfId="30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00000000-0007-0000-0500-000008000000}" name="PivotTable5"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rowHeaderCaption="CATEGORY ">
  <location ref="A34:B40" firstHeaderRow="1" firstDataRow="1" firstDataCol="1"/>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numFmtId="4" showAll="0"/>
    <pivotField numFmtId="4" showAll="0"/>
    <pivotField dataField="1" numFmtId="164" showAll="0"/>
    <pivotField numFmtId="4" showAll="0"/>
    <pivotField numFmtId="4" showAll="0"/>
    <pivotField axis="axisRow" showAll="0">
      <items count="6">
        <item x="2"/>
        <item x="1"/>
        <item x="0"/>
        <item x="4"/>
        <item x="3"/>
        <item t="default"/>
      </items>
    </pivotField>
    <pivotField showAll="0"/>
    <pivotField showAll="0" defaultSubtotal="0">
      <items count="6">
        <item x="0"/>
        <item x="1"/>
        <item x="2"/>
        <item x="3"/>
        <item x="4"/>
        <item x="5"/>
      </items>
    </pivotField>
    <pivotField showAll="0" defaultSubtotal="0">
      <items count="4">
        <item x="0"/>
        <item x="1"/>
        <item x="2"/>
        <item x="3"/>
      </items>
    </pivotField>
  </pivotFields>
  <rowFields count="1">
    <field x="15"/>
  </rowFields>
  <rowItems count="6">
    <i>
      <x/>
    </i>
    <i>
      <x v="1"/>
    </i>
    <i>
      <x v="2"/>
    </i>
    <i>
      <x v="3"/>
    </i>
    <i>
      <x v="4"/>
    </i>
    <i t="grand">
      <x/>
    </i>
  </rowItems>
  <colItems count="1">
    <i/>
  </colItems>
  <dataFields count="1">
    <dataField name="Average of Discount %" fld="12" subtotal="average" baseField="15" baseItem="0" numFmtId="166"/>
  </dataFields>
  <formats count="6">
    <format dxfId="318">
      <pivotArea outline="0" collapsedLevelsAreSubtotals="1" fieldPosition="0"/>
    </format>
    <format dxfId="317">
      <pivotArea outline="0" collapsedLevelsAreSubtotals="1" fieldPosition="0"/>
    </format>
    <format dxfId="316">
      <pivotArea outline="0" collapsedLevelsAreSubtotals="1" fieldPosition="0"/>
    </format>
    <format dxfId="315">
      <pivotArea outline="0" collapsedLevelsAreSubtotals="1" fieldPosition="0"/>
    </format>
    <format dxfId="314">
      <pivotArea outline="0" collapsedLevelsAreSubtotals="1" fieldPosition="0"/>
    </format>
    <format dxfId="3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00000000-0007-0000-0500-000015000000}" name="PivotTable32"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298:B305" firstHeaderRow="1" firstDataRow="1" firstDataCol="1"/>
  <pivotFields count="22">
    <pivotField showAll="0"/>
    <pivotField numFmtId="165" showAll="0">
      <items count="15">
        <item x="0"/>
        <item x="1"/>
        <item x="2"/>
        <item x="3"/>
        <item x="4"/>
        <item x="5"/>
        <item x="6"/>
        <item x="7"/>
        <item x="8"/>
        <item x="9"/>
        <item x="10"/>
        <item x="11"/>
        <item x="12"/>
        <item x="13"/>
        <item t="default"/>
      </items>
    </pivotField>
    <pivotField showAll="0"/>
    <pivotField showAll="0"/>
    <pivotField showAll="0">
      <items count="5">
        <item x="0"/>
        <item x="3"/>
        <item x="2"/>
        <item x="1"/>
        <item t="default"/>
      </items>
    </pivotField>
    <pivotField showAll="0"/>
    <pivotField axis="axisRow" showAll="0">
      <items count="7">
        <item x="4"/>
        <item x="2"/>
        <item x="5"/>
        <item x="0"/>
        <item x="1"/>
        <item x="3"/>
        <item t="default"/>
      </items>
    </pivotField>
    <pivotField showAll="0"/>
    <pivotField showAll="0"/>
    <pivotField showAll="0"/>
    <pivotField numFmtId="4" showAll="0"/>
    <pivotField dataField="1" numFmtId="4" showAll="0"/>
    <pivotField numFmtId="164" showAll="0"/>
    <pivotField numFmtId="4" showAll="0"/>
    <pivotField numFmtId="4" showAll="0"/>
    <pivotField showAll="0"/>
    <pivotField showAll="0"/>
    <pivotField numFmtId="168" showAll="0"/>
    <pivotField showAll="0" defaultSubtotal="0">
      <items count="6">
        <item sd="0" x="0"/>
        <item sd="0" x="1"/>
        <item sd="0" x="2"/>
        <item sd="0" x="3"/>
        <item sd="0" x="4"/>
        <item sd="0" x="5"/>
      </items>
    </pivotField>
    <pivotField showAll="0" defaultSubtotal="0">
      <items count="4">
        <item sd="0" x="0"/>
        <item sd="0" x="1"/>
        <item sd="0" x="2"/>
        <item sd="0" x="3"/>
      </items>
    </pivotField>
    <pivotField dragToRow="0" dragToCol="0" dragToPage="0" showAll="0" defaultSubtotal="0"/>
    <pivotField dragToRow="0" dragToCol="0" dragToPage="0" showAll="0" defaultSubtotal="0"/>
  </pivotFields>
  <rowFields count="1">
    <field x="6"/>
  </rowFields>
  <rowItems count="7">
    <i>
      <x/>
    </i>
    <i>
      <x v="1"/>
    </i>
    <i>
      <x v="2"/>
    </i>
    <i>
      <x v="3"/>
    </i>
    <i>
      <x v="4"/>
    </i>
    <i>
      <x v="5"/>
    </i>
    <i t="grand">
      <x/>
    </i>
  </rowItems>
  <colItems count="1">
    <i/>
  </colItems>
  <dataFields count="1">
    <dataField name="Sum of Sales" fld="11" showDataAs="percentOfTotal" baseField="6" baseItem="0" numFmtId="10"/>
  </dataFields>
  <formats count="7">
    <format dxfId="325">
      <pivotArea outline="0" collapsedLevelsAreSubtotals="1" fieldPosition="0"/>
    </format>
    <format dxfId="324">
      <pivotArea outline="0" collapsedLevelsAreSubtotals="1" fieldPosition="0"/>
    </format>
    <format dxfId="323">
      <pivotArea outline="0" collapsedLevelsAreSubtotals="1" fieldPosition="0"/>
    </format>
    <format dxfId="322">
      <pivotArea outline="0" collapsedLevelsAreSubtotals="1" fieldPosition="0"/>
    </format>
    <format dxfId="321">
      <pivotArea outline="0" collapsedLevelsAreSubtotals="1" fieldPosition="0"/>
    </format>
    <format dxfId="320">
      <pivotArea outline="0" collapsedLevelsAreSubtotals="1" fieldPosition="0"/>
    </format>
    <format dxfId="319">
      <pivotArea outline="0" fieldPosition="0">
        <references count="1">
          <reference field="4294967294" count="1">
            <x v="0"/>
          </reference>
        </references>
      </pivotArea>
    </format>
  </formats>
  <conditionalFormats count="1">
    <conditionalFormat priority="5">
      <pivotAreas count="1">
        <pivotArea type="data" collapsedLevelsAreSubtotals="1" fieldPosition="0">
          <references count="2">
            <reference field="4294967294" count="1" selected="0">
              <x v="0"/>
            </reference>
            <reference field="6" count="6">
              <x v="0"/>
              <x v="1"/>
              <x v="2"/>
              <x v="3"/>
              <x v="4"/>
              <x v="5"/>
            </reference>
          </references>
        </pivotArea>
      </pivotAreas>
    </conditionalFormat>
  </conditionalFormats>
  <pivotTableStyleInfo name="PivotStyleLight16" showRowHeaders="1" showColHeaders="1" showRowStripes="0" showColStripes="0" showLastColumn="1"/>
  <filters count="1">
    <filter fld="1" type="dateBetween" evalOrder="-1" id="9" name="Order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4" name="PivotTable31"/>
    <pivotTable tabId="4" name="PivotTable32"/>
    <pivotTable tabId="4" name="PivotTable33"/>
    <pivotTable tabId="4" name="PivotTable34"/>
    <pivotTable tabId="4" name="PivotTable38"/>
    <pivotTable tabId="4" name="PivotTable40"/>
  </pivotTables>
  <data>
    <tabular pivotCacheId="1">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 xr10:uid="{00000000-0013-0000-FFFF-FFFF02000000}" sourceName="Quarters">
  <pivotTables>
    <pivotTable tabId="4" name="PivotTable1"/>
    <pivotTable tabId="4" name="PivotTable35"/>
    <pivotTable tabId="4" name="PivotTable37"/>
  </pivotTables>
  <data>
    <tabular pivotCacheId="2">
      <items count="6">
        <i x="1" s="1"/>
        <i x="2" s="1"/>
        <i x="3" s="1"/>
        <i x="4" s="1"/>
        <i x="0"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0000000-0013-0000-FFFF-FFFF03000000}" sourceName="Years">
  <pivotTables>
    <pivotTable tabId="4" name="PivotTable1"/>
    <pivotTable tabId="4" name="PivotTable35"/>
    <pivotTable tabId="4" name="PivotTable37"/>
    <pivotTable tabId="4" name="PivotTable10"/>
    <pivotTable tabId="4" name="PivotTable11"/>
    <pivotTable tabId="4" name="PivotTable12"/>
    <pivotTable tabId="4" name="PivotTable14"/>
    <pivotTable tabId="4" name="PivotTable15"/>
    <pivotTable tabId="4" name="PivotTable17"/>
    <pivotTable tabId="4" name="PivotTable18"/>
    <pivotTable tabId="4" name="PivotTable19"/>
    <pivotTable tabId="4" name="PivotTable2"/>
    <pivotTable tabId="4" name="PivotTable20"/>
    <pivotTable tabId="4" name="PivotTable21"/>
    <pivotTable tabId="4" name="PivotTable22"/>
    <pivotTable tabId="4" name="PivotTable3"/>
    <pivotTable tabId="4" name="PivotTable4"/>
    <pivotTable tabId="4" name="PivotTable5"/>
    <pivotTable tabId="4" name="PivotTable6"/>
    <pivotTable tabId="4" name="PivotTable7"/>
    <pivotTable tabId="4" name="PivotTable8"/>
    <pivotTable tabId="4" name="PivotTable9"/>
  </pivotTables>
  <data>
    <tabular pivotCacheId="2">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3000000}"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xr10:uid="{00000000-0014-0000-FFFF-FFFF01000000}" cache="Slicer_Quarters" caption="Quarter" rowHeight="234950"/>
  <slicer name="Years" xr10:uid="{00000000-0014-0000-FFFF-FFFF02000000}" cache="Slicer_Years" caption="Yea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0000000-0013-0000-FFFF-FFFF04000000}" sourceName="Order Date">
  <pivotTables>
    <pivotTable tabId="4" name="PivotTable32"/>
    <pivotTable tabId="4" name="PivotTable33"/>
    <pivotTable tabId="4" name="PivotTable34"/>
    <pivotTable tabId="4" name="PivotTable38"/>
    <pivotTable tabId="4" name="PivotTable40"/>
  </pivotTables>
  <state minimalRefreshVersion="6" lastRefreshVersion="6" pivotCacheId="1" filterType="dateBetween">
    <selection startDate="2024-01-01T00:00:00" endDate="2024-12-31T00:00:00"/>
    <bounds startDate="2024-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A2D7BC0B-53A9-47E1-8C9A-490846618816}" sourceName="Order Date">
  <pivotTables>
    <pivotTable tabId="4" name="PivotTable1"/>
    <pivotTable tabId="4" name="PivotTable10"/>
    <pivotTable tabId="4" name="PivotTable11"/>
    <pivotTable tabId="4" name="PivotTable12"/>
    <pivotTable tabId="4" name="PivotTable14"/>
    <pivotTable tabId="4" name="PivotTable15"/>
    <pivotTable tabId="4" name="PivotTable17"/>
    <pivotTable tabId="4" name="PivotTable18"/>
    <pivotTable tabId="4" name="PivotTable19"/>
    <pivotTable tabId="4" name="PivotTable2"/>
    <pivotTable tabId="4" name="PivotTable20"/>
    <pivotTable tabId="4" name="PivotTable21"/>
    <pivotTable tabId="4" name="PivotTable22"/>
    <pivotTable tabId="4" name="PivotTable3"/>
    <pivotTable tabId="4" name="PivotTable35"/>
    <pivotTable tabId="4" name="PivotTable37"/>
    <pivotTable tabId="4" name="PivotTable4"/>
    <pivotTable tabId="4" name="PivotTable5"/>
    <pivotTable tabId="4" name="PivotTable6"/>
    <pivotTable tabId="4" name="PivotTable7"/>
    <pivotTable tabId="4" name="PivotTable8"/>
    <pivotTable tabId="4" name="PivotTable9"/>
  </pivotTables>
  <state minimalRefreshVersion="6" lastRefreshVersion="6" pivotCacheId="2"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0000000-0014-0000-FFFF-FFFF04000000}" cache="NativeTimeline_Order_Date" caption="Order Date" level="1" selectionLevel="0"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C2808C53-10A0-41EB-A7F4-401549DA2C9E}" cache="NativeTimeline_Order_Date1" caption="Order Date" showSelectionLabel="0" showTimeLevel="0" showHorizontalScrollbar="0" level="1" selectionLevel="1" scrollPosition="2024-01-01T00:00:00"/>
</timelines>
</file>

<file path=xl/worksheets/_rels/sheet2.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9" Type="http://schemas.openxmlformats.org/officeDocument/2006/relationships/pivotTable" Target="../pivotTables/pivotTable39.xml"/><Relationship Id="rId21" Type="http://schemas.openxmlformats.org/officeDocument/2006/relationships/pivotTable" Target="../pivotTables/pivotTable21.xml"/><Relationship Id="rId34" Type="http://schemas.openxmlformats.org/officeDocument/2006/relationships/pivotTable" Target="../pivotTables/pivotTable34.xml"/><Relationship Id="rId42" Type="http://schemas.openxmlformats.org/officeDocument/2006/relationships/drawing" Target="../drawings/drawing1.xml"/><Relationship Id="rId7" Type="http://schemas.openxmlformats.org/officeDocument/2006/relationships/pivotTable" Target="../pivotTables/pivotTable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41"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pivotTable" Target="../pivotTables/pivotTable37.xml"/><Relationship Id="rId40" Type="http://schemas.openxmlformats.org/officeDocument/2006/relationships/pivotTable" Target="../pivotTables/pivotTable40.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4" Type="http://schemas.microsoft.com/office/2011/relationships/timeline" Target="../timelines/timeline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43" Type="http://schemas.microsoft.com/office/2007/relationships/slicer" Target="../slicers/slicer1.xml"/><Relationship Id="rId8" Type="http://schemas.openxmlformats.org/officeDocument/2006/relationships/pivotTable" Target="../pivotTables/pivotTable8.xml"/><Relationship Id="rId3" Type="http://schemas.openxmlformats.org/officeDocument/2006/relationships/pivotTable" Target="../pivotTables/pivotTable3.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38" Type="http://schemas.openxmlformats.org/officeDocument/2006/relationships/pivotTable" Target="../pivotTables/pivotTable38.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42"/>
  <sheetViews>
    <sheetView workbookViewId="0">
      <selection activeCell="B16" sqref="B16"/>
    </sheetView>
  </sheetViews>
  <sheetFormatPr defaultRowHeight="14.4" x14ac:dyDescent="0.3"/>
  <cols>
    <col min="1" max="1" width="6" customWidth="1"/>
    <col min="2" max="2" width="95" customWidth="1"/>
  </cols>
  <sheetData>
    <row r="1" spans="1:2" ht="17.399999999999999" x14ac:dyDescent="0.3">
      <c r="A1" s="43" t="s">
        <v>1664</v>
      </c>
      <c r="B1" s="44"/>
    </row>
    <row r="3" spans="1:2" ht="19.95" customHeight="1" x14ac:dyDescent="0.3">
      <c r="A3" s="46" t="s">
        <v>1665</v>
      </c>
      <c r="B3" s="44"/>
    </row>
    <row r="4" spans="1:2" ht="31.95" customHeight="1" x14ac:dyDescent="0.3">
      <c r="A4" s="1" t="s">
        <v>1666</v>
      </c>
      <c r="B4" s="2" t="s">
        <v>1667</v>
      </c>
    </row>
    <row r="5" spans="1:2" ht="31.95" customHeight="1" x14ac:dyDescent="0.3">
      <c r="A5" s="1" t="s">
        <v>1668</v>
      </c>
      <c r="B5" s="2" t="s">
        <v>1669</v>
      </c>
    </row>
    <row r="6" spans="1:2" ht="31.95" customHeight="1" x14ac:dyDescent="0.3">
      <c r="A6" s="1" t="s">
        <v>1670</v>
      </c>
      <c r="B6" s="2" t="s">
        <v>1671</v>
      </c>
    </row>
    <row r="7" spans="1:2" ht="31.95" customHeight="1" x14ac:dyDescent="0.3">
      <c r="A7" s="1" t="s">
        <v>1672</v>
      </c>
      <c r="B7" s="2" t="s">
        <v>1673</v>
      </c>
    </row>
    <row r="8" spans="1:2" ht="31.95" customHeight="1" x14ac:dyDescent="0.3">
      <c r="A8" s="1" t="s">
        <v>1674</v>
      </c>
      <c r="B8" s="2" t="s">
        <v>1675</v>
      </c>
    </row>
    <row r="10" spans="1:2" ht="19.95" customHeight="1" x14ac:dyDescent="0.3">
      <c r="A10" s="46" t="s">
        <v>1676</v>
      </c>
      <c r="B10" s="44"/>
    </row>
    <row r="11" spans="1:2" ht="31.95" customHeight="1" x14ac:dyDescent="0.3">
      <c r="A11" s="1" t="s">
        <v>1677</v>
      </c>
      <c r="B11" s="2" t="s">
        <v>1678</v>
      </c>
    </row>
    <row r="12" spans="1:2" ht="31.95" customHeight="1" x14ac:dyDescent="0.3">
      <c r="A12" s="1" t="s">
        <v>1679</v>
      </c>
      <c r="B12" s="2" t="s">
        <v>1680</v>
      </c>
    </row>
    <row r="13" spans="1:2" ht="31.95" customHeight="1" x14ac:dyDescent="0.3">
      <c r="A13" s="1" t="s">
        <v>1681</v>
      </c>
      <c r="B13" s="2" t="s">
        <v>1682</v>
      </c>
    </row>
    <row r="15" spans="1:2" ht="19.95" customHeight="1" x14ac:dyDescent="0.3">
      <c r="A15" s="46" t="s">
        <v>1683</v>
      </c>
      <c r="B15" s="44"/>
    </row>
    <row r="16" spans="1:2" ht="31.95" customHeight="1" x14ac:dyDescent="0.3">
      <c r="A16" s="1" t="s">
        <v>1684</v>
      </c>
      <c r="B16" s="2" t="s">
        <v>1685</v>
      </c>
    </row>
    <row r="17" spans="1:2" ht="31.95" customHeight="1" x14ac:dyDescent="0.3">
      <c r="A17" s="1" t="s">
        <v>1686</v>
      </c>
      <c r="B17" s="2" t="s">
        <v>1687</v>
      </c>
    </row>
    <row r="18" spans="1:2" ht="31.95" customHeight="1" x14ac:dyDescent="0.3">
      <c r="A18" s="1" t="s">
        <v>1688</v>
      </c>
      <c r="B18" s="2" t="s">
        <v>1689</v>
      </c>
    </row>
    <row r="20" spans="1:2" ht="19.95" customHeight="1" x14ac:dyDescent="0.3">
      <c r="A20" s="46" t="s">
        <v>1690</v>
      </c>
      <c r="B20" s="44"/>
    </row>
    <row r="21" spans="1:2" ht="31.95" customHeight="1" x14ac:dyDescent="0.3">
      <c r="A21" s="1" t="s">
        <v>1691</v>
      </c>
      <c r="B21" s="2" t="s">
        <v>1692</v>
      </c>
    </row>
    <row r="22" spans="1:2" ht="31.95" customHeight="1" x14ac:dyDescent="0.3">
      <c r="A22" s="1" t="s">
        <v>1693</v>
      </c>
      <c r="B22" s="2" t="s">
        <v>1694</v>
      </c>
    </row>
    <row r="23" spans="1:2" ht="31.95" customHeight="1" x14ac:dyDescent="0.3">
      <c r="A23" s="1" t="s">
        <v>1695</v>
      </c>
      <c r="B23" s="2" t="s">
        <v>1696</v>
      </c>
    </row>
    <row r="25" spans="1:2" ht="19.95" customHeight="1" x14ac:dyDescent="0.3">
      <c r="A25" s="46" t="s">
        <v>1697</v>
      </c>
      <c r="B25" s="44"/>
    </row>
    <row r="26" spans="1:2" ht="31.95" customHeight="1" x14ac:dyDescent="0.3">
      <c r="A26" s="1" t="s">
        <v>1698</v>
      </c>
      <c r="B26" s="2" t="s">
        <v>1699</v>
      </c>
    </row>
    <row r="27" spans="1:2" ht="31.95" customHeight="1" x14ac:dyDescent="0.3">
      <c r="A27" s="1" t="s">
        <v>1700</v>
      </c>
      <c r="B27" s="2" t="s">
        <v>1701</v>
      </c>
    </row>
    <row r="28" spans="1:2" ht="31.95" customHeight="1" x14ac:dyDescent="0.3">
      <c r="A28" s="1" t="s">
        <v>1702</v>
      </c>
      <c r="B28" s="2" t="s">
        <v>1703</v>
      </c>
    </row>
    <row r="30" spans="1:2" ht="19.95" customHeight="1" x14ac:dyDescent="0.3">
      <c r="A30" s="46" t="s">
        <v>1704</v>
      </c>
      <c r="B30" s="44"/>
    </row>
    <row r="31" spans="1:2" ht="31.95" customHeight="1" x14ac:dyDescent="0.3">
      <c r="A31" s="1" t="s">
        <v>1705</v>
      </c>
      <c r="B31" s="2" t="s">
        <v>1706</v>
      </c>
    </row>
    <row r="32" spans="1:2" ht="31.95" customHeight="1" x14ac:dyDescent="0.3">
      <c r="A32" s="1" t="s">
        <v>1707</v>
      </c>
      <c r="B32" s="2" t="s">
        <v>1708</v>
      </c>
    </row>
    <row r="33" spans="1:2" ht="31.95" customHeight="1" x14ac:dyDescent="0.3">
      <c r="A33" s="1" t="s">
        <v>1709</v>
      </c>
      <c r="B33" s="2" t="s">
        <v>1710</v>
      </c>
    </row>
    <row r="35" spans="1:2" ht="19.95" customHeight="1" x14ac:dyDescent="0.3">
      <c r="A35" s="46" t="s">
        <v>1711</v>
      </c>
      <c r="B35" s="44"/>
    </row>
    <row r="36" spans="1:2" ht="31.95" customHeight="1" x14ac:dyDescent="0.3">
      <c r="A36" s="1" t="s">
        <v>1712</v>
      </c>
      <c r="B36" s="2" t="s">
        <v>1713</v>
      </c>
    </row>
    <row r="37" spans="1:2" ht="31.95" customHeight="1" x14ac:dyDescent="0.3">
      <c r="A37" s="1" t="s">
        <v>1714</v>
      </c>
      <c r="B37" s="2" t="s">
        <v>1715</v>
      </c>
    </row>
    <row r="38" spans="1:2" ht="31.95" customHeight="1" x14ac:dyDescent="0.3">
      <c r="A38" s="1" t="s">
        <v>1716</v>
      </c>
      <c r="B38" s="2" t="s">
        <v>1717</v>
      </c>
    </row>
    <row r="40" spans="1:2" ht="19.95" customHeight="1" x14ac:dyDescent="0.3">
      <c r="A40" s="45" t="s">
        <v>1722</v>
      </c>
      <c r="B40" s="44"/>
    </row>
    <row r="41" spans="1:2" ht="31.95" customHeight="1" x14ac:dyDescent="0.3">
      <c r="A41" s="1" t="s">
        <v>1718</v>
      </c>
      <c r="B41" s="2" t="s">
        <v>1719</v>
      </c>
    </row>
    <row r="42" spans="1:2" ht="31.95" customHeight="1" x14ac:dyDescent="0.3">
      <c r="A42" s="1" t="s">
        <v>1720</v>
      </c>
      <c r="B42" s="2" t="s">
        <v>1721</v>
      </c>
    </row>
  </sheetData>
  <mergeCells count="9">
    <mergeCell ref="A1:B1"/>
    <mergeCell ref="A40:B40"/>
    <mergeCell ref="A3:B3"/>
    <mergeCell ref="A35:B35"/>
    <mergeCell ref="A20:B20"/>
    <mergeCell ref="A30:B30"/>
    <mergeCell ref="A15:B15"/>
    <mergeCell ref="A25:B25"/>
    <mergeCell ref="A10:B1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BD536"/>
  <sheetViews>
    <sheetView topLeftCell="A520" zoomScale="90" zoomScaleNormal="131" workbookViewId="0">
      <selection activeCell="C532" sqref="C532"/>
    </sheetView>
  </sheetViews>
  <sheetFormatPr defaultRowHeight="14.4" x14ac:dyDescent="0.3"/>
  <cols>
    <col min="1" max="1" width="21.44140625" bestFit="1" customWidth="1"/>
    <col min="2" max="2" width="16.109375" bestFit="1" customWidth="1"/>
    <col min="3" max="3" width="13" bestFit="1" customWidth="1"/>
    <col min="4" max="5" width="8.77734375" bestFit="1" customWidth="1"/>
    <col min="6" max="6" width="12.21875" bestFit="1" customWidth="1"/>
    <col min="7" max="7" width="14.109375" customWidth="1"/>
    <col min="8" max="8" width="23.5546875" customWidth="1"/>
    <col min="9" max="9" width="21.44140625" customWidth="1"/>
    <col min="10" max="10" width="16.6640625" customWidth="1"/>
    <col min="11" max="11" width="10.44140625" customWidth="1"/>
    <col min="12" max="12" width="16" customWidth="1"/>
    <col min="13" max="13" width="8.88671875" customWidth="1"/>
    <col min="14" max="14" width="11.44140625" customWidth="1"/>
    <col min="15" max="15" width="9.44140625" customWidth="1"/>
    <col min="16" max="16" width="12.44140625" customWidth="1"/>
    <col min="17" max="17" width="16.109375" customWidth="1"/>
    <col min="18" max="20" width="16.109375" bestFit="1" customWidth="1"/>
    <col min="21" max="21" width="11.21875" customWidth="1"/>
    <col min="22" max="22" width="17.88671875" bestFit="1" customWidth="1"/>
    <col min="23" max="23" width="14.33203125" bestFit="1" customWidth="1"/>
    <col min="24" max="24" width="16.109375" bestFit="1" customWidth="1"/>
    <col min="25" max="25" width="11.77734375" bestFit="1" customWidth="1"/>
    <col min="26" max="26" width="17.33203125" bestFit="1" customWidth="1"/>
    <col min="27" max="27" width="12.109375" bestFit="1" customWidth="1"/>
    <col min="28" max="28" width="13.6640625" bestFit="1" customWidth="1"/>
    <col min="29" max="29" width="10.44140625" bestFit="1" customWidth="1"/>
    <col min="30" max="30" width="12.33203125" bestFit="1" customWidth="1"/>
    <col min="31" max="31" width="10.6640625" bestFit="1" customWidth="1"/>
    <col min="32" max="32" width="11" bestFit="1" customWidth="1"/>
    <col min="33" max="33" width="13.109375" bestFit="1" customWidth="1"/>
    <col min="34" max="34" width="15.44140625" customWidth="1"/>
    <col min="35" max="35" width="20.88671875" bestFit="1" customWidth="1"/>
    <col min="36" max="36" width="9.6640625" bestFit="1" customWidth="1"/>
    <col min="37" max="37" width="13.44140625" bestFit="1" customWidth="1"/>
    <col min="38" max="38" width="15.21875" bestFit="1" customWidth="1"/>
    <col min="39" max="39" width="14.6640625" bestFit="1" customWidth="1"/>
    <col min="40" max="40" width="12" bestFit="1" customWidth="1"/>
    <col min="41" max="41" width="12.109375" bestFit="1" customWidth="1"/>
    <col min="42" max="42" width="17" bestFit="1" customWidth="1"/>
    <col min="43" max="43" width="20.109375" bestFit="1" customWidth="1"/>
    <col min="44" max="44" width="14.77734375" bestFit="1" customWidth="1"/>
    <col min="45" max="45" width="13.21875" bestFit="1" customWidth="1"/>
    <col min="46" max="46" width="10.44140625" bestFit="1" customWidth="1"/>
    <col min="47" max="47" width="14" bestFit="1" customWidth="1"/>
    <col min="48" max="48" width="12.109375" bestFit="1" customWidth="1"/>
    <col min="49" max="49" width="12.77734375" bestFit="1" customWidth="1"/>
    <col min="50" max="50" width="15.33203125" bestFit="1" customWidth="1"/>
    <col min="51" max="51" width="16.21875" bestFit="1" customWidth="1"/>
    <col min="52" max="52" width="12.44140625" bestFit="1" customWidth="1"/>
    <col min="53" max="53" width="17.44140625" bestFit="1" customWidth="1"/>
    <col min="54" max="54" width="13.44140625" bestFit="1" customWidth="1"/>
    <col min="55" max="55" width="18.6640625" bestFit="1" customWidth="1"/>
    <col min="56" max="56" width="21.44140625" bestFit="1" customWidth="1"/>
    <col min="57" max="57" width="10.44140625" bestFit="1" customWidth="1"/>
    <col min="58" max="58" width="12.44140625" bestFit="1" customWidth="1"/>
    <col min="59" max="59" width="14.21875" bestFit="1" customWidth="1"/>
    <col min="60" max="60" width="19.6640625" bestFit="1" customWidth="1"/>
    <col min="61" max="61" width="10.44140625" bestFit="1" customWidth="1"/>
    <col min="62" max="62" width="12.44140625" bestFit="1" customWidth="1"/>
    <col min="63" max="63" width="14.21875" bestFit="1" customWidth="1"/>
    <col min="64" max="64" width="14.6640625" bestFit="1" customWidth="1"/>
    <col min="65" max="65" width="10.6640625" bestFit="1" customWidth="1"/>
    <col min="66" max="66" width="18.6640625" bestFit="1" customWidth="1"/>
    <col min="67" max="67" width="13.5546875" bestFit="1" customWidth="1"/>
    <col min="68" max="68" width="10.44140625" bestFit="1" customWidth="1"/>
    <col min="69" max="69" width="17.44140625" bestFit="1" customWidth="1"/>
    <col min="70" max="70" width="12.21875" bestFit="1" customWidth="1"/>
    <col min="71" max="71" width="10.44140625" bestFit="1" customWidth="1"/>
    <col min="72" max="72" width="9" bestFit="1" customWidth="1"/>
    <col min="73" max="73" width="12" bestFit="1" customWidth="1"/>
    <col min="74" max="74" width="12.44140625" bestFit="1" customWidth="1"/>
    <col min="76" max="76" width="14.6640625" bestFit="1" customWidth="1"/>
    <col min="77" max="77" width="12" bestFit="1" customWidth="1"/>
    <col min="78" max="78" width="12.33203125" bestFit="1" customWidth="1"/>
    <col min="79" max="79" width="17.77734375" bestFit="1" customWidth="1"/>
    <col min="80" max="80" width="10.21875" bestFit="1" customWidth="1"/>
    <col min="81" max="81" width="10.44140625" bestFit="1" customWidth="1"/>
    <col min="82" max="82" width="10.88671875" bestFit="1" customWidth="1"/>
    <col min="83" max="83" width="15.21875" bestFit="1" customWidth="1"/>
    <col min="84" max="84" width="19.21875" bestFit="1" customWidth="1"/>
    <col min="85" max="85" width="10.6640625" bestFit="1" customWidth="1"/>
    <col min="86" max="86" width="18.33203125" bestFit="1" customWidth="1"/>
    <col min="87" max="87" width="14.88671875" bestFit="1" customWidth="1"/>
    <col min="88" max="88" width="10.6640625" bestFit="1" customWidth="1"/>
    <col min="89" max="89" width="16.88671875" bestFit="1" customWidth="1"/>
    <col min="90" max="90" width="12.33203125" bestFit="1" customWidth="1"/>
    <col min="91" max="91" width="11.109375" bestFit="1" customWidth="1"/>
    <col min="92" max="92" width="15.109375" bestFit="1" customWidth="1"/>
    <col min="93" max="93" width="13.44140625" bestFit="1" customWidth="1"/>
    <col min="94" max="94" width="16.21875" bestFit="1" customWidth="1"/>
    <col min="95" max="95" width="15.44140625" bestFit="1" customWidth="1"/>
    <col min="96" max="96" width="14.21875" bestFit="1" customWidth="1"/>
    <col min="97" max="97" width="13.109375" bestFit="1" customWidth="1"/>
    <col min="98" max="98" width="14.5546875" bestFit="1" customWidth="1"/>
    <col min="99" max="99" width="15" bestFit="1" customWidth="1"/>
    <col min="100" max="100" width="12.33203125" bestFit="1" customWidth="1"/>
    <col min="101" max="101" width="13.109375" bestFit="1" customWidth="1"/>
  </cols>
  <sheetData>
    <row r="2" spans="1:11" x14ac:dyDescent="0.3">
      <c r="H2" t="s">
        <v>1726</v>
      </c>
      <c r="I2" t="s">
        <v>1724</v>
      </c>
      <c r="J2" t="s">
        <v>1730</v>
      </c>
      <c r="K2" t="s">
        <v>1797</v>
      </c>
    </row>
    <row r="3" spans="1:11" ht="21" x14ac:dyDescent="0.4">
      <c r="A3" s="12" t="s">
        <v>1725</v>
      </c>
      <c r="B3" t="s">
        <v>1724</v>
      </c>
      <c r="C3" s="21" t="s">
        <v>1728</v>
      </c>
      <c r="H3" s="38">
        <v>1353534.569999998</v>
      </c>
      <c r="I3" s="38">
        <v>15212734.04000002</v>
      </c>
      <c r="J3" s="38">
        <v>1000</v>
      </c>
      <c r="K3" s="38">
        <v>15212.734040000019</v>
      </c>
    </row>
    <row r="4" spans="1:11" x14ac:dyDescent="0.3">
      <c r="A4" s="13" t="s">
        <v>60</v>
      </c>
      <c r="B4" s="41">
        <v>4521462.0000000019</v>
      </c>
    </row>
    <row r="5" spans="1:11" x14ac:dyDescent="0.3">
      <c r="A5" s="13" t="s">
        <v>30</v>
      </c>
      <c r="B5" s="41">
        <v>3930181.7099999981</v>
      </c>
    </row>
    <row r="6" spans="1:11" x14ac:dyDescent="0.3">
      <c r="A6" s="13" t="s">
        <v>20</v>
      </c>
      <c r="B6" s="41">
        <v>3504132.850000002</v>
      </c>
      <c r="H6" s="39">
        <v>1353534.569999998</v>
      </c>
      <c r="I6" s="39">
        <v>15212734.04000002</v>
      </c>
      <c r="J6" s="40">
        <v>1000</v>
      </c>
      <c r="K6" s="39">
        <v>15212.734040000019</v>
      </c>
    </row>
    <row r="7" spans="1:11" x14ac:dyDescent="0.3">
      <c r="A7" s="13" t="s">
        <v>40</v>
      </c>
      <c r="B7" s="41">
        <v>3256957.4799999991</v>
      </c>
    </row>
    <row r="8" spans="1:11" x14ac:dyDescent="0.3">
      <c r="A8" s="13" t="s">
        <v>1723</v>
      </c>
      <c r="B8" s="41">
        <v>15212734.039999999</v>
      </c>
    </row>
    <row r="10" spans="1:11" x14ac:dyDescent="0.3">
      <c r="A10" s="12" t="s">
        <v>1734</v>
      </c>
      <c r="B10" t="s">
        <v>1727</v>
      </c>
      <c r="C10" t="s">
        <v>1729</v>
      </c>
      <c r="H10" s="17">
        <v>1353534.57</v>
      </c>
      <c r="I10" s="17">
        <v>15212734.04000002</v>
      </c>
      <c r="J10" s="36">
        <v>1000</v>
      </c>
      <c r="K10" s="17">
        <f>GETPIVOTDATA("Average of Sales2",$H$2)</f>
        <v>15212.734040000019</v>
      </c>
    </row>
    <row r="11" spans="1:11" x14ac:dyDescent="0.3">
      <c r="A11" s="13" t="s">
        <v>22</v>
      </c>
      <c r="B11" s="17">
        <v>3329.7423214285727</v>
      </c>
    </row>
    <row r="12" spans="1:11" x14ac:dyDescent="0.3">
      <c r="A12" s="13" t="s">
        <v>49</v>
      </c>
      <c r="B12" s="17">
        <v>1830.6555000000005</v>
      </c>
    </row>
    <row r="13" spans="1:11" x14ac:dyDescent="0.3">
      <c r="A13" s="13" t="s">
        <v>32</v>
      </c>
      <c r="B13" s="17">
        <v>1375.4592727272723</v>
      </c>
    </row>
    <row r="14" spans="1:11" x14ac:dyDescent="0.3">
      <c r="A14" s="13" t="s">
        <v>134</v>
      </c>
      <c r="B14" s="17">
        <v>762.51463855421673</v>
      </c>
    </row>
    <row r="15" spans="1:11" x14ac:dyDescent="0.3">
      <c r="A15" s="13" t="s">
        <v>117</v>
      </c>
      <c r="B15" s="17">
        <v>584.36300613496962</v>
      </c>
    </row>
    <row r="16" spans="1:11" x14ac:dyDescent="0.3">
      <c r="A16" s="13" t="s">
        <v>42</v>
      </c>
      <c r="B16" s="17">
        <v>100.25626582278483</v>
      </c>
    </row>
    <row r="17" spans="1:12" x14ac:dyDescent="0.3">
      <c r="A17" s="13" t="s">
        <v>1723</v>
      </c>
      <c r="B17" s="17">
        <v>1353.5345699999991</v>
      </c>
    </row>
    <row r="19" spans="1:12" x14ac:dyDescent="0.3">
      <c r="A19" s="12" t="s">
        <v>1732</v>
      </c>
      <c r="B19" t="s">
        <v>1730</v>
      </c>
      <c r="C19" t="s">
        <v>1731</v>
      </c>
      <c r="D19" t="s">
        <v>1733</v>
      </c>
    </row>
    <row r="20" spans="1:12" x14ac:dyDescent="0.3">
      <c r="A20" s="13" t="s">
        <v>39</v>
      </c>
      <c r="B20" s="17">
        <v>550</v>
      </c>
      <c r="C20" s="19">
        <v>0.55000000000000004</v>
      </c>
    </row>
    <row r="21" spans="1:12" x14ac:dyDescent="0.3">
      <c r="A21" s="13" t="s">
        <v>19</v>
      </c>
      <c r="B21" s="17">
        <v>253</v>
      </c>
      <c r="C21" s="19">
        <v>0.253</v>
      </c>
    </row>
    <row r="22" spans="1:12" x14ac:dyDescent="0.3">
      <c r="A22" s="13" t="s">
        <v>29</v>
      </c>
      <c r="B22" s="17">
        <v>197</v>
      </c>
      <c r="C22" s="19">
        <v>0.19700000000000001</v>
      </c>
      <c r="H22" s="12" t="s">
        <v>1725</v>
      </c>
      <c r="I22" t="s">
        <v>1724</v>
      </c>
    </row>
    <row r="23" spans="1:12" x14ac:dyDescent="0.3">
      <c r="A23" s="13" t="s">
        <v>1723</v>
      </c>
      <c r="B23" s="17">
        <v>1000</v>
      </c>
      <c r="C23" s="19">
        <v>1</v>
      </c>
      <c r="H23" s="13" t="s">
        <v>21</v>
      </c>
      <c r="I23" s="15">
        <v>1272192.7500000002</v>
      </c>
      <c r="K23" s="13" t="s">
        <v>21</v>
      </c>
      <c r="L23" s="15">
        <v>1272192.7500000002</v>
      </c>
    </row>
    <row r="24" spans="1:12" x14ac:dyDescent="0.3">
      <c r="H24" s="13" t="s">
        <v>61</v>
      </c>
      <c r="I24" s="15">
        <v>836050.27000000014</v>
      </c>
      <c r="K24" s="13" t="s">
        <v>61</v>
      </c>
      <c r="L24" s="37">
        <v>836050.27000000014</v>
      </c>
    </row>
    <row r="25" spans="1:12" x14ac:dyDescent="0.3">
      <c r="A25" s="12" t="s">
        <v>1734</v>
      </c>
      <c r="B25" t="s">
        <v>1736</v>
      </c>
      <c r="C25" t="s">
        <v>1737</v>
      </c>
      <c r="H25" s="13" t="s">
        <v>226</v>
      </c>
      <c r="I25" s="15">
        <v>883558.9800000001</v>
      </c>
      <c r="K25" s="13" t="s">
        <v>226</v>
      </c>
      <c r="L25" s="15">
        <v>883558.9800000001</v>
      </c>
    </row>
    <row r="26" spans="1:12" x14ac:dyDescent="0.3">
      <c r="A26" s="13" t="s">
        <v>117</v>
      </c>
      <c r="B26" s="17">
        <v>355</v>
      </c>
      <c r="H26" s="13" t="s">
        <v>72</v>
      </c>
      <c r="I26" s="15">
        <v>1148138.8400000001</v>
      </c>
      <c r="K26" s="13" t="s">
        <v>72</v>
      </c>
      <c r="L26" s="15">
        <v>1148138.8400000001</v>
      </c>
    </row>
    <row r="27" spans="1:12" x14ac:dyDescent="0.3">
      <c r="A27" s="13" t="s">
        <v>42</v>
      </c>
      <c r="B27" s="17">
        <v>327</v>
      </c>
      <c r="H27" s="13" t="s">
        <v>90</v>
      </c>
      <c r="I27" s="15">
        <v>630523.46999999986</v>
      </c>
      <c r="K27" s="13" t="s">
        <v>90</v>
      </c>
      <c r="L27" s="15">
        <v>630523.46999999986</v>
      </c>
    </row>
    <row r="28" spans="1:12" x14ac:dyDescent="0.3">
      <c r="A28" s="13" t="s">
        <v>134</v>
      </c>
      <c r="B28" s="17">
        <v>346</v>
      </c>
      <c r="H28" s="13" t="s">
        <v>41</v>
      </c>
      <c r="I28" s="15">
        <v>1022661.61</v>
      </c>
      <c r="K28" s="13" t="s">
        <v>41</v>
      </c>
      <c r="L28" s="15">
        <v>1022661.61</v>
      </c>
    </row>
    <row r="29" spans="1:12" x14ac:dyDescent="0.3">
      <c r="A29" s="13" t="s">
        <v>22</v>
      </c>
      <c r="B29" s="17">
        <v>333</v>
      </c>
      <c r="H29" s="13" t="s">
        <v>48</v>
      </c>
      <c r="I29" s="15">
        <v>2120903.1100000003</v>
      </c>
      <c r="K29" s="13" t="s">
        <v>48</v>
      </c>
      <c r="L29" s="15">
        <v>2120903.1100000003</v>
      </c>
    </row>
    <row r="30" spans="1:12" x14ac:dyDescent="0.3">
      <c r="A30" s="13" t="s">
        <v>32</v>
      </c>
      <c r="B30" s="17">
        <v>331</v>
      </c>
      <c r="H30" s="13" t="s">
        <v>129</v>
      </c>
      <c r="I30" s="15">
        <v>975764.40000000014</v>
      </c>
      <c r="K30" s="13" t="s">
        <v>129</v>
      </c>
      <c r="L30" s="15">
        <v>975764.40000000014</v>
      </c>
    </row>
    <row r="31" spans="1:12" x14ac:dyDescent="0.3">
      <c r="A31" s="13" t="s">
        <v>49</v>
      </c>
      <c r="B31" s="17">
        <v>336</v>
      </c>
      <c r="H31" s="13" t="s">
        <v>68</v>
      </c>
      <c r="I31" s="15">
        <v>1340881.7400000002</v>
      </c>
      <c r="K31" s="13" t="s">
        <v>68</v>
      </c>
      <c r="L31" s="15">
        <v>1340881.7400000002</v>
      </c>
    </row>
    <row r="32" spans="1:12" x14ac:dyDescent="0.3">
      <c r="A32" s="13" t="s">
        <v>1723</v>
      </c>
      <c r="B32" s="17">
        <v>2028</v>
      </c>
      <c r="H32" s="13" t="s">
        <v>31</v>
      </c>
      <c r="I32" s="15">
        <v>925719.62</v>
      </c>
      <c r="K32" s="13" t="s">
        <v>31</v>
      </c>
      <c r="L32" s="15">
        <v>925719.62</v>
      </c>
    </row>
    <row r="33" spans="1:12" x14ac:dyDescent="0.3">
      <c r="H33" s="13" t="s">
        <v>109</v>
      </c>
      <c r="I33" s="15">
        <v>893835.57999999984</v>
      </c>
      <c r="K33" s="13" t="s">
        <v>109</v>
      </c>
      <c r="L33" s="15">
        <v>893835.57999999984</v>
      </c>
    </row>
    <row r="34" spans="1:12" x14ac:dyDescent="0.3">
      <c r="A34" s="12" t="s">
        <v>1734</v>
      </c>
      <c r="B34" t="s">
        <v>1735</v>
      </c>
      <c r="D34" t="s">
        <v>1738</v>
      </c>
      <c r="H34" s="13" t="s">
        <v>77</v>
      </c>
      <c r="I34" s="15">
        <v>709936.82</v>
      </c>
      <c r="K34" s="13" t="s">
        <v>77</v>
      </c>
      <c r="L34" s="15">
        <v>709936.82</v>
      </c>
    </row>
    <row r="35" spans="1:12" x14ac:dyDescent="0.3">
      <c r="A35" s="13" t="s">
        <v>45</v>
      </c>
      <c r="B35" s="16">
        <v>10</v>
      </c>
      <c r="H35" s="13" t="s">
        <v>104</v>
      </c>
      <c r="I35" s="15">
        <v>1196391.1500000001</v>
      </c>
      <c r="K35" s="13" t="s">
        <v>104</v>
      </c>
      <c r="L35" s="15">
        <v>1196391.1500000001</v>
      </c>
    </row>
    <row r="36" spans="1:12" x14ac:dyDescent="0.3">
      <c r="A36" s="13" t="s">
        <v>35</v>
      </c>
      <c r="B36" s="16">
        <v>9.9128919860627178</v>
      </c>
      <c r="H36" s="13" t="s">
        <v>54</v>
      </c>
      <c r="I36" s="15">
        <v>1256175.6999999993</v>
      </c>
      <c r="K36" s="13" t="s">
        <v>54</v>
      </c>
      <c r="L36" s="15">
        <v>1256175.6999999993</v>
      </c>
    </row>
    <row r="37" spans="1:12" x14ac:dyDescent="0.3">
      <c r="A37" s="13" t="s">
        <v>25</v>
      </c>
      <c r="B37" s="16">
        <v>10.11049723756906</v>
      </c>
      <c r="H37" s="13" t="s">
        <v>1723</v>
      </c>
      <c r="I37" s="15">
        <v>15212734.040000001</v>
      </c>
    </row>
    <row r="38" spans="1:12" x14ac:dyDescent="0.3">
      <c r="A38" s="13" t="s">
        <v>83</v>
      </c>
      <c r="B38" s="16">
        <v>9.67741935483871</v>
      </c>
    </row>
    <row r="39" spans="1:12" x14ac:dyDescent="0.3">
      <c r="A39" s="13" t="s">
        <v>64</v>
      </c>
      <c r="B39" s="16">
        <v>10.307443365695793</v>
      </c>
    </row>
    <row r="40" spans="1:12" x14ac:dyDescent="0.3">
      <c r="A40" s="13" t="s">
        <v>1723</v>
      </c>
      <c r="B40" s="16">
        <v>10.06</v>
      </c>
    </row>
    <row r="42" spans="1:12" x14ac:dyDescent="0.3">
      <c r="A42" s="12" t="s">
        <v>1724</v>
      </c>
      <c r="B42" s="12" t="s">
        <v>1740</v>
      </c>
      <c r="G42" t="s">
        <v>1739</v>
      </c>
    </row>
    <row r="43" spans="1:12" x14ac:dyDescent="0.3">
      <c r="A43" s="12" t="s">
        <v>1734</v>
      </c>
      <c r="B43" t="s">
        <v>20</v>
      </c>
      <c r="C43" s="34" t="s">
        <v>60</v>
      </c>
      <c r="D43" s="34" t="s">
        <v>40</v>
      </c>
      <c r="E43" s="34" t="s">
        <v>30</v>
      </c>
      <c r="F43" s="34" t="s">
        <v>1723</v>
      </c>
    </row>
    <row r="44" spans="1:12" x14ac:dyDescent="0.3">
      <c r="A44" s="13" t="s">
        <v>117</v>
      </c>
      <c r="B44" s="18">
        <v>8.8717188932069188E-3</v>
      </c>
      <c r="C44" s="34">
        <v>6.8799342527649954E-3</v>
      </c>
      <c r="D44" s="34">
        <v>7.0422594464814572E-3</v>
      </c>
      <c r="E44" s="34">
        <v>4.5492539222752367E-3</v>
      </c>
      <c r="F44" s="34">
        <v>2.7343166514728606E-2</v>
      </c>
    </row>
    <row r="45" spans="1:12" x14ac:dyDescent="0.3">
      <c r="A45" s="13" t="s">
        <v>42</v>
      </c>
      <c r="B45" s="18">
        <v>3.1796993145881631E-3</v>
      </c>
      <c r="C45" s="34">
        <v>3.3834680777736124E-3</v>
      </c>
      <c r="D45" s="34">
        <v>3.5064933009240989E-3</v>
      </c>
      <c r="E45" s="34">
        <v>1.8393866563646316E-3</v>
      </c>
      <c r="F45" s="34">
        <v>1.1909047349650507E-2</v>
      </c>
    </row>
    <row r="46" spans="1:12" x14ac:dyDescent="0.3">
      <c r="A46" s="13" t="s">
        <v>134</v>
      </c>
      <c r="B46" s="18">
        <v>1.3507884871955606E-2</v>
      </c>
      <c r="C46" s="34">
        <v>1.1415866440796597E-2</v>
      </c>
      <c r="D46" s="34">
        <v>1.1874638018716067E-2</v>
      </c>
      <c r="E46" s="34">
        <v>1.3467987375660455E-2</v>
      </c>
      <c r="F46" s="34">
        <v>5.0266376707128725E-2</v>
      </c>
    </row>
    <row r="47" spans="1:12" x14ac:dyDescent="0.3">
      <c r="A47" s="13" t="s">
        <v>22</v>
      </c>
      <c r="B47" s="18">
        <v>0.14279792010351877</v>
      </c>
      <c r="C47" s="34">
        <v>0.20402203521333631</v>
      </c>
      <c r="D47" s="34">
        <v>0.12761157362611725</v>
      </c>
      <c r="E47" s="34">
        <v>0.16411031727995684</v>
      </c>
      <c r="F47" s="34">
        <v>0.63854184622292909</v>
      </c>
    </row>
    <row r="48" spans="1:12" x14ac:dyDescent="0.3">
      <c r="A48" s="13" t="s">
        <v>32</v>
      </c>
      <c r="B48" s="18">
        <v>2.4978134699579616E-2</v>
      </c>
      <c r="C48" s="34">
        <v>3.2827539000346594E-2</v>
      </c>
      <c r="D48" s="34">
        <v>3.0170339453328143E-2</v>
      </c>
      <c r="E48" s="34">
        <v>3.4166557348162256E-2</v>
      </c>
      <c r="F48" s="34">
        <v>0.12214257050141661</v>
      </c>
    </row>
    <row r="49" spans="1:21" x14ac:dyDescent="0.3">
      <c r="A49" s="13" t="s">
        <v>49</v>
      </c>
      <c r="B49" s="18">
        <v>3.7006725321019285E-2</v>
      </c>
      <c r="C49" s="34">
        <v>3.8686765209496835E-2</v>
      </c>
      <c r="D49" s="34">
        <v>3.3888853814471875E-2</v>
      </c>
      <c r="E49" s="34">
        <v>4.0214648359158466E-2</v>
      </c>
      <c r="F49" s="34">
        <v>0.14979699270414645</v>
      </c>
    </row>
    <row r="50" spans="1:21" x14ac:dyDescent="0.3">
      <c r="A50" s="13" t="s">
        <v>1723</v>
      </c>
      <c r="B50" s="18">
        <v>0.23034208320386831</v>
      </c>
      <c r="C50" s="34">
        <v>0.29721560819451492</v>
      </c>
      <c r="D50" s="34">
        <v>0.21409415766003889</v>
      </c>
      <c r="E50" s="34">
        <v>0.25834815094157793</v>
      </c>
      <c r="F50" s="34">
        <v>1</v>
      </c>
    </row>
    <row r="52" spans="1:21" x14ac:dyDescent="0.3">
      <c r="A52" s="12" t="s">
        <v>1730</v>
      </c>
      <c r="B52" s="12" t="s">
        <v>1740</v>
      </c>
      <c r="G52" t="s">
        <v>1741</v>
      </c>
    </row>
    <row r="53" spans="1:21" x14ac:dyDescent="0.3">
      <c r="A53" s="12" t="s">
        <v>1732</v>
      </c>
      <c r="B53" t="s">
        <v>36</v>
      </c>
      <c r="C53" t="s">
        <v>57</v>
      </c>
      <c r="D53" t="s">
        <v>26</v>
      </c>
      <c r="E53" t="s">
        <v>65</v>
      </c>
      <c r="F53" t="s">
        <v>1723</v>
      </c>
    </row>
    <row r="54" spans="1:21" x14ac:dyDescent="0.3">
      <c r="A54" s="13" t="s">
        <v>39</v>
      </c>
      <c r="B54">
        <v>49</v>
      </c>
      <c r="C54">
        <v>113</v>
      </c>
      <c r="D54">
        <v>197</v>
      </c>
      <c r="E54">
        <v>191</v>
      </c>
      <c r="F54">
        <v>550</v>
      </c>
    </row>
    <row r="55" spans="1:21" x14ac:dyDescent="0.3">
      <c r="A55" s="13" t="s">
        <v>19</v>
      </c>
      <c r="B55">
        <v>21</v>
      </c>
      <c r="C55">
        <v>49</v>
      </c>
      <c r="D55">
        <v>104</v>
      </c>
      <c r="E55">
        <v>79</v>
      </c>
      <c r="F55">
        <v>253</v>
      </c>
    </row>
    <row r="56" spans="1:21" x14ac:dyDescent="0.3">
      <c r="A56" s="13" t="s">
        <v>29</v>
      </c>
      <c r="B56">
        <v>20</v>
      </c>
      <c r="C56">
        <v>50</v>
      </c>
      <c r="D56">
        <v>59</v>
      </c>
      <c r="E56">
        <v>68</v>
      </c>
      <c r="F56">
        <v>197</v>
      </c>
    </row>
    <row r="57" spans="1:21" x14ac:dyDescent="0.3">
      <c r="A57" s="13" t="s">
        <v>1723</v>
      </c>
      <c r="B57">
        <v>90</v>
      </c>
      <c r="C57">
        <v>212</v>
      </c>
      <c r="D57">
        <v>360</v>
      </c>
      <c r="E57">
        <v>338</v>
      </c>
      <c r="F57">
        <v>1000</v>
      </c>
    </row>
    <row r="59" spans="1:21" x14ac:dyDescent="0.3">
      <c r="A59" s="12" t="s">
        <v>1726</v>
      </c>
      <c r="B59" s="12" t="s">
        <v>1740</v>
      </c>
      <c r="G59" t="s">
        <v>1764</v>
      </c>
    </row>
    <row r="60" spans="1:21" x14ac:dyDescent="0.3">
      <c r="A60" s="12" t="s">
        <v>1732</v>
      </c>
      <c r="B60" t="s">
        <v>39</v>
      </c>
      <c r="C60" t="s">
        <v>19</v>
      </c>
      <c r="D60" t="s">
        <v>29</v>
      </c>
      <c r="E60" t="s">
        <v>1723</v>
      </c>
      <c r="Q60" s="12" t="s">
        <v>1740</v>
      </c>
    </row>
    <row r="61" spans="1:21" x14ac:dyDescent="0.3">
      <c r="A61" s="13" t="s">
        <v>117</v>
      </c>
      <c r="B61" s="19">
        <v>0.59337202892100949</v>
      </c>
      <c r="C61" s="19">
        <v>0.20854064049816926</v>
      </c>
      <c r="D61" s="19">
        <v>0.1980873305808212</v>
      </c>
      <c r="E61" s="19">
        <v>1</v>
      </c>
      <c r="Q61" t="s">
        <v>36</v>
      </c>
      <c r="R61" t="s">
        <v>57</v>
      </c>
      <c r="S61" t="s">
        <v>26</v>
      </c>
      <c r="T61" t="s">
        <v>65</v>
      </c>
      <c r="U61" t="s">
        <v>1723</v>
      </c>
    </row>
    <row r="62" spans="1:21" x14ac:dyDescent="0.3">
      <c r="A62" s="13" t="s">
        <v>42</v>
      </c>
      <c r="B62" s="19">
        <v>0.53226825685316559</v>
      </c>
      <c r="C62" s="19">
        <v>0.30742167698095196</v>
      </c>
      <c r="D62" s="19">
        <v>0.1603100661658825</v>
      </c>
      <c r="E62" s="19">
        <v>1</v>
      </c>
    </row>
    <row r="63" spans="1:21" x14ac:dyDescent="0.3">
      <c r="A63" s="13" t="s">
        <v>134</v>
      </c>
      <c r="B63" s="19">
        <v>0.49831450994067439</v>
      </c>
      <c r="C63" s="19">
        <v>0.28055783720683858</v>
      </c>
      <c r="D63" s="19">
        <v>0.2211276528524872</v>
      </c>
      <c r="E63" s="19">
        <v>1</v>
      </c>
    </row>
    <row r="64" spans="1:21" x14ac:dyDescent="0.3">
      <c r="A64" s="13" t="s">
        <v>22</v>
      </c>
      <c r="B64" s="19">
        <v>0.48788928343893895</v>
      </c>
      <c r="C64" s="19">
        <v>0.39280340064924596</v>
      </c>
      <c r="D64" s="19">
        <v>0.11930731591181509</v>
      </c>
      <c r="E64" s="19">
        <v>1</v>
      </c>
    </row>
    <row r="65" spans="1:16" x14ac:dyDescent="0.3">
      <c r="A65" s="13" t="s">
        <v>32</v>
      </c>
      <c r="B65" s="19">
        <v>0.56421189651782655</v>
      </c>
      <c r="C65" s="19">
        <v>0.24472240192344774</v>
      </c>
      <c r="D65" s="19">
        <v>0.1910657015587256</v>
      </c>
      <c r="E65" s="19">
        <v>1</v>
      </c>
    </row>
    <row r="66" spans="1:16" x14ac:dyDescent="0.3">
      <c r="A66" s="13" t="s">
        <v>49</v>
      </c>
      <c r="B66" s="19">
        <v>0.58842920837190105</v>
      </c>
      <c r="C66" s="19">
        <v>0.21034475234569133</v>
      </c>
      <c r="D66" s="19">
        <v>0.20122603928240759</v>
      </c>
      <c r="E66" s="19">
        <v>1</v>
      </c>
      <c r="P66" t="s">
        <v>1726</v>
      </c>
    </row>
    <row r="67" spans="1:16" x14ac:dyDescent="0.3">
      <c r="A67" s="13" t="s">
        <v>1723</v>
      </c>
      <c r="B67" s="19">
        <v>0.53408029319856976</v>
      </c>
      <c r="C67" s="19">
        <v>0.29909172545182944</v>
      </c>
      <c r="D67" s="19">
        <v>0.16682798134960083</v>
      </c>
      <c r="E67" s="19">
        <v>1</v>
      </c>
      <c r="P67" s="19">
        <v>1</v>
      </c>
    </row>
    <row r="69" spans="1:16" x14ac:dyDescent="0.3">
      <c r="A69" s="12" t="s">
        <v>1724</v>
      </c>
      <c r="B69" s="12" t="s">
        <v>1740</v>
      </c>
      <c r="F69" t="s">
        <v>1763</v>
      </c>
    </row>
    <row r="70" spans="1:16" x14ac:dyDescent="0.3">
      <c r="A70" s="12" t="s">
        <v>1725</v>
      </c>
      <c r="B70" t="s">
        <v>1742</v>
      </c>
      <c r="C70" t="s">
        <v>1759</v>
      </c>
      <c r="D70" t="s">
        <v>1723</v>
      </c>
    </row>
    <row r="71" spans="1:16" x14ac:dyDescent="0.3">
      <c r="A71" s="20" t="s">
        <v>1744</v>
      </c>
      <c r="B71" s="15">
        <v>967369.0900000002</v>
      </c>
      <c r="C71" s="15">
        <v>1041278.4499999997</v>
      </c>
      <c r="D71" s="15">
        <v>2008647.54</v>
      </c>
    </row>
    <row r="72" spans="1:16" x14ac:dyDescent="0.3">
      <c r="A72" s="20" t="s">
        <v>1745</v>
      </c>
      <c r="B72" s="15">
        <v>371846.40999999992</v>
      </c>
      <c r="C72" s="15">
        <v>681310.86000000022</v>
      </c>
      <c r="D72" s="15">
        <v>1053157.27</v>
      </c>
    </row>
    <row r="73" spans="1:16" x14ac:dyDescent="0.3">
      <c r="A73" s="20" t="s">
        <v>1746</v>
      </c>
      <c r="B73" s="15">
        <v>740433.37999999977</v>
      </c>
      <c r="C73" s="15">
        <v>798023.45000000042</v>
      </c>
      <c r="D73" s="15">
        <v>1538456.83</v>
      </c>
    </row>
    <row r="74" spans="1:16" x14ac:dyDescent="0.3">
      <c r="A74" s="20" t="s">
        <v>1748</v>
      </c>
      <c r="B74" s="15">
        <v>529548.04999999993</v>
      </c>
      <c r="C74" s="15">
        <v>418699.97</v>
      </c>
      <c r="D74" s="15">
        <v>948248.0199999999</v>
      </c>
    </row>
    <row r="75" spans="1:16" x14ac:dyDescent="0.3">
      <c r="A75" s="20" t="s">
        <v>1749</v>
      </c>
      <c r="B75" s="15">
        <v>558113.45000000007</v>
      </c>
      <c r="C75" s="15">
        <v>593333.28</v>
      </c>
      <c r="D75" s="15">
        <v>1151446.73</v>
      </c>
    </row>
    <row r="76" spans="1:16" x14ac:dyDescent="0.3">
      <c r="A76" s="20" t="s">
        <v>1750</v>
      </c>
      <c r="B76" s="15">
        <v>320552.49</v>
      </c>
      <c r="C76" s="15">
        <v>104844.65</v>
      </c>
      <c r="D76" s="15">
        <v>425397.14</v>
      </c>
    </row>
    <row r="77" spans="1:16" x14ac:dyDescent="0.3">
      <c r="A77" s="20" t="s">
        <v>1752</v>
      </c>
      <c r="B77" s="15">
        <v>482184.27</v>
      </c>
      <c r="C77" s="15">
        <v>497146.12999999989</v>
      </c>
      <c r="D77" s="15">
        <v>979330.39999999991</v>
      </c>
    </row>
    <row r="78" spans="1:16" x14ac:dyDescent="0.3">
      <c r="A78" s="20" t="s">
        <v>1753</v>
      </c>
      <c r="B78" s="15">
        <v>432409.59000000014</v>
      </c>
      <c r="C78" s="15">
        <v>219848.75000000006</v>
      </c>
      <c r="D78" s="15">
        <v>652258.3400000002</v>
      </c>
    </row>
    <row r="79" spans="1:16" x14ac:dyDescent="0.3">
      <c r="A79" s="20" t="s">
        <v>1754</v>
      </c>
      <c r="B79" s="15">
        <v>326695.45999999996</v>
      </c>
      <c r="C79" s="15">
        <v>263239.46999999997</v>
      </c>
      <c r="D79" s="15">
        <v>589934.92999999993</v>
      </c>
    </row>
    <row r="80" spans="1:16" x14ac:dyDescent="0.3">
      <c r="A80" s="20" t="s">
        <v>1756</v>
      </c>
      <c r="B80" s="15">
        <v>1363763.8199999996</v>
      </c>
      <c r="C80" s="15">
        <v>1129374.3599999999</v>
      </c>
      <c r="D80" s="15">
        <v>2493138.1799999997</v>
      </c>
    </row>
    <row r="81" spans="1:35" x14ac:dyDescent="0.3">
      <c r="A81" s="20" t="s">
        <v>1757</v>
      </c>
      <c r="B81" s="15">
        <v>710387.33</v>
      </c>
      <c r="C81" s="15">
        <v>1583520.5300000005</v>
      </c>
      <c r="D81" s="15">
        <v>2293907.8600000003</v>
      </c>
    </row>
    <row r="82" spans="1:35" x14ac:dyDescent="0.3">
      <c r="A82" s="20" t="s">
        <v>1758</v>
      </c>
      <c r="B82" s="15">
        <v>558725.5199999999</v>
      </c>
      <c r="C82" s="15">
        <v>520085.28</v>
      </c>
      <c r="D82" s="15">
        <v>1078810.7999999998</v>
      </c>
    </row>
    <row r="83" spans="1:35" x14ac:dyDescent="0.3">
      <c r="A83" s="20" t="s">
        <v>1723</v>
      </c>
      <c r="B83" s="15">
        <v>7362028.8599999994</v>
      </c>
      <c r="C83" s="15">
        <v>7850705.1800000016</v>
      </c>
      <c r="D83" s="15">
        <v>15212734.039999999</v>
      </c>
    </row>
    <row r="85" spans="1:35" x14ac:dyDescent="0.3">
      <c r="A85" s="12" t="s">
        <v>1724</v>
      </c>
      <c r="B85" s="12" t="s">
        <v>1740</v>
      </c>
      <c r="F85" t="s">
        <v>1762</v>
      </c>
      <c r="G85" s="12" t="s">
        <v>1724</v>
      </c>
      <c r="H85" s="12" t="s">
        <v>1740</v>
      </c>
    </row>
    <row r="86" spans="1:35" x14ac:dyDescent="0.3">
      <c r="A86" s="12" t="s">
        <v>1725</v>
      </c>
      <c r="B86" t="s">
        <v>1742</v>
      </c>
      <c r="C86" t="s">
        <v>1759</v>
      </c>
      <c r="D86" t="s">
        <v>1723</v>
      </c>
      <c r="G86" s="12" t="s">
        <v>1725</v>
      </c>
      <c r="H86" t="s">
        <v>1742</v>
      </c>
      <c r="I86" t="s">
        <v>1759</v>
      </c>
      <c r="J86" t="s">
        <v>1723</v>
      </c>
    </row>
    <row r="87" spans="1:35" x14ac:dyDescent="0.3">
      <c r="A87" s="13" t="s">
        <v>1743</v>
      </c>
      <c r="B87" s="18">
        <v>0.28248311974153278</v>
      </c>
      <c r="C87" s="18">
        <v>0.32106832471831531</v>
      </c>
      <c r="D87" s="18">
        <v>0.30239545553772135</v>
      </c>
      <c r="G87" s="13" t="s">
        <v>1743</v>
      </c>
      <c r="H87" s="18">
        <v>0.45207186954696776</v>
      </c>
      <c r="I87" s="18">
        <v>0.54792813045303224</v>
      </c>
      <c r="J87" s="18">
        <v>1</v>
      </c>
    </row>
    <row r="88" spans="1:35" x14ac:dyDescent="0.3">
      <c r="A88" s="13" t="s">
        <v>1747</v>
      </c>
      <c r="B88" s="18">
        <v>0.19128069405585024</v>
      </c>
      <c r="C88" s="18">
        <v>0.14226465959329274</v>
      </c>
      <c r="D88" s="18">
        <v>0.1659854095496959</v>
      </c>
      <c r="G88" s="13" t="s">
        <v>1747</v>
      </c>
      <c r="H88" s="18">
        <v>0.5576882154573789</v>
      </c>
      <c r="I88" s="18">
        <v>0.44231178454262116</v>
      </c>
      <c r="J88" s="18">
        <v>1</v>
      </c>
    </row>
    <row r="89" spans="1:35" x14ac:dyDescent="0.3">
      <c r="A89" s="13" t="s">
        <v>1751</v>
      </c>
      <c r="B89" s="18">
        <v>0.1686069619672749</v>
      </c>
      <c r="C89" s="18">
        <v>0.12485940148372759</v>
      </c>
      <c r="D89" s="18">
        <v>0.14603053364101276</v>
      </c>
      <c r="G89" s="13" t="s">
        <v>1751</v>
      </c>
      <c r="H89" s="18">
        <v>0.55875583805956031</v>
      </c>
      <c r="I89" s="18">
        <v>0.44124416194043969</v>
      </c>
      <c r="J89" s="18">
        <v>1</v>
      </c>
    </row>
    <row r="90" spans="1:35" x14ac:dyDescent="0.3">
      <c r="A90" s="13" t="s">
        <v>1755</v>
      </c>
      <c r="B90" s="18">
        <v>0.35762922423534194</v>
      </c>
      <c r="C90" s="18">
        <v>0.41180761420466439</v>
      </c>
      <c r="D90" s="18">
        <v>0.38558860127156996</v>
      </c>
      <c r="G90" s="13" t="s">
        <v>1755</v>
      </c>
      <c r="H90" s="18">
        <v>0.44884775435467311</v>
      </c>
      <c r="I90" s="18">
        <v>0.55115224564532683</v>
      </c>
      <c r="J90" s="18">
        <v>1</v>
      </c>
    </row>
    <row r="91" spans="1:35" x14ac:dyDescent="0.3">
      <c r="A91" s="13" t="s">
        <v>1723</v>
      </c>
      <c r="B91" s="18">
        <v>1</v>
      </c>
      <c r="C91" s="18">
        <v>1</v>
      </c>
      <c r="D91" s="18">
        <v>1</v>
      </c>
      <c r="G91" s="13" t="s">
        <v>1723</v>
      </c>
      <c r="H91" s="18">
        <v>0.48393857676354934</v>
      </c>
      <c r="I91" s="18">
        <v>0.51606142323645066</v>
      </c>
      <c r="J91" s="18">
        <v>1</v>
      </c>
    </row>
    <row r="92" spans="1:35" x14ac:dyDescent="0.3">
      <c r="B92" t="s">
        <v>1760</v>
      </c>
      <c r="H92" t="s">
        <v>1761</v>
      </c>
    </row>
    <row r="94" spans="1:35" x14ac:dyDescent="0.3">
      <c r="A94" s="12" t="s">
        <v>1725</v>
      </c>
      <c r="B94" t="s">
        <v>1724</v>
      </c>
      <c r="E94" t="s">
        <v>1765</v>
      </c>
      <c r="AH94" s="12" t="s">
        <v>1734</v>
      </c>
      <c r="AI94" t="s">
        <v>1735</v>
      </c>
    </row>
    <row r="95" spans="1:35" x14ac:dyDescent="0.3">
      <c r="A95" s="20" t="s">
        <v>1744</v>
      </c>
      <c r="B95" s="14">
        <v>2008647.5399999996</v>
      </c>
      <c r="AH95" s="13" t="s">
        <v>45</v>
      </c>
      <c r="AI95" s="17">
        <v>10</v>
      </c>
    </row>
    <row r="96" spans="1:35" x14ac:dyDescent="0.3">
      <c r="A96" s="20" t="s">
        <v>1745</v>
      </c>
      <c r="B96" s="14">
        <v>1053157.2700000003</v>
      </c>
      <c r="AH96" s="13" t="s">
        <v>35</v>
      </c>
      <c r="AI96" s="17">
        <v>9.9128919860627178</v>
      </c>
    </row>
    <row r="97" spans="1:35" x14ac:dyDescent="0.3">
      <c r="A97" s="20" t="s">
        <v>1746</v>
      </c>
      <c r="B97" s="14">
        <v>1538456.8300000003</v>
      </c>
      <c r="AH97" s="13" t="s">
        <v>25</v>
      </c>
      <c r="AI97" s="17">
        <v>10.11049723756906</v>
      </c>
    </row>
    <row r="98" spans="1:35" x14ac:dyDescent="0.3">
      <c r="A98" s="20" t="s">
        <v>1748</v>
      </c>
      <c r="B98" s="14">
        <v>948248.0199999999</v>
      </c>
      <c r="AH98" s="13" t="s">
        <v>83</v>
      </c>
      <c r="AI98" s="17">
        <v>9.67741935483871</v>
      </c>
    </row>
    <row r="99" spans="1:35" x14ac:dyDescent="0.3">
      <c r="A99" s="20" t="s">
        <v>1749</v>
      </c>
      <c r="B99" s="14">
        <v>1151446.73</v>
      </c>
      <c r="AH99" s="13" t="s">
        <v>64</v>
      </c>
      <c r="AI99" s="17">
        <v>10.307443365695793</v>
      </c>
    </row>
    <row r="100" spans="1:35" x14ac:dyDescent="0.3">
      <c r="A100" s="20" t="s">
        <v>1750</v>
      </c>
      <c r="B100" s="14">
        <v>425397.14000000007</v>
      </c>
      <c r="AH100" s="13" t="s">
        <v>1723</v>
      </c>
      <c r="AI100" s="17">
        <v>10.06</v>
      </c>
    </row>
    <row r="101" spans="1:35" x14ac:dyDescent="0.3">
      <c r="A101" s="20" t="s">
        <v>1752</v>
      </c>
      <c r="B101" s="14">
        <v>979330.40000000014</v>
      </c>
    </row>
    <row r="102" spans="1:35" x14ac:dyDescent="0.3">
      <c r="A102" s="20" t="s">
        <v>1753</v>
      </c>
      <c r="B102" s="14">
        <v>652258.34000000008</v>
      </c>
      <c r="AH102" s="12" t="s">
        <v>1734</v>
      </c>
      <c r="AI102" t="s">
        <v>1735</v>
      </c>
    </row>
    <row r="103" spans="1:35" x14ac:dyDescent="0.3">
      <c r="A103" s="20" t="s">
        <v>1754</v>
      </c>
      <c r="B103" s="14">
        <v>589934.92999999993</v>
      </c>
      <c r="AH103" s="13" t="s">
        <v>45</v>
      </c>
      <c r="AI103" s="17">
        <v>10</v>
      </c>
    </row>
    <row r="104" spans="1:35" x14ac:dyDescent="0.3">
      <c r="A104" s="20" t="s">
        <v>1756</v>
      </c>
      <c r="B104" s="14">
        <v>2493138.1800000011</v>
      </c>
      <c r="AH104" s="13" t="s">
        <v>35</v>
      </c>
      <c r="AI104" s="17">
        <v>9.9128919860627178</v>
      </c>
    </row>
    <row r="105" spans="1:35" x14ac:dyDescent="0.3">
      <c r="A105" s="20" t="s">
        <v>1757</v>
      </c>
      <c r="B105" s="14">
        <v>2293907.86</v>
      </c>
      <c r="AH105" s="13" t="s">
        <v>25</v>
      </c>
      <c r="AI105" s="17">
        <v>10.11049723756906</v>
      </c>
    </row>
    <row r="106" spans="1:35" x14ac:dyDescent="0.3">
      <c r="A106" s="20" t="s">
        <v>1758</v>
      </c>
      <c r="B106" s="14">
        <v>1078810.7999999996</v>
      </c>
      <c r="AH106" s="13" t="s">
        <v>83</v>
      </c>
      <c r="AI106" s="17">
        <v>9.67741935483871</v>
      </c>
    </row>
    <row r="107" spans="1:35" x14ac:dyDescent="0.3">
      <c r="A107" s="20" t="s">
        <v>1723</v>
      </c>
      <c r="B107" s="15">
        <v>15212734.039999999</v>
      </c>
      <c r="AH107" s="13" t="s">
        <v>64</v>
      </c>
      <c r="AI107" s="17">
        <v>10.307443365695793</v>
      </c>
    </row>
    <row r="108" spans="1:35" x14ac:dyDescent="0.3">
      <c r="AH108" s="13" t="s">
        <v>1723</v>
      </c>
      <c r="AI108" s="17">
        <v>10.06</v>
      </c>
    </row>
    <row r="109" spans="1:35" x14ac:dyDescent="0.3">
      <c r="A109" s="12" t="s">
        <v>1725</v>
      </c>
      <c r="B109" t="s">
        <v>1724</v>
      </c>
      <c r="C109" t="s">
        <v>1766</v>
      </c>
    </row>
    <row r="110" spans="1:35" x14ac:dyDescent="0.3">
      <c r="A110" s="13" t="s">
        <v>117</v>
      </c>
      <c r="B110" s="18">
        <v>2.7343166514728609E-2</v>
      </c>
      <c r="AH110" s="12" t="s">
        <v>1734</v>
      </c>
      <c r="AI110" t="s">
        <v>1735</v>
      </c>
    </row>
    <row r="111" spans="1:35" x14ac:dyDescent="0.3">
      <c r="A111" s="13" t="s">
        <v>42</v>
      </c>
      <c r="B111" s="18">
        <v>1.19090473496505E-2</v>
      </c>
      <c r="AH111" s="13" t="s">
        <v>45</v>
      </c>
      <c r="AI111" s="17">
        <v>10</v>
      </c>
    </row>
    <row r="112" spans="1:35" x14ac:dyDescent="0.3">
      <c r="A112" s="13" t="s">
        <v>134</v>
      </c>
      <c r="B112" s="18">
        <v>5.0266376707128725E-2</v>
      </c>
      <c r="AH112" s="13" t="s">
        <v>35</v>
      </c>
      <c r="AI112" s="17">
        <v>9.9128919860627178</v>
      </c>
    </row>
    <row r="113" spans="1:35" x14ac:dyDescent="0.3">
      <c r="A113" s="13" t="s">
        <v>22</v>
      </c>
      <c r="B113" s="18">
        <v>0.63854184622292909</v>
      </c>
      <c r="AH113" s="13" t="s">
        <v>25</v>
      </c>
      <c r="AI113" s="17">
        <v>10.11049723756906</v>
      </c>
    </row>
    <row r="114" spans="1:35" x14ac:dyDescent="0.3">
      <c r="A114" s="13" t="s">
        <v>32</v>
      </c>
      <c r="B114" s="18">
        <v>0.12214257050141666</v>
      </c>
      <c r="AH114" s="13" t="s">
        <v>83</v>
      </c>
      <c r="AI114" s="17">
        <v>9.67741935483871</v>
      </c>
    </row>
    <row r="115" spans="1:35" x14ac:dyDescent="0.3">
      <c r="A115" s="13" t="s">
        <v>49</v>
      </c>
      <c r="B115" s="18">
        <v>0.14979699270414643</v>
      </c>
      <c r="AH115" s="13" t="s">
        <v>64</v>
      </c>
      <c r="AI115" s="17">
        <v>10.307443365695793</v>
      </c>
    </row>
    <row r="116" spans="1:35" x14ac:dyDescent="0.3">
      <c r="A116" s="13" t="s">
        <v>1723</v>
      </c>
      <c r="B116" s="18">
        <v>1</v>
      </c>
      <c r="AH116" s="13" t="s">
        <v>1723</v>
      </c>
      <c r="AI116" s="17">
        <v>10.06</v>
      </c>
    </row>
    <row r="118" spans="1:35" x14ac:dyDescent="0.3">
      <c r="A118" s="12" t="s">
        <v>1725</v>
      </c>
      <c r="B118" t="s">
        <v>1724</v>
      </c>
      <c r="C118" t="s">
        <v>1767</v>
      </c>
    </row>
    <row r="119" spans="1:35" x14ac:dyDescent="0.3">
      <c r="A119" s="13" t="s">
        <v>20</v>
      </c>
      <c r="B119" s="18">
        <v>0.23034208320386848</v>
      </c>
    </row>
    <row r="120" spans="1:35" x14ac:dyDescent="0.3">
      <c r="A120" s="13" t="s">
        <v>60</v>
      </c>
      <c r="B120" s="18">
        <v>0.29721560819451504</v>
      </c>
    </row>
    <row r="121" spans="1:35" x14ac:dyDescent="0.3">
      <c r="A121" s="13" t="s">
        <v>40</v>
      </c>
      <c r="B121" s="18">
        <v>0.21409415766003881</v>
      </c>
    </row>
    <row r="122" spans="1:35" x14ac:dyDescent="0.3">
      <c r="A122" s="13" t="s">
        <v>30</v>
      </c>
      <c r="B122" s="18">
        <v>0.25834815094157776</v>
      </c>
    </row>
    <row r="123" spans="1:35" x14ac:dyDescent="0.3">
      <c r="A123" s="13" t="s">
        <v>1723</v>
      </c>
      <c r="B123" s="18">
        <v>1</v>
      </c>
    </row>
    <row r="125" spans="1:35" x14ac:dyDescent="0.3">
      <c r="A125" s="12" t="s">
        <v>1724</v>
      </c>
      <c r="B125" s="12" t="s">
        <v>1740</v>
      </c>
      <c r="E125" t="s">
        <v>1768</v>
      </c>
    </row>
    <row r="126" spans="1:35" x14ac:dyDescent="0.3">
      <c r="A126" s="12" t="s">
        <v>1725</v>
      </c>
      <c r="B126" t="s">
        <v>1742</v>
      </c>
      <c r="C126" t="s">
        <v>1759</v>
      </c>
      <c r="D126" t="s">
        <v>1723</v>
      </c>
    </row>
    <row r="127" spans="1:35" x14ac:dyDescent="0.3">
      <c r="A127" s="20" t="s">
        <v>1744</v>
      </c>
      <c r="B127" s="18">
        <v>1</v>
      </c>
      <c r="C127" s="18">
        <v>1</v>
      </c>
      <c r="D127" s="18">
        <v>1</v>
      </c>
    </row>
    <row r="128" spans="1:35" x14ac:dyDescent="0.3">
      <c r="A128" s="20" t="s">
        <v>1745</v>
      </c>
      <c r="B128" s="18">
        <v>0.38438938544128987</v>
      </c>
      <c r="C128" s="18">
        <v>0.65430227620671533</v>
      </c>
      <c r="D128" s="18">
        <v>0.52431163209449871</v>
      </c>
    </row>
    <row r="129" spans="1:7" x14ac:dyDescent="0.3">
      <c r="A129" s="20" t="s">
        <v>1746</v>
      </c>
      <c r="B129" s="18">
        <v>1.9912344454260025</v>
      </c>
      <c r="C129" s="18">
        <v>1.1713059292787438</v>
      </c>
      <c r="D129" s="18">
        <v>1.4608044532608127</v>
      </c>
    </row>
    <row r="130" spans="1:7" x14ac:dyDescent="0.3">
      <c r="A130" s="20" t="s">
        <v>1748</v>
      </c>
      <c r="B130" s="18">
        <v>0.71518662489257323</v>
      </c>
      <c r="C130" s="18">
        <v>0.52467126122672181</v>
      </c>
      <c r="D130" s="18">
        <v>0.61636309937926559</v>
      </c>
    </row>
    <row r="131" spans="1:7" x14ac:dyDescent="0.3">
      <c r="A131" s="20" t="s">
        <v>1749</v>
      </c>
      <c r="B131" s="18">
        <v>1.0539429802451357</v>
      </c>
      <c r="C131" s="18">
        <v>1.4170846011763509</v>
      </c>
      <c r="D131" s="18">
        <v>1.2142885676681932</v>
      </c>
    </row>
    <row r="132" spans="1:7" x14ac:dyDescent="0.3">
      <c r="A132" s="20" t="s">
        <v>1750</v>
      </c>
      <c r="B132" s="18">
        <v>0.57435005373907388</v>
      </c>
      <c r="C132" s="18">
        <v>0.17670448217568377</v>
      </c>
      <c r="D132" s="18">
        <v>0.36944578408764078</v>
      </c>
    </row>
    <row r="133" spans="1:7" x14ac:dyDescent="0.3">
      <c r="A133" s="20" t="s">
        <v>1752</v>
      </c>
      <c r="B133" s="18">
        <v>1.5042287458132053</v>
      </c>
      <c r="C133" s="18">
        <v>4.7417405656845624</v>
      </c>
      <c r="D133" s="18">
        <v>2.3021555810177752</v>
      </c>
    </row>
    <row r="134" spans="1:7" x14ac:dyDescent="0.3">
      <c r="A134" s="20" t="s">
        <v>1753</v>
      </c>
      <c r="B134" s="18">
        <v>0.8967724932213158</v>
      </c>
      <c r="C134" s="18">
        <v>0.44222158583433024</v>
      </c>
      <c r="D134" s="18">
        <v>0.66602480633706485</v>
      </c>
    </row>
    <row r="135" spans="1:7" x14ac:dyDescent="0.3">
      <c r="A135" s="20" t="s">
        <v>1754</v>
      </c>
      <c r="B135" s="18">
        <v>0.75552316034433897</v>
      </c>
      <c r="C135" s="18">
        <v>1.1973662347409293</v>
      </c>
      <c r="D135" s="18">
        <v>0.90444980741833025</v>
      </c>
    </row>
    <row r="136" spans="1:7" x14ac:dyDescent="0.3">
      <c r="A136" s="20" t="s">
        <v>1756</v>
      </c>
      <c r="B136" s="18">
        <v>4.1744192588412457</v>
      </c>
      <c r="C136" s="18">
        <v>4.2902926373465196</v>
      </c>
      <c r="D136" s="18">
        <v>4.2261240235427318</v>
      </c>
    </row>
    <row r="137" spans="1:7" x14ac:dyDescent="0.3">
      <c r="A137" s="20" t="s">
        <v>1757</v>
      </c>
      <c r="B137" s="18">
        <v>0.52090202099656824</v>
      </c>
      <c r="C137" s="18">
        <v>1.4021219057957015</v>
      </c>
      <c r="D137" s="18">
        <v>0.9200885367693501</v>
      </c>
    </row>
    <row r="138" spans="1:7" x14ac:dyDescent="0.3">
      <c r="A138" s="20" t="s">
        <v>1758</v>
      </c>
      <c r="B138" s="18">
        <v>0.78650828414971863</v>
      </c>
      <c r="C138" s="18">
        <v>0.32843608285899512</v>
      </c>
      <c r="D138" s="18">
        <v>0.47029386786267852</v>
      </c>
    </row>
    <row r="139" spans="1:7" x14ac:dyDescent="0.3">
      <c r="A139" s="20" t="s">
        <v>1723</v>
      </c>
      <c r="B139" s="18"/>
      <c r="C139" s="18"/>
      <c r="D139" s="18"/>
    </row>
    <row r="142" spans="1:7" x14ac:dyDescent="0.3">
      <c r="A142" s="25" t="s">
        <v>1769</v>
      </c>
      <c r="B142" s="26"/>
      <c r="C142" s="26" t="s">
        <v>1774</v>
      </c>
      <c r="D142" s="26"/>
      <c r="E142" s="26"/>
      <c r="F142" s="26"/>
      <c r="G142" s="26"/>
    </row>
    <row r="144" spans="1:7" x14ac:dyDescent="0.3">
      <c r="B144" s="12" t="s">
        <v>1772</v>
      </c>
      <c r="C144" t="s">
        <v>1726</v>
      </c>
      <c r="D144" t="s">
        <v>1724</v>
      </c>
      <c r="E144" t="s">
        <v>1773</v>
      </c>
      <c r="F144" t="s">
        <v>1775</v>
      </c>
    </row>
    <row r="145" spans="1:56" x14ac:dyDescent="0.3">
      <c r="B145" s="13" t="s">
        <v>117</v>
      </c>
      <c r="C145" s="17">
        <v>95251.170000000042</v>
      </c>
      <c r="D145" s="17">
        <v>415964.32000000012</v>
      </c>
      <c r="E145" s="19">
        <v>0.22588739466451521</v>
      </c>
      <c r="F145" s="19">
        <v>0.22898879884697806</v>
      </c>
    </row>
    <row r="146" spans="1:56" x14ac:dyDescent="0.3">
      <c r="B146" s="13" t="s">
        <v>42</v>
      </c>
      <c r="C146" s="17">
        <v>15840.490000000003</v>
      </c>
      <c r="D146" s="17">
        <v>181169.16999999995</v>
      </c>
      <c r="E146" s="19">
        <v>8.7105869281031964E-2</v>
      </c>
      <c r="F146" s="19">
        <v>8.7434799199002836E-2</v>
      </c>
    </row>
    <row r="147" spans="1:56" x14ac:dyDescent="0.3">
      <c r="B147" s="13" t="s">
        <v>134</v>
      </c>
      <c r="C147" s="17">
        <v>126577.42999999998</v>
      </c>
      <c r="D147" s="17">
        <v>764689.02000000037</v>
      </c>
      <c r="E147" s="19">
        <v>0.15117777672569038</v>
      </c>
      <c r="F147" s="19">
        <v>0.165527981557784</v>
      </c>
    </row>
    <row r="148" spans="1:56" x14ac:dyDescent="0.3">
      <c r="B148" s="13" t="s">
        <v>22</v>
      </c>
      <c r="C148" s="17">
        <v>559396.7100000002</v>
      </c>
      <c r="D148" s="17">
        <v>9713967.2799999993</v>
      </c>
      <c r="E148" s="19">
        <v>4.9109816471525757E-2</v>
      </c>
      <c r="F148" s="19">
        <v>5.7586843137894556E-2</v>
      </c>
    </row>
    <row r="149" spans="1:56" x14ac:dyDescent="0.3">
      <c r="B149" s="13" t="s">
        <v>32</v>
      </c>
      <c r="C149" s="17">
        <v>226950.77999999994</v>
      </c>
      <c r="D149" s="17">
        <v>1858122.4400000013</v>
      </c>
      <c r="E149" s="19">
        <v>0.1158977192201491</v>
      </c>
      <c r="F149" s="19">
        <v>0.12213984133359897</v>
      </c>
    </row>
    <row r="150" spans="1:56" x14ac:dyDescent="0.3">
      <c r="B150" s="13" t="s">
        <v>49</v>
      </c>
      <c r="C150" s="17">
        <v>329517.99000000011</v>
      </c>
      <c r="D150" s="17">
        <v>2278821.81</v>
      </c>
      <c r="E150" s="19">
        <v>0.13406164771908294</v>
      </c>
      <c r="F150" s="19">
        <v>0.14460015634131573</v>
      </c>
    </row>
    <row r="151" spans="1:56" x14ac:dyDescent="0.3">
      <c r="B151" s="13" t="s">
        <v>1723</v>
      </c>
      <c r="C151" s="17">
        <v>1353534.5699999991</v>
      </c>
      <c r="D151" s="17">
        <v>15212734.040000016</v>
      </c>
      <c r="E151" s="19">
        <v>0.12718255304115941</v>
      </c>
      <c r="F151" s="19">
        <v>8.8973787778123661E-2</v>
      </c>
    </row>
    <row r="154" spans="1:56" x14ac:dyDescent="0.3">
      <c r="A154" s="25" t="s">
        <v>1776</v>
      </c>
      <c r="B154" s="26"/>
      <c r="C154" s="26"/>
      <c r="D154" s="26"/>
      <c r="E154" s="26"/>
      <c r="F154" s="26"/>
      <c r="G154" s="26"/>
    </row>
    <row r="156" spans="1:56" x14ac:dyDescent="0.3">
      <c r="A156" s="12" t="s">
        <v>1772</v>
      </c>
      <c r="B156" t="s">
        <v>1730</v>
      </c>
      <c r="C156" t="s">
        <v>1724</v>
      </c>
      <c r="D156" t="s">
        <v>1777</v>
      </c>
    </row>
    <row r="157" spans="1:56" x14ac:dyDescent="0.3">
      <c r="A157" s="13" t="s">
        <v>117</v>
      </c>
      <c r="B157">
        <v>163</v>
      </c>
      <c r="C157" s="29">
        <v>415964.32000000012</v>
      </c>
      <c r="D157">
        <f>GETPIVOTDATA("Sum of Sales",$A$156,"Category","Beauty &amp; Personal Care")/GETPIVOTDATA("Count of Order ID",$A$156,"Category","Beauty &amp; Personal Care")</f>
        <v>2551.9283435582829</v>
      </c>
    </row>
    <row r="158" spans="1:56" x14ac:dyDescent="0.3">
      <c r="A158" s="13" t="s">
        <v>42</v>
      </c>
      <c r="B158">
        <v>158</v>
      </c>
      <c r="C158" s="29">
        <v>181169.16999999995</v>
      </c>
      <c r="D158">
        <f>GETPIVOTDATA("Sum of Sales",$A$156,"Category","Books")/GETPIVOTDATA("Count of Order ID",$A$156,"Category","Books")</f>
        <v>1146.6403164556959</v>
      </c>
      <c r="BD158" s="12" t="s">
        <v>1771</v>
      </c>
    </row>
    <row r="159" spans="1:56" x14ac:dyDescent="0.3">
      <c r="A159" s="13" t="s">
        <v>134</v>
      </c>
      <c r="B159">
        <v>166</v>
      </c>
      <c r="C159" s="29">
        <v>764689.02000000037</v>
      </c>
      <c r="D159">
        <f>GETPIVOTDATA("Sum of Sales",$A$156,"Category","Clothing")/GETPIVOTDATA("Count of Order ID",$A$156,"Category","Clothing")</f>
        <v>4606.560361445785</v>
      </c>
      <c r="BD159" s="13" t="s">
        <v>117</v>
      </c>
    </row>
    <row r="160" spans="1:56" x14ac:dyDescent="0.3">
      <c r="A160" s="13" t="s">
        <v>22</v>
      </c>
      <c r="B160">
        <v>168</v>
      </c>
      <c r="C160" s="29">
        <v>9713967.2799999993</v>
      </c>
      <c r="D160">
        <f>GETPIVOTDATA("Sum of Sales",$A$156,"Category","Electronics")/GETPIVOTDATA("Count of Order ID",$A$156,"Category","Home &amp; Kitchen")</f>
        <v>58872.528969696963</v>
      </c>
      <c r="BD160" s="13" t="s">
        <v>42</v>
      </c>
    </row>
    <row r="161" spans="1:56" x14ac:dyDescent="0.3">
      <c r="A161" s="13" t="s">
        <v>32</v>
      </c>
      <c r="B161">
        <v>165</v>
      </c>
      <c r="C161" s="29">
        <v>1858122.4400000013</v>
      </c>
      <c r="D161">
        <f>GETPIVOTDATA("Sum of Sales",$A$156,"Category","Home &amp; Kitchen")/GETPIVOTDATA("Count of Order ID",$A$156,"Category","Home &amp; Kitchen")</f>
        <v>11261.34812121213</v>
      </c>
      <c r="BD161" s="13" t="s">
        <v>134</v>
      </c>
    </row>
    <row r="162" spans="1:56" x14ac:dyDescent="0.3">
      <c r="A162" s="13" t="s">
        <v>49</v>
      </c>
      <c r="B162">
        <v>180</v>
      </c>
      <c r="C162" s="29">
        <v>2278821.81</v>
      </c>
      <c r="D162">
        <f>GETPIVOTDATA("Sum of Sales",$A$156,"Category","Sports &amp; Fitness")/GETPIVOTDATA("Count of Order ID",$A$156,"Category","Sports &amp; Fitness")</f>
        <v>12660.121166666668</v>
      </c>
      <c r="BD162" s="13" t="s">
        <v>22</v>
      </c>
    </row>
    <row r="163" spans="1:56" x14ac:dyDescent="0.3">
      <c r="A163" s="13" t="s">
        <v>1723</v>
      </c>
      <c r="B163">
        <v>1000</v>
      </c>
      <c r="C163" s="29">
        <v>15212734.040000016</v>
      </c>
      <c r="BD163" s="13" t="s">
        <v>32</v>
      </c>
    </row>
    <row r="164" spans="1:56" x14ac:dyDescent="0.3">
      <c r="BD164" s="13" t="s">
        <v>49</v>
      </c>
    </row>
    <row r="165" spans="1:56" x14ac:dyDescent="0.3">
      <c r="BD165" s="13" t="s">
        <v>1723</v>
      </c>
    </row>
    <row r="166" spans="1:56" x14ac:dyDescent="0.3">
      <c r="A166" s="25" t="s">
        <v>1778</v>
      </c>
      <c r="B166" s="26"/>
      <c r="C166" s="26"/>
      <c r="D166" s="26"/>
      <c r="E166" s="26"/>
      <c r="F166" s="26"/>
      <c r="G166" s="26"/>
    </row>
    <row r="167" spans="1:56" x14ac:dyDescent="0.3">
      <c r="I167" s="12" t="s">
        <v>1772</v>
      </c>
      <c r="J167" t="s">
        <v>1779</v>
      </c>
    </row>
    <row r="168" spans="1:56" x14ac:dyDescent="0.3">
      <c r="A168" s="12" t="s">
        <v>1772</v>
      </c>
      <c r="B168" t="s">
        <v>1779</v>
      </c>
      <c r="I168" s="13" t="s">
        <v>117</v>
      </c>
      <c r="J168" s="17">
        <v>381211.4800000001</v>
      </c>
    </row>
    <row r="169" spans="1:56" x14ac:dyDescent="0.3">
      <c r="A169" s="13" t="s">
        <v>20</v>
      </c>
      <c r="B169" s="17">
        <v>3452428.2400000021</v>
      </c>
      <c r="I169" s="13" t="s">
        <v>42</v>
      </c>
      <c r="J169" s="17">
        <v>149696.01999999996</v>
      </c>
    </row>
    <row r="170" spans="1:56" x14ac:dyDescent="0.3">
      <c r="A170" s="13" t="s">
        <v>60</v>
      </c>
      <c r="B170" s="17">
        <v>4471972.5300000021</v>
      </c>
      <c r="I170" s="13" t="s">
        <v>134</v>
      </c>
      <c r="J170" s="17">
        <v>730806.65000000037</v>
      </c>
    </row>
    <row r="171" spans="1:56" x14ac:dyDescent="0.3">
      <c r="A171" s="13" t="s">
        <v>40</v>
      </c>
      <c r="B171" s="17">
        <v>3206573.5199999991</v>
      </c>
      <c r="I171" s="13" t="s">
        <v>22</v>
      </c>
      <c r="J171" s="17">
        <v>9679481.5499999989</v>
      </c>
    </row>
    <row r="172" spans="1:56" x14ac:dyDescent="0.3">
      <c r="A172" s="13" t="s">
        <v>30</v>
      </c>
      <c r="B172" s="17">
        <v>3877534.1399999983</v>
      </c>
      <c r="I172" s="13" t="s">
        <v>32</v>
      </c>
      <c r="J172" s="17">
        <v>1825692.5000000014</v>
      </c>
    </row>
    <row r="173" spans="1:56" x14ac:dyDescent="0.3">
      <c r="A173" s="13" t="s">
        <v>1723</v>
      </c>
      <c r="B173" s="17">
        <v>15008508.430000024</v>
      </c>
      <c r="I173" s="13" t="s">
        <v>49</v>
      </c>
      <c r="J173" s="17">
        <v>2241620.23</v>
      </c>
    </row>
    <row r="174" spans="1:56" x14ac:dyDescent="0.3">
      <c r="I174" s="13" t="s">
        <v>1723</v>
      </c>
      <c r="J174" s="17">
        <v>15008508.430000016</v>
      </c>
    </row>
    <row r="176" spans="1:56" x14ac:dyDescent="0.3">
      <c r="A176" s="25" t="s">
        <v>1780</v>
      </c>
      <c r="B176" s="26"/>
      <c r="C176" s="26"/>
      <c r="D176" s="26"/>
      <c r="E176" s="26"/>
      <c r="F176" s="26"/>
      <c r="G176" s="26"/>
    </row>
    <row r="177" spans="1:2" x14ac:dyDescent="0.3">
      <c r="A177" s="12" t="s">
        <v>1772</v>
      </c>
      <c r="B177" t="s">
        <v>1724</v>
      </c>
    </row>
    <row r="178" spans="1:2" x14ac:dyDescent="0.3">
      <c r="A178" s="13" t="s">
        <v>480</v>
      </c>
      <c r="B178" s="17">
        <v>845064.16</v>
      </c>
    </row>
    <row r="179" spans="1:2" x14ac:dyDescent="0.3">
      <c r="A179" s="13" t="s">
        <v>78</v>
      </c>
      <c r="B179" s="17">
        <v>761249.08000000007</v>
      </c>
    </row>
    <row r="180" spans="1:2" x14ac:dyDescent="0.3">
      <c r="A180" s="13" t="s">
        <v>111</v>
      </c>
      <c r="B180" s="17">
        <v>694643.49</v>
      </c>
    </row>
    <row r="181" spans="1:2" x14ac:dyDescent="0.3">
      <c r="A181" s="13" t="s">
        <v>24</v>
      </c>
      <c r="B181" s="17">
        <v>690115.52</v>
      </c>
    </row>
    <row r="182" spans="1:2" x14ac:dyDescent="0.3">
      <c r="A182" s="13" t="s">
        <v>359</v>
      </c>
      <c r="B182" s="17">
        <v>662484.78999999992</v>
      </c>
    </row>
    <row r="183" spans="1:2" x14ac:dyDescent="0.3">
      <c r="A183" s="13" t="s">
        <v>317</v>
      </c>
      <c r="B183" s="17">
        <v>608730.19000000006</v>
      </c>
    </row>
    <row r="184" spans="1:2" x14ac:dyDescent="0.3">
      <c r="A184" s="13" t="s">
        <v>323</v>
      </c>
      <c r="B184" s="17">
        <v>543404.49</v>
      </c>
    </row>
    <row r="185" spans="1:2" x14ac:dyDescent="0.3">
      <c r="A185" s="13" t="s">
        <v>251</v>
      </c>
      <c r="B185" s="17">
        <v>492158.43999999994</v>
      </c>
    </row>
    <row r="186" spans="1:2" x14ac:dyDescent="0.3">
      <c r="A186" s="13" t="s">
        <v>150</v>
      </c>
      <c r="B186" s="17">
        <v>453394.30000000005</v>
      </c>
    </row>
    <row r="187" spans="1:2" x14ac:dyDescent="0.3">
      <c r="A187" s="13" t="s">
        <v>1215</v>
      </c>
      <c r="B187" s="17">
        <v>431111.79000000004</v>
      </c>
    </row>
    <row r="188" spans="1:2" x14ac:dyDescent="0.3">
      <c r="A188" s="13" t="s">
        <v>1723</v>
      </c>
      <c r="B188" s="17">
        <v>6182356.25</v>
      </c>
    </row>
    <row r="189" spans="1:2" x14ac:dyDescent="0.3">
      <c r="A189" s="13"/>
      <c r="B189" s="17"/>
    </row>
    <row r="190" spans="1:2" x14ac:dyDescent="0.3">
      <c r="A190" s="13"/>
      <c r="B190" s="17"/>
    </row>
    <row r="191" spans="1:2" x14ac:dyDescent="0.3">
      <c r="A191" s="13"/>
      <c r="B191" s="17"/>
    </row>
    <row r="192" spans="1:2" x14ac:dyDescent="0.3">
      <c r="A192" s="13"/>
      <c r="B192" s="17"/>
    </row>
    <row r="193" spans="1:7" x14ac:dyDescent="0.3">
      <c r="A193" t="s">
        <v>1783</v>
      </c>
    </row>
    <row r="195" spans="1:7" x14ac:dyDescent="0.3">
      <c r="A195" s="12" t="s">
        <v>16</v>
      </c>
      <c r="B195" t="s">
        <v>1782</v>
      </c>
    </row>
    <row r="196" spans="1:7" x14ac:dyDescent="0.3">
      <c r="A196" s="12" t="s">
        <v>0</v>
      </c>
      <c r="B196" t="s">
        <v>1781</v>
      </c>
      <c r="C196" s="31"/>
      <c r="D196" s="31"/>
      <c r="E196" s="31"/>
      <c r="F196" s="31"/>
      <c r="G196" s="31"/>
    </row>
    <row r="197" spans="1:7" x14ac:dyDescent="0.3">
      <c r="A197" s="32"/>
      <c r="B197" s="31"/>
      <c r="C197" s="31"/>
      <c r="D197" s="31"/>
      <c r="E197" s="31"/>
      <c r="F197" s="31"/>
      <c r="G197" s="31"/>
    </row>
    <row r="198" spans="1:7" x14ac:dyDescent="0.3">
      <c r="A198" s="12" t="s">
        <v>1772</v>
      </c>
      <c r="B198" t="s">
        <v>1730</v>
      </c>
    </row>
    <row r="199" spans="1:7" x14ac:dyDescent="0.3">
      <c r="A199" s="13" t="s">
        <v>117</v>
      </c>
      <c r="B199">
        <v>49</v>
      </c>
    </row>
    <row r="200" spans="1:7" x14ac:dyDescent="0.3">
      <c r="A200" s="13" t="s">
        <v>42</v>
      </c>
      <c r="B200">
        <v>55</v>
      </c>
    </row>
    <row r="201" spans="1:7" x14ac:dyDescent="0.3">
      <c r="A201" s="13" t="s">
        <v>134</v>
      </c>
      <c r="B201">
        <v>42</v>
      </c>
    </row>
    <row r="202" spans="1:7" x14ac:dyDescent="0.3">
      <c r="A202" s="13" t="s">
        <v>22</v>
      </c>
      <c r="B202">
        <v>57</v>
      </c>
    </row>
    <row r="203" spans="1:7" x14ac:dyDescent="0.3">
      <c r="A203" s="13" t="s">
        <v>32</v>
      </c>
      <c r="B203">
        <v>48</v>
      </c>
    </row>
    <row r="204" spans="1:7" x14ac:dyDescent="0.3">
      <c r="A204" s="13" t="s">
        <v>49</v>
      </c>
      <c r="B204">
        <v>51</v>
      </c>
    </row>
    <row r="205" spans="1:7" x14ac:dyDescent="0.3">
      <c r="A205" s="13" t="s">
        <v>1723</v>
      </c>
      <c r="B205">
        <v>302</v>
      </c>
    </row>
    <row r="208" spans="1:7" x14ac:dyDescent="0.3">
      <c r="A208" s="13" t="s">
        <v>1784</v>
      </c>
    </row>
    <row r="210" spans="1:5" x14ac:dyDescent="0.3">
      <c r="A210" s="23"/>
      <c r="B210" s="23"/>
      <c r="D210" s="12" t="s">
        <v>1772</v>
      </c>
      <c r="E210" t="s">
        <v>1726</v>
      </c>
    </row>
    <row r="211" spans="1:5" x14ac:dyDescent="0.3">
      <c r="A211" s="13"/>
      <c r="D211" s="13" t="s">
        <v>61</v>
      </c>
      <c r="E211" s="17">
        <v>40965.53</v>
      </c>
    </row>
    <row r="212" spans="1:5" x14ac:dyDescent="0.3">
      <c r="A212" s="13"/>
      <c r="D212" s="13" t="s">
        <v>77</v>
      </c>
      <c r="E212" s="17">
        <v>68900.660000000018</v>
      </c>
    </row>
    <row r="213" spans="1:5" x14ac:dyDescent="0.3">
      <c r="A213" s="13"/>
      <c r="D213" s="13" t="s">
        <v>104</v>
      </c>
      <c r="E213" s="17">
        <v>69979.990000000005</v>
      </c>
    </row>
    <row r="214" spans="1:5" x14ac:dyDescent="0.3">
      <c r="A214" s="13"/>
      <c r="D214" s="13" t="s">
        <v>90</v>
      </c>
      <c r="E214" s="17">
        <v>73826.259999999995</v>
      </c>
    </row>
    <row r="215" spans="1:5" x14ac:dyDescent="0.3">
      <c r="A215" s="13"/>
      <c r="D215" s="13" t="s">
        <v>31</v>
      </c>
      <c r="E215" s="17">
        <v>89291.849999999977</v>
      </c>
    </row>
    <row r="216" spans="1:5" x14ac:dyDescent="0.3">
      <c r="A216" s="13"/>
      <c r="D216" s="13" t="s">
        <v>1723</v>
      </c>
      <c r="E216" s="17">
        <v>342964.29</v>
      </c>
    </row>
    <row r="217" spans="1:5" x14ac:dyDescent="0.3">
      <c r="A217" s="22"/>
      <c r="B217" s="24"/>
    </row>
    <row r="220" spans="1:5" x14ac:dyDescent="0.3">
      <c r="A220" t="s">
        <v>1785</v>
      </c>
    </row>
    <row r="222" spans="1:5" x14ac:dyDescent="0.3">
      <c r="A222" s="12" t="s">
        <v>1772</v>
      </c>
      <c r="B222" t="s">
        <v>1724</v>
      </c>
      <c r="C222" t="s">
        <v>1726</v>
      </c>
    </row>
    <row r="223" spans="1:5" x14ac:dyDescent="0.3">
      <c r="A223" s="13" t="s">
        <v>60</v>
      </c>
      <c r="B223" s="17">
        <v>4521462.0000000019</v>
      </c>
      <c r="C223" s="17">
        <v>330381.87999999989</v>
      </c>
    </row>
    <row r="224" spans="1:5" x14ac:dyDescent="0.3">
      <c r="A224" s="13" t="s">
        <v>30</v>
      </c>
      <c r="B224" s="17">
        <v>3930181.7099999981</v>
      </c>
      <c r="C224" s="17">
        <v>336343.34000000014</v>
      </c>
    </row>
    <row r="225" spans="1:3" x14ac:dyDescent="0.3">
      <c r="A225" s="13" t="s">
        <v>20</v>
      </c>
      <c r="B225" s="17">
        <v>3504132.850000002</v>
      </c>
      <c r="C225" s="17">
        <v>355533.17999999964</v>
      </c>
    </row>
    <row r="226" spans="1:3" x14ac:dyDescent="0.3">
      <c r="A226" s="13" t="s">
        <v>40</v>
      </c>
      <c r="B226" s="17">
        <v>3256957.4799999991</v>
      </c>
      <c r="C226" s="17">
        <v>331276.1700000001</v>
      </c>
    </row>
    <row r="227" spans="1:3" x14ac:dyDescent="0.3">
      <c r="A227" s="13" t="s">
        <v>1723</v>
      </c>
      <c r="B227" s="17">
        <v>15212734.040000001</v>
      </c>
      <c r="C227" s="17">
        <v>1353534.5699999998</v>
      </c>
    </row>
    <row r="230" spans="1:3" x14ac:dyDescent="0.3">
      <c r="A230" s="13" t="s">
        <v>1786</v>
      </c>
    </row>
    <row r="232" spans="1:3" x14ac:dyDescent="0.3">
      <c r="A232" s="12" t="s">
        <v>1772</v>
      </c>
      <c r="B232" t="s">
        <v>1724</v>
      </c>
      <c r="C232" t="s">
        <v>1726</v>
      </c>
    </row>
    <row r="233" spans="1:3" x14ac:dyDescent="0.3">
      <c r="A233" s="13" t="s">
        <v>60</v>
      </c>
      <c r="B233" s="17">
        <v>4521461.9999999991</v>
      </c>
      <c r="C233" s="17">
        <v>330381.88</v>
      </c>
    </row>
    <row r="234" spans="1:3" x14ac:dyDescent="0.3">
      <c r="A234" s="30" t="s">
        <v>117</v>
      </c>
      <c r="B234" s="17">
        <v>104662.60999999999</v>
      </c>
      <c r="C234" s="17">
        <v>24074.91</v>
      </c>
    </row>
    <row r="235" spans="1:3" x14ac:dyDescent="0.3">
      <c r="A235" s="30" t="s">
        <v>42</v>
      </c>
      <c r="B235" s="17">
        <v>51471.799999999988</v>
      </c>
      <c r="C235" s="17">
        <v>5188.0000000000009</v>
      </c>
    </row>
    <row r="236" spans="1:3" x14ac:dyDescent="0.3">
      <c r="A236" s="30" t="s">
        <v>134</v>
      </c>
      <c r="B236" s="17">
        <v>173666.54</v>
      </c>
      <c r="C236" s="17">
        <v>26413.299999999996</v>
      </c>
    </row>
    <row r="237" spans="1:3" x14ac:dyDescent="0.3">
      <c r="A237" s="30" t="s">
        <v>22</v>
      </c>
      <c r="B237" s="17">
        <v>3103732.9599999995</v>
      </c>
      <c r="C237" s="17">
        <v>128253.22</v>
      </c>
    </row>
    <row r="238" spans="1:3" x14ac:dyDescent="0.3">
      <c r="A238" s="30" t="s">
        <v>32</v>
      </c>
      <c r="B238" s="17">
        <v>499396.62000000011</v>
      </c>
      <c r="C238" s="17">
        <v>59537.390000000007</v>
      </c>
    </row>
    <row r="239" spans="1:3" x14ac:dyDescent="0.3">
      <c r="A239" s="30" t="s">
        <v>49</v>
      </c>
      <c r="B239" s="17">
        <v>588531.47000000009</v>
      </c>
      <c r="C239" s="17">
        <v>86915.059999999983</v>
      </c>
    </row>
    <row r="240" spans="1:3" x14ac:dyDescent="0.3">
      <c r="A240" s="13" t="s">
        <v>30</v>
      </c>
      <c r="B240" s="17">
        <v>3930181.7099999995</v>
      </c>
      <c r="C240" s="17">
        <v>336343.33999999997</v>
      </c>
    </row>
    <row r="241" spans="1:3" x14ac:dyDescent="0.3">
      <c r="A241" s="30" t="s">
        <v>117</v>
      </c>
      <c r="B241" s="17">
        <v>69206.59</v>
      </c>
      <c r="C241" s="17">
        <v>16855.8</v>
      </c>
    </row>
    <row r="242" spans="1:3" x14ac:dyDescent="0.3">
      <c r="A242" s="30" t="s">
        <v>42</v>
      </c>
      <c r="B242" s="17">
        <v>27982.100000000009</v>
      </c>
      <c r="C242" s="17">
        <v>2356.7300000000005</v>
      </c>
    </row>
    <row r="243" spans="1:3" x14ac:dyDescent="0.3">
      <c r="A243" s="30" t="s">
        <v>134</v>
      </c>
      <c r="B243" s="17">
        <v>204884.91000000003</v>
      </c>
      <c r="C243" s="17">
        <v>34954.689999999988</v>
      </c>
    </row>
    <row r="244" spans="1:3" x14ac:dyDescent="0.3">
      <c r="A244" s="30" t="s">
        <v>22</v>
      </c>
      <c r="B244" s="17">
        <v>2496566.6099999994</v>
      </c>
      <c r="C244" s="17">
        <v>128163.03000000003</v>
      </c>
    </row>
    <row r="245" spans="1:3" x14ac:dyDescent="0.3">
      <c r="A245" s="30" t="s">
        <v>32</v>
      </c>
      <c r="B245" s="17">
        <v>519766.74999999994</v>
      </c>
      <c r="C245" s="17">
        <v>70687.989999999991</v>
      </c>
    </row>
    <row r="246" spans="1:3" x14ac:dyDescent="0.3">
      <c r="A246" s="30" t="s">
        <v>49</v>
      </c>
      <c r="B246" s="17">
        <v>611774.75</v>
      </c>
      <c r="C246" s="17">
        <v>83325.099999999977</v>
      </c>
    </row>
    <row r="247" spans="1:3" x14ac:dyDescent="0.3">
      <c r="A247" s="13" t="s">
        <v>20</v>
      </c>
      <c r="B247" s="17">
        <v>3504132.8499999992</v>
      </c>
      <c r="C247" s="17">
        <v>355533.18000000005</v>
      </c>
    </row>
    <row r="248" spans="1:3" x14ac:dyDescent="0.3">
      <c r="A248" s="30" t="s">
        <v>117</v>
      </c>
      <c r="B248" s="17">
        <v>134963.1</v>
      </c>
      <c r="C248" s="17">
        <v>31084.929999999997</v>
      </c>
    </row>
    <row r="249" spans="1:3" x14ac:dyDescent="0.3">
      <c r="A249" s="30" t="s">
        <v>42</v>
      </c>
      <c r="B249" s="17">
        <v>48371.920000000006</v>
      </c>
      <c r="C249" s="17">
        <v>3724.2699999999986</v>
      </c>
    </row>
    <row r="250" spans="1:3" x14ac:dyDescent="0.3">
      <c r="A250" s="30" t="s">
        <v>134</v>
      </c>
      <c r="B250" s="17">
        <v>205491.86000000004</v>
      </c>
      <c r="C250" s="17">
        <v>34800.010000000009</v>
      </c>
    </row>
    <row r="251" spans="1:3" x14ac:dyDescent="0.3">
      <c r="A251" s="30" t="s">
        <v>22</v>
      </c>
      <c r="B251" s="17">
        <v>2172346.7799999998</v>
      </c>
      <c r="C251" s="17">
        <v>159750.64000000001</v>
      </c>
    </row>
    <row r="252" spans="1:3" x14ac:dyDescent="0.3">
      <c r="A252" s="30" t="s">
        <v>32</v>
      </c>
      <c r="B252" s="17">
        <v>379985.71999999991</v>
      </c>
      <c r="C252" s="17">
        <v>45797.080000000009</v>
      </c>
    </row>
    <row r="253" spans="1:3" x14ac:dyDescent="0.3">
      <c r="A253" s="30" t="s">
        <v>49</v>
      </c>
      <c r="B253" s="17">
        <v>562973.46999999986</v>
      </c>
      <c r="C253" s="17">
        <v>80376.249999999985</v>
      </c>
    </row>
    <row r="254" spans="1:3" x14ac:dyDescent="0.3">
      <c r="A254" s="13" t="s">
        <v>40</v>
      </c>
      <c r="B254" s="17">
        <v>3256957.48</v>
      </c>
      <c r="C254" s="17">
        <v>331276.17000000004</v>
      </c>
    </row>
    <row r="255" spans="1:3" x14ac:dyDescent="0.3">
      <c r="A255" s="30" t="s">
        <v>117</v>
      </c>
      <c r="B255" s="17">
        <v>107132.02</v>
      </c>
      <c r="C255" s="17">
        <v>23235.53</v>
      </c>
    </row>
    <row r="256" spans="1:3" x14ac:dyDescent="0.3">
      <c r="A256" s="30" t="s">
        <v>42</v>
      </c>
      <c r="B256" s="17">
        <v>53343.349999999991</v>
      </c>
      <c r="C256" s="17">
        <v>4571.4900000000007</v>
      </c>
    </row>
    <row r="257" spans="1:3" x14ac:dyDescent="0.3">
      <c r="A257" s="30" t="s">
        <v>134</v>
      </c>
      <c r="B257" s="17">
        <v>180645.71000000002</v>
      </c>
      <c r="C257" s="17">
        <v>30409.43</v>
      </c>
    </row>
    <row r="258" spans="1:3" x14ac:dyDescent="0.3">
      <c r="A258" s="30" t="s">
        <v>22</v>
      </c>
      <c r="B258" s="17">
        <v>1941320.93</v>
      </c>
      <c r="C258" s="17">
        <v>143229.82</v>
      </c>
    </row>
    <row r="259" spans="1:3" x14ac:dyDescent="0.3">
      <c r="A259" s="30" t="s">
        <v>32</v>
      </c>
      <c r="B259" s="17">
        <v>458973.35</v>
      </c>
      <c r="C259" s="17">
        <v>50928.32</v>
      </c>
    </row>
    <row r="260" spans="1:3" x14ac:dyDescent="0.3">
      <c r="A260" s="30" t="s">
        <v>49</v>
      </c>
      <c r="B260" s="17">
        <v>515542.12000000005</v>
      </c>
      <c r="C260" s="17">
        <v>78901.58</v>
      </c>
    </row>
    <row r="261" spans="1:3" x14ac:dyDescent="0.3">
      <c r="A261" s="13" t="s">
        <v>1723</v>
      </c>
      <c r="B261" s="17">
        <v>15212734.039999999</v>
      </c>
      <c r="C261" s="17">
        <v>1353534.5700000003</v>
      </c>
    </row>
    <row r="264" spans="1:3" x14ac:dyDescent="0.3">
      <c r="A264" t="s">
        <v>1787</v>
      </c>
    </row>
    <row r="266" spans="1:3" x14ac:dyDescent="0.3">
      <c r="A266" s="12" t="s">
        <v>1772</v>
      </c>
      <c r="B266" t="s">
        <v>1727</v>
      </c>
    </row>
    <row r="267" spans="1:3" x14ac:dyDescent="0.3">
      <c r="A267" s="33">
        <v>0</v>
      </c>
      <c r="B267" s="17">
        <v>2469.1805042016827</v>
      </c>
    </row>
    <row r="268" spans="1:3" x14ac:dyDescent="0.3">
      <c r="A268" s="33">
        <v>5</v>
      </c>
      <c r="B268" s="17">
        <v>2145.1331132075475</v>
      </c>
    </row>
    <row r="269" spans="1:3" x14ac:dyDescent="0.3">
      <c r="A269" s="33">
        <v>10</v>
      </c>
      <c r="B269" s="17">
        <v>1043.2169696969695</v>
      </c>
    </row>
    <row r="270" spans="1:3" x14ac:dyDescent="0.3">
      <c r="A270" s="33">
        <v>15</v>
      </c>
      <c r="B270" s="17">
        <v>771.5189171974522</v>
      </c>
    </row>
    <row r="271" spans="1:3" x14ac:dyDescent="0.3">
      <c r="A271" s="33">
        <v>20</v>
      </c>
      <c r="B271" s="17">
        <v>351.26022988505736</v>
      </c>
    </row>
    <row r="272" spans="1:3" x14ac:dyDescent="0.3">
      <c r="A272" s="33">
        <v>25</v>
      </c>
      <c r="B272" s="17">
        <v>-445.87539682539688</v>
      </c>
    </row>
    <row r="273" spans="1:3" x14ac:dyDescent="0.3">
      <c r="A273" s="33">
        <v>30</v>
      </c>
      <c r="B273" s="17">
        <v>-423.4117777777775</v>
      </c>
    </row>
    <row r="274" spans="1:3" x14ac:dyDescent="0.3">
      <c r="A274" s="33" t="s">
        <v>1723</v>
      </c>
      <c r="B274" s="17">
        <v>1353.5345700000014</v>
      </c>
    </row>
    <row r="277" spans="1:3" x14ac:dyDescent="0.3">
      <c r="A277" t="s">
        <v>1788</v>
      </c>
    </row>
    <row r="279" spans="1:3" x14ac:dyDescent="0.3">
      <c r="A279" s="12" t="s">
        <v>1724</v>
      </c>
      <c r="B279" s="12" t="s">
        <v>1740</v>
      </c>
    </row>
    <row r="280" spans="1:3" x14ac:dyDescent="0.3">
      <c r="A280" s="12" t="s">
        <v>1772</v>
      </c>
      <c r="B280" t="s">
        <v>25</v>
      </c>
      <c r="C280" t="s">
        <v>1723</v>
      </c>
    </row>
    <row r="281" spans="1:3" x14ac:dyDescent="0.3">
      <c r="A281" s="13" t="s">
        <v>30</v>
      </c>
      <c r="B281" s="17">
        <v>766856.03000000014</v>
      </c>
      <c r="C281" s="17">
        <v>766856.03000000014</v>
      </c>
    </row>
    <row r="282" spans="1:3" x14ac:dyDescent="0.3">
      <c r="A282" s="13" t="s">
        <v>40</v>
      </c>
      <c r="B282" s="17">
        <v>592007.77999999991</v>
      </c>
      <c r="C282" s="17">
        <v>592007.77999999991</v>
      </c>
    </row>
    <row r="283" spans="1:3" x14ac:dyDescent="0.3">
      <c r="A283" s="13" t="s">
        <v>60</v>
      </c>
      <c r="B283" s="17">
        <v>1199989.45</v>
      </c>
      <c r="C283" s="17">
        <v>1199989.45</v>
      </c>
    </row>
    <row r="284" spans="1:3" x14ac:dyDescent="0.3">
      <c r="A284" s="13" t="s">
        <v>20</v>
      </c>
      <c r="B284" s="17">
        <v>915916.26999999979</v>
      </c>
      <c r="C284" s="17">
        <v>915916.26999999979</v>
      </c>
    </row>
    <row r="285" spans="1:3" x14ac:dyDescent="0.3">
      <c r="A285" s="13" t="s">
        <v>1723</v>
      </c>
      <c r="B285" s="17">
        <v>3474769.5299999993</v>
      </c>
      <c r="C285" s="17">
        <v>3474769.5299999993</v>
      </c>
    </row>
    <row r="296" spans="1:2" x14ac:dyDescent="0.3">
      <c r="A296" t="s">
        <v>1789</v>
      </c>
    </row>
    <row r="298" spans="1:2" x14ac:dyDescent="0.3">
      <c r="A298" s="12" t="s">
        <v>1772</v>
      </c>
      <c r="B298" t="s">
        <v>1724</v>
      </c>
    </row>
    <row r="299" spans="1:2" x14ac:dyDescent="0.3">
      <c r="A299" s="13" t="s">
        <v>117</v>
      </c>
      <c r="B299" s="18">
        <v>2.4757817914883851E-2</v>
      </c>
    </row>
    <row r="300" spans="1:2" x14ac:dyDescent="0.3">
      <c r="A300" s="13" t="s">
        <v>42</v>
      </c>
      <c r="B300" s="18">
        <v>1.2419007278925552E-2</v>
      </c>
    </row>
    <row r="301" spans="1:2" x14ac:dyDescent="0.3">
      <c r="A301" s="13" t="s">
        <v>134</v>
      </c>
      <c r="B301" s="18">
        <v>4.7263071989641713E-2</v>
      </c>
    </row>
    <row r="302" spans="1:2" x14ac:dyDescent="0.3">
      <c r="A302" s="13" t="s">
        <v>22</v>
      </c>
      <c r="B302" s="18">
        <v>0.63877387326623436</v>
      </c>
    </row>
    <row r="303" spans="1:2" x14ac:dyDescent="0.3">
      <c r="A303" s="13" t="s">
        <v>32</v>
      </c>
      <c r="B303" s="18">
        <v>0.13349167854253705</v>
      </c>
    </row>
    <row r="304" spans="1:2" x14ac:dyDescent="0.3">
      <c r="A304" s="13" t="s">
        <v>49</v>
      </c>
      <c r="B304" s="18">
        <v>0.14329455100777749</v>
      </c>
    </row>
    <row r="305" spans="1:3" x14ac:dyDescent="0.3">
      <c r="A305" s="13" t="s">
        <v>1723</v>
      </c>
      <c r="B305" s="18">
        <v>1</v>
      </c>
    </row>
    <row r="311" spans="1:3" x14ac:dyDescent="0.3">
      <c r="B311" s="12" t="s">
        <v>1772</v>
      </c>
      <c r="C311" t="s">
        <v>1724</v>
      </c>
    </row>
    <row r="312" spans="1:3" x14ac:dyDescent="0.3">
      <c r="B312" s="13" t="s">
        <v>117</v>
      </c>
      <c r="C312" s="18">
        <v>2.4757817914883851E-2</v>
      </c>
    </row>
    <row r="313" spans="1:3" x14ac:dyDescent="0.3">
      <c r="B313" s="13" t="s">
        <v>42</v>
      </c>
      <c r="C313" s="18">
        <v>1.2419007278925552E-2</v>
      </c>
    </row>
    <row r="314" spans="1:3" x14ac:dyDescent="0.3">
      <c r="B314" s="13" t="s">
        <v>134</v>
      </c>
      <c r="C314" s="18">
        <v>4.7263071989641713E-2</v>
      </c>
    </row>
    <row r="315" spans="1:3" x14ac:dyDescent="0.3">
      <c r="B315" s="13" t="s">
        <v>22</v>
      </c>
      <c r="C315" s="18">
        <v>0.63877387326623436</v>
      </c>
    </row>
    <row r="316" spans="1:3" x14ac:dyDescent="0.3">
      <c r="B316" s="13" t="s">
        <v>32</v>
      </c>
      <c r="C316" s="18">
        <v>0.13349167854253705</v>
      </c>
    </row>
    <row r="317" spans="1:3" x14ac:dyDescent="0.3">
      <c r="B317" s="13" t="s">
        <v>49</v>
      </c>
      <c r="C317" s="18">
        <v>0.14329455100777749</v>
      </c>
    </row>
    <row r="318" spans="1:3" x14ac:dyDescent="0.3">
      <c r="B318" s="13" t="s">
        <v>1723</v>
      </c>
      <c r="C318" s="18">
        <v>1</v>
      </c>
    </row>
    <row r="346" spans="2:3" x14ac:dyDescent="0.3">
      <c r="B346" s="13" t="s">
        <v>117</v>
      </c>
      <c r="C346" s="17">
        <v>355</v>
      </c>
    </row>
    <row r="347" spans="2:3" x14ac:dyDescent="0.3">
      <c r="B347" s="13" t="s">
        <v>42</v>
      </c>
      <c r="C347" s="17">
        <v>327</v>
      </c>
    </row>
    <row r="348" spans="2:3" x14ac:dyDescent="0.3">
      <c r="B348" s="13" t="s">
        <v>134</v>
      </c>
      <c r="C348" s="17">
        <v>346</v>
      </c>
    </row>
    <row r="349" spans="2:3" x14ac:dyDescent="0.3">
      <c r="B349" s="13" t="s">
        <v>22</v>
      </c>
      <c r="C349" s="17">
        <v>333</v>
      </c>
    </row>
    <row r="350" spans="2:3" x14ac:dyDescent="0.3">
      <c r="B350" s="13" t="s">
        <v>32</v>
      </c>
      <c r="C350" s="17">
        <v>331</v>
      </c>
    </row>
    <row r="351" spans="2:3" x14ac:dyDescent="0.3">
      <c r="B351" s="13" t="s">
        <v>49</v>
      </c>
      <c r="C351" s="17">
        <v>336</v>
      </c>
    </row>
    <row r="372" spans="1:4" x14ac:dyDescent="0.3">
      <c r="A372" s="23" t="s">
        <v>1772</v>
      </c>
      <c r="B372" s="23" t="s">
        <v>1730</v>
      </c>
    </row>
    <row r="373" spans="1:4" x14ac:dyDescent="0.3">
      <c r="A373" s="13" t="s">
        <v>117</v>
      </c>
      <c r="B373">
        <v>49</v>
      </c>
    </row>
    <row r="374" spans="1:4" x14ac:dyDescent="0.3">
      <c r="A374" s="13" t="s">
        <v>42</v>
      </c>
      <c r="B374">
        <v>55</v>
      </c>
    </row>
    <row r="375" spans="1:4" x14ac:dyDescent="0.3">
      <c r="A375" s="13" t="s">
        <v>134</v>
      </c>
      <c r="B375">
        <v>42</v>
      </c>
    </row>
    <row r="376" spans="1:4" x14ac:dyDescent="0.3">
      <c r="A376" s="13" t="s">
        <v>22</v>
      </c>
      <c r="B376">
        <v>57</v>
      </c>
    </row>
    <row r="377" spans="1:4" x14ac:dyDescent="0.3">
      <c r="A377" s="13" t="s">
        <v>32</v>
      </c>
      <c r="B377">
        <v>48</v>
      </c>
    </row>
    <row r="378" spans="1:4" x14ac:dyDescent="0.3">
      <c r="A378" s="13" t="s">
        <v>49</v>
      </c>
      <c r="B378">
        <v>51</v>
      </c>
    </row>
    <row r="379" spans="1:4" x14ac:dyDescent="0.3">
      <c r="A379" s="22" t="s">
        <v>1723</v>
      </c>
      <c r="B379" s="24">
        <v>302</v>
      </c>
    </row>
    <row r="382" spans="1:4" x14ac:dyDescent="0.3">
      <c r="A382" s="20" t="s">
        <v>1744</v>
      </c>
      <c r="B382" s="18">
        <v>1</v>
      </c>
      <c r="C382" s="18"/>
      <c r="D382" s="18"/>
    </row>
    <row r="383" spans="1:4" x14ac:dyDescent="0.3">
      <c r="A383" s="20" t="s">
        <v>1745</v>
      </c>
      <c r="B383" s="18">
        <v>0.38438938544128987</v>
      </c>
      <c r="C383" s="18"/>
      <c r="D383" s="18"/>
    </row>
    <row r="384" spans="1:4" x14ac:dyDescent="0.3">
      <c r="A384" s="20" t="s">
        <v>1746</v>
      </c>
      <c r="B384" s="18">
        <v>1.9912344454260025</v>
      </c>
      <c r="C384" s="18"/>
      <c r="D384" s="18"/>
    </row>
    <row r="385" spans="1:6" x14ac:dyDescent="0.3">
      <c r="A385" s="20" t="s">
        <v>1748</v>
      </c>
      <c r="B385" s="18">
        <v>0.71518662489257323</v>
      </c>
      <c r="C385" s="18"/>
      <c r="D385" s="18"/>
    </row>
    <row r="386" spans="1:6" x14ac:dyDescent="0.3">
      <c r="A386" s="20" t="s">
        <v>1749</v>
      </c>
      <c r="B386" s="18">
        <v>1.0539429802451357</v>
      </c>
      <c r="C386" s="18"/>
      <c r="D386" s="18"/>
    </row>
    <row r="387" spans="1:6" x14ac:dyDescent="0.3">
      <c r="A387" s="20" t="s">
        <v>1750</v>
      </c>
      <c r="B387" s="18">
        <v>0.57435005373907388</v>
      </c>
      <c r="C387" s="18"/>
      <c r="D387" s="18"/>
    </row>
    <row r="388" spans="1:6" x14ac:dyDescent="0.3">
      <c r="A388" s="20" t="s">
        <v>1752</v>
      </c>
      <c r="B388" s="18">
        <v>1.5042287458132053</v>
      </c>
      <c r="C388" s="18"/>
      <c r="D388" s="18"/>
    </row>
    <row r="389" spans="1:6" x14ac:dyDescent="0.3">
      <c r="A389" s="20" t="s">
        <v>1753</v>
      </c>
      <c r="B389" s="18">
        <v>0.8967724932213158</v>
      </c>
      <c r="C389" s="18"/>
      <c r="D389" s="18"/>
    </row>
    <row r="390" spans="1:6" x14ac:dyDescent="0.3">
      <c r="A390" s="20" t="s">
        <v>1754</v>
      </c>
      <c r="B390" s="18">
        <v>0.75552316034433897</v>
      </c>
      <c r="C390" s="18"/>
      <c r="D390" s="18"/>
    </row>
    <row r="391" spans="1:6" x14ac:dyDescent="0.3">
      <c r="A391" s="20" t="s">
        <v>1756</v>
      </c>
      <c r="B391" s="18">
        <v>4.1744192588412457</v>
      </c>
      <c r="C391" s="18"/>
      <c r="D391" s="18"/>
    </row>
    <row r="392" spans="1:6" x14ac:dyDescent="0.3">
      <c r="A392" s="20" t="s">
        <v>1757</v>
      </c>
      <c r="B392" s="18">
        <v>0.52090202099656824</v>
      </c>
      <c r="C392" s="18"/>
      <c r="D392" s="18"/>
    </row>
    <row r="393" spans="1:6" x14ac:dyDescent="0.3">
      <c r="A393" s="20" t="s">
        <v>1758</v>
      </c>
      <c r="B393" s="18">
        <v>0.78650828414971863</v>
      </c>
      <c r="C393" s="18"/>
      <c r="D393" s="18"/>
    </row>
    <row r="400" spans="1:6" x14ac:dyDescent="0.3">
      <c r="E400" t="s">
        <v>1790</v>
      </c>
      <c r="F400" t="s">
        <v>1791</v>
      </c>
    </row>
    <row r="401" spans="1:6" x14ac:dyDescent="0.3">
      <c r="A401" s="23" t="s">
        <v>1772</v>
      </c>
      <c r="B401" s="23" t="s">
        <v>1730</v>
      </c>
      <c r="E401" t="s">
        <v>1792</v>
      </c>
      <c r="F401">
        <v>488</v>
      </c>
    </row>
    <row r="402" spans="1:6" x14ac:dyDescent="0.3">
      <c r="A402" s="13" t="s">
        <v>117</v>
      </c>
      <c r="B402">
        <v>49</v>
      </c>
      <c r="E402" t="s">
        <v>1793</v>
      </c>
      <c r="F402">
        <v>297</v>
      </c>
    </row>
    <row r="403" spans="1:6" x14ac:dyDescent="0.3">
      <c r="A403" s="13" t="s">
        <v>42</v>
      </c>
      <c r="B403">
        <v>55</v>
      </c>
      <c r="E403" t="s">
        <v>1794</v>
      </c>
      <c r="F403">
        <v>138</v>
      </c>
    </row>
    <row r="404" spans="1:6" x14ac:dyDescent="0.3">
      <c r="A404" s="13" t="s">
        <v>134</v>
      </c>
      <c r="B404">
        <v>42</v>
      </c>
      <c r="E404" t="s">
        <v>1795</v>
      </c>
      <c r="F404">
        <v>54</v>
      </c>
    </row>
    <row r="405" spans="1:6" x14ac:dyDescent="0.3">
      <c r="A405" s="13" t="s">
        <v>22</v>
      </c>
      <c r="B405">
        <v>57</v>
      </c>
      <c r="E405" t="s">
        <v>1796</v>
      </c>
      <c r="F405">
        <v>17</v>
      </c>
    </row>
    <row r="406" spans="1:6" x14ac:dyDescent="0.3">
      <c r="A406" s="13" t="s">
        <v>32</v>
      </c>
      <c r="B406">
        <v>48</v>
      </c>
    </row>
    <row r="407" spans="1:6" x14ac:dyDescent="0.3">
      <c r="A407" s="13" t="s">
        <v>49</v>
      </c>
      <c r="B407">
        <v>51</v>
      </c>
    </row>
    <row r="408" spans="1:6" x14ac:dyDescent="0.3">
      <c r="A408" s="22" t="s">
        <v>1723</v>
      </c>
      <c r="B408" s="24">
        <v>302</v>
      </c>
    </row>
    <row r="413" spans="1:6" x14ac:dyDescent="0.3">
      <c r="A413" s="12" t="s">
        <v>1772</v>
      </c>
      <c r="B413" t="s">
        <v>1726</v>
      </c>
    </row>
    <row r="414" spans="1:6" x14ac:dyDescent="0.3">
      <c r="A414" s="13" t="s">
        <v>30</v>
      </c>
      <c r="B414" s="42">
        <v>145398.37</v>
      </c>
    </row>
    <row r="415" spans="1:6" x14ac:dyDescent="0.3">
      <c r="A415" s="13" t="s">
        <v>40</v>
      </c>
      <c r="B415" s="42">
        <v>106424.98000000007</v>
      </c>
    </row>
    <row r="416" spans="1:6" x14ac:dyDescent="0.3">
      <c r="A416" s="13" t="s">
        <v>60</v>
      </c>
      <c r="B416" s="42">
        <v>176685.87999999986</v>
      </c>
    </row>
    <row r="417" spans="1:8" x14ac:dyDescent="0.3">
      <c r="A417" s="13" t="s">
        <v>20</v>
      </c>
      <c r="B417" s="42">
        <v>186938.59000000005</v>
      </c>
    </row>
    <row r="418" spans="1:8" x14ac:dyDescent="0.3">
      <c r="A418" s="13" t="s">
        <v>1723</v>
      </c>
      <c r="B418" s="42">
        <v>615447.81999999995</v>
      </c>
      <c r="G418" s="23" t="s">
        <v>1725</v>
      </c>
      <c r="H418" s="23" t="s">
        <v>1724</v>
      </c>
    </row>
    <row r="419" spans="1:8" x14ac:dyDescent="0.3">
      <c r="G419" s="13" t="s">
        <v>21</v>
      </c>
      <c r="H419" s="15">
        <v>1272192.7500000002</v>
      </c>
    </row>
    <row r="420" spans="1:8" x14ac:dyDescent="0.3">
      <c r="G420" s="13" t="s">
        <v>61</v>
      </c>
      <c r="H420" s="15">
        <v>836050.27000000014</v>
      </c>
    </row>
    <row r="421" spans="1:8" x14ac:dyDescent="0.3">
      <c r="G421" s="13" t="s">
        <v>226</v>
      </c>
      <c r="H421" s="15">
        <v>883558.9800000001</v>
      </c>
    </row>
    <row r="422" spans="1:8" x14ac:dyDescent="0.3">
      <c r="G422" s="13" t="s">
        <v>72</v>
      </c>
      <c r="H422" s="15">
        <v>1148138.8400000001</v>
      </c>
    </row>
    <row r="423" spans="1:8" x14ac:dyDescent="0.3">
      <c r="G423" s="13" t="s">
        <v>90</v>
      </c>
      <c r="H423" s="15">
        <v>630523.46999999986</v>
      </c>
    </row>
    <row r="424" spans="1:8" x14ac:dyDescent="0.3">
      <c r="G424" s="13" t="s">
        <v>41</v>
      </c>
      <c r="H424" s="15">
        <v>1022661.61</v>
      </c>
    </row>
    <row r="425" spans="1:8" x14ac:dyDescent="0.3">
      <c r="G425" s="13" t="s">
        <v>48</v>
      </c>
      <c r="H425" s="15">
        <v>2120903.1100000003</v>
      </c>
    </row>
    <row r="426" spans="1:8" x14ac:dyDescent="0.3">
      <c r="G426" s="13" t="s">
        <v>129</v>
      </c>
      <c r="H426" s="15">
        <v>975764.40000000014</v>
      </c>
    </row>
    <row r="427" spans="1:8" x14ac:dyDescent="0.3">
      <c r="G427" s="13" t="s">
        <v>68</v>
      </c>
      <c r="H427" s="15">
        <v>1340881.7400000002</v>
      </c>
    </row>
    <row r="428" spans="1:8" x14ac:dyDescent="0.3">
      <c r="G428" s="13" t="s">
        <v>31</v>
      </c>
      <c r="H428" s="15">
        <v>925719.62</v>
      </c>
    </row>
    <row r="429" spans="1:8" x14ac:dyDescent="0.3">
      <c r="G429" s="13" t="s">
        <v>109</v>
      </c>
      <c r="H429" s="15">
        <v>893835.57999999984</v>
      </c>
    </row>
    <row r="430" spans="1:8" x14ac:dyDescent="0.3">
      <c r="G430" s="13" t="s">
        <v>77</v>
      </c>
      <c r="H430" s="15">
        <v>709936.82</v>
      </c>
    </row>
    <row r="431" spans="1:8" x14ac:dyDescent="0.3">
      <c r="G431" s="13" t="s">
        <v>104</v>
      </c>
      <c r="H431" s="15">
        <v>1196391.1500000001</v>
      </c>
    </row>
    <row r="432" spans="1:8" x14ac:dyDescent="0.3">
      <c r="G432" s="13" t="s">
        <v>54</v>
      </c>
      <c r="H432" s="15">
        <v>1256175.6999999993</v>
      </c>
    </row>
    <row r="440" spans="7:8" x14ac:dyDescent="0.3">
      <c r="G440" s="13" t="s">
        <v>21</v>
      </c>
      <c r="H440" s="15">
        <v>1272192.7500000002</v>
      </c>
    </row>
    <row r="441" spans="7:8" x14ac:dyDescent="0.3">
      <c r="G441" s="13" t="s">
        <v>61</v>
      </c>
      <c r="H441" s="15">
        <v>836050.27000000014</v>
      </c>
    </row>
    <row r="442" spans="7:8" x14ac:dyDescent="0.3">
      <c r="G442" s="13" t="s">
        <v>226</v>
      </c>
      <c r="H442" s="15">
        <v>883558.9800000001</v>
      </c>
    </row>
    <row r="443" spans="7:8" x14ac:dyDescent="0.3">
      <c r="G443" s="13" t="s">
        <v>72</v>
      </c>
      <c r="H443" s="15">
        <v>1148138.8400000001</v>
      </c>
    </row>
    <row r="444" spans="7:8" x14ac:dyDescent="0.3">
      <c r="G444" s="13" t="s">
        <v>90</v>
      </c>
      <c r="H444" s="15">
        <v>630523.46999999986</v>
      </c>
    </row>
    <row r="445" spans="7:8" x14ac:dyDescent="0.3">
      <c r="G445" s="13" t="s">
        <v>41</v>
      </c>
      <c r="H445" s="15">
        <v>1022661.61</v>
      </c>
    </row>
    <row r="446" spans="7:8" x14ac:dyDescent="0.3">
      <c r="G446" s="13" t="s">
        <v>48</v>
      </c>
      <c r="H446" s="15">
        <v>2120903.1100000003</v>
      </c>
    </row>
    <row r="447" spans="7:8" x14ac:dyDescent="0.3">
      <c r="G447" s="13" t="s">
        <v>129</v>
      </c>
      <c r="H447" s="15">
        <v>975764.40000000014</v>
      </c>
    </row>
    <row r="448" spans="7:8" x14ac:dyDescent="0.3">
      <c r="G448" s="13" t="s">
        <v>68</v>
      </c>
      <c r="H448" s="15">
        <v>1340881.7400000002</v>
      </c>
    </row>
    <row r="449" spans="1:8" x14ac:dyDescent="0.3">
      <c r="G449" s="13" t="s">
        <v>31</v>
      </c>
      <c r="H449" s="15">
        <v>925719.62</v>
      </c>
    </row>
    <row r="450" spans="1:8" x14ac:dyDescent="0.3">
      <c r="G450" s="13" t="s">
        <v>109</v>
      </c>
      <c r="H450" s="15">
        <v>893835.57999999984</v>
      </c>
    </row>
    <row r="451" spans="1:8" x14ac:dyDescent="0.3">
      <c r="G451" s="13" t="s">
        <v>77</v>
      </c>
      <c r="H451" s="15">
        <v>709936.82</v>
      </c>
    </row>
    <row r="452" spans="1:8" x14ac:dyDescent="0.3">
      <c r="G452" s="13" t="s">
        <v>104</v>
      </c>
      <c r="H452" s="15">
        <v>1196391.1500000001</v>
      </c>
    </row>
    <row r="453" spans="1:8" x14ac:dyDescent="0.3">
      <c r="G453" s="13" t="s">
        <v>54</v>
      </c>
      <c r="H453" s="15">
        <v>1256175.6999999993</v>
      </c>
    </row>
    <row r="462" spans="1:8" x14ac:dyDescent="0.3">
      <c r="A462" s="12" t="s">
        <v>1772</v>
      </c>
      <c r="B462" t="s">
        <v>1724</v>
      </c>
      <c r="C462" t="s">
        <v>1727</v>
      </c>
    </row>
    <row r="463" spans="1:8" x14ac:dyDescent="0.3">
      <c r="A463" s="13" t="s">
        <v>20</v>
      </c>
      <c r="B463" s="15">
        <v>3504132.85</v>
      </c>
      <c r="C463" s="15">
        <v>1422.1327199999998</v>
      </c>
    </row>
    <row r="464" spans="1:8" x14ac:dyDescent="0.3">
      <c r="A464" s="13" t="s">
        <v>1723</v>
      </c>
      <c r="B464" s="15">
        <v>3504132.85</v>
      </c>
      <c r="C464" s="15">
        <v>1422.1327199999998</v>
      </c>
    </row>
    <row r="531" spans="1:3" x14ac:dyDescent="0.3">
      <c r="A531" s="12" t="s">
        <v>1772</v>
      </c>
      <c r="B531" t="s">
        <v>1726</v>
      </c>
      <c r="C531" t="s">
        <v>1726</v>
      </c>
    </row>
    <row r="532" spans="1:3" x14ac:dyDescent="0.3">
      <c r="A532" s="13" t="s">
        <v>30</v>
      </c>
      <c r="B532" s="42">
        <v>145398.37</v>
      </c>
      <c r="C532" s="42">
        <v>615447.81999999937</v>
      </c>
    </row>
    <row r="533" spans="1:3" x14ac:dyDescent="0.3">
      <c r="A533" s="13" t="s">
        <v>40</v>
      </c>
      <c r="B533" s="42">
        <v>106424.98000000007</v>
      </c>
    </row>
    <row r="534" spans="1:3" x14ac:dyDescent="0.3">
      <c r="A534" s="13" t="s">
        <v>60</v>
      </c>
      <c r="B534" s="42">
        <v>176685.87999999986</v>
      </c>
    </row>
    <row r="535" spans="1:3" x14ac:dyDescent="0.3">
      <c r="A535" s="13" t="s">
        <v>20</v>
      </c>
      <c r="B535" s="42">
        <v>186938.59000000005</v>
      </c>
    </row>
    <row r="536" spans="1:3" x14ac:dyDescent="0.3">
      <c r="A536" s="13" t="s">
        <v>1723</v>
      </c>
      <c r="B536" s="42">
        <v>615447.81999999995</v>
      </c>
    </row>
  </sheetData>
  <conditionalFormatting pivot="1" sqref="B4:B7">
    <cfRule type="colorScale" priority="22">
      <colorScale>
        <cfvo type="min"/>
        <cfvo type="percentile" val="50"/>
        <cfvo type="max"/>
        <color rgb="FFF8696B"/>
        <color rgb="FFFFEB84"/>
        <color rgb="FF63BE7B"/>
      </colorScale>
    </cfRule>
  </conditionalFormatting>
  <conditionalFormatting pivot="1" sqref="B71:C81">
    <cfRule type="colorScale" priority="19">
      <colorScale>
        <cfvo type="min"/>
        <cfvo type="percentile" val="50"/>
        <cfvo type="max"/>
        <color rgb="FFF8696B"/>
        <color rgb="FFFFEB84"/>
        <color rgb="FF63BE7B"/>
      </colorScale>
    </cfRule>
  </conditionalFormatting>
  <conditionalFormatting pivot="1" sqref="B95:B106">
    <cfRule type="colorScale" priority="17">
      <colorScale>
        <cfvo type="min"/>
        <cfvo type="percentile" val="50"/>
        <cfvo type="max"/>
        <color rgb="FFF8696B"/>
        <color rgb="FFFFEB84"/>
        <color rgb="FF63BE7B"/>
      </colorScale>
    </cfRule>
  </conditionalFormatting>
  <conditionalFormatting pivot="1" sqref="E145:E150">
    <cfRule type="colorScale" priority="14">
      <colorScale>
        <cfvo type="min"/>
        <cfvo type="percentile" val="50"/>
        <cfvo type="max"/>
        <color rgb="FFF8696B"/>
        <color rgb="FFFFEB84"/>
        <color rgb="FF63BE7B"/>
      </colorScale>
    </cfRule>
  </conditionalFormatting>
  <conditionalFormatting sqref="D157:D162">
    <cfRule type="colorScale" priority="12">
      <colorScale>
        <cfvo type="min"/>
        <cfvo type="percentile" val="50"/>
        <cfvo type="max"/>
        <color rgb="FF63BE7B"/>
        <color rgb="FFFFEB84"/>
        <color rgb="FFF8696B"/>
      </colorScale>
    </cfRule>
  </conditionalFormatting>
  <conditionalFormatting pivot="1" sqref="B223:B226">
    <cfRule type="colorScale" priority="11">
      <colorScale>
        <cfvo type="min"/>
        <cfvo type="percentile" val="50"/>
        <cfvo type="max"/>
        <color rgb="FF63BE7B"/>
        <color rgb="FFFFEB84"/>
        <color rgb="FFF8696B"/>
      </colorScale>
    </cfRule>
  </conditionalFormatting>
  <conditionalFormatting pivot="1" sqref="C223:C226">
    <cfRule type="colorScale" priority="10">
      <colorScale>
        <cfvo type="min"/>
        <cfvo type="percentile" val="50"/>
        <cfvo type="max"/>
        <color rgb="FF63BE7B"/>
        <color rgb="FFFFEB84"/>
        <color rgb="FFF8696B"/>
      </colorScale>
    </cfRule>
  </conditionalFormatting>
  <conditionalFormatting pivot="1" sqref="B233 B240 B247 B254">
    <cfRule type="colorScale" priority="9">
      <colorScale>
        <cfvo type="min"/>
        <cfvo type="percentile" val="50"/>
        <cfvo type="max"/>
        <color rgb="FF63BE7B"/>
        <color rgb="FFFFEB84"/>
        <color rgb="FFF8696B"/>
      </colorScale>
    </cfRule>
  </conditionalFormatting>
  <conditionalFormatting pivot="1" sqref="C233 C240 C247 C254">
    <cfRule type="colorScale" priority="8">
      <colorScale>
        <cfvo type="min"/>
        <cfvo type="percentile" val="50"/>
        <cfvo type="max"/>
        <color rgb="FF63BE7B"/>
        <color rgb="FFFFEB84"/>
        <color rgb="FFF8696B"/>
      </colorScale>
    </cfRule>
  </conditionalFormatting>
  <conditionalFormatting pivot="1" sqref="B299:B304">
    <cfRule type="colorScale" priority="5">
      <colorScale>
        <cfvo type="min"/>
        <cfvo type="percentile" val="50"/>
        <cfvo type="max"/>
        <color rgb="FF63BE7B"/>
        <color rgb="FFFFEB84"/>
        <color rgb="FFF8696B"/>
      </colorScale>
    </cfRule>
  </conditionalFormatting>
  <conditionalFormatting pivot="1" sqref="C312:C317">
    <cfRule type="colorScale" priority="4">
      <colorScale>
        <cfvo type="min"/>
        <cfvo type="percentile" val="50"/>
        <cfvo type="max"/>
        <color rgb="FF63BE7B"/>
        <color rgb="FFFFEB84"/>
        <color rgb="FFF8696B"/>
      </colorScale>
    </cfRule>
  </conditionalFormatting>
  <pageMargins left="0.7" right="0.7" top="0.75" bottom="0.75" header="0.3" footer="0.3"/>
  <pageSetup orientation="portrait" r:id="rId41"/>
  <drawing r:id="rId42"/>
  <extLst>
    <ext xmlns:x14="http://schemas.microsoft.com/office/spreadsheetml/2009/9/main" uri="{A8765BA9-456A-4dab-B4F3-ACF838C121DE}">
      <x14:slicerList>
        <x14:slicer r:id="rId43"/>
      </x14:slicerList>
    </ext>
    <ext xmlns:x15="http://schemas.microsoft.com/office/spreadsheetml/2010/11/main" uri="{7E03D99C-DC04-49d9-9315-930204A7B6E9}">
      <x15:timelineRefs>
        <x15:timelineRef r:id="rId4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1001"/>
  <sheetViews>
    <sheetView workbookViewId="0">
      <selection activeCell="N11" sqref="N11"/>
    </sheetView>
  </sheetViews>
  <sheetFormatPr defaultRowHeight="14.4" x14ac:dyDescent="0.3"/>
  <cols>
    <col min="1" max="1" width="12" customWidth="1"/>
    <col min="2" max="2" width="13" customWidth="1"/>
    <col min="3" max="3" width="18" customWidth="1"/>
    <col min="4" max="4" width="16" customWidth="1"/>
    <col min="5" max="5" width="10" customWidth="1"/>
    <col min="6" max="6" width="16" customWidth="1"/>
    <col min="7" max="7" width="20" customWidth="1"/>
    <col min="8" max="8" width="16" customWidth="1"/>
    <col min="9" max="9" width="22" customWidth="1"/>
    <col min="10" max="10" width="10" customWidth="1"/>
    <col min="11" max="13" width="12" customWidth="1"/>
    <col min="14" max="14" width="12" style="29" customWidth="1"/>
    <col min="15" max="15" width="14" customWidth="1"/>
    <col min="16" max="16" width="16" customWidth="1"/>
    <col min="17" max="17" width="14" customWidth="1"/>
    <col min="18" max="18" width="10.6640625" bestFit="1" customWidth="1"/>
  </cols>
  <sheetData>
    <row r="1" spans="1:18" x14ac:dyDescent="0.3">
      <c r="A1" s="11" t="s">
        <v>0</v>
      </c>
      <c r="B1" s="11" t="s">
        <v>1</v>
      </c>
      <c r="C1" s="11" t="s">
        <v>2</v>
      </c>
      <c r="D1" s="11" t="s">
        <v>3</v>
      </c>
      <c r="E1" s="11" t="s">
        <v>4</v>
      </c>
      <c r="F1" s="11" t="s">
        <v>5</v>
      </c>
      <c r="G1" s="11" t="s">
        <v>6</v>
      </c>
      <c r="H1" s="11" t="s">
        <v>7</v>
      </c>
      <c r="I1" s="11" t="s">
        <v>8</v>
      </c>
      <c r="J1" s="11" t="s">
        <v>9</v>
      </c>
      <c r="K1" s="11" t="s">
        <v>10</v>
      </c>
      <c r="L1" s="11" t="s">
        <v>11</v>
      </c>
      <c r="M1" s="11" t="s">
        <v>12</v>
      </c>
      <c r="N1" s="47" t="s">
        <v>13</v>
      </c>
      <c r="O1" s="11" t="s">
        <v>14</v>
      </c>
      <c r="P1" s="11" t="s">
        <v>15</v>
      </c>
      <c r="Q1" s="11" t="s">
        <v>16</v>
      </c>
      <c r="R1" s="27" t="s">
        <v>1770</v>
      </c>
    </row>
    <row r="2" spans="1:18" x14ac:dyDescent="0.3">
      <c r="A2" s="3" t="s">
        <v>17</v>
      </c>
      <c r="B2" s="4">
        <v>45292</v>
      </c>
      <c r="C2" s="3" t="s">
        <v>18</v>
      </c>
      <c r="D2" s="3" t="s">
        <v>19</v>
      </c>
      <c r="E2" s="3" t="s">
        <v>20</v>
      </c>
      <c r="F2" s="3" t="s">
        <v>21</v>
      </c>
      <c r="G2" s="3" t="s">
        <v>22</v>
      </c>
      <c r="H2" s="3" t="s">
        <v>23</v>
      </c>
      <c r="I2" s="3" t="s">
        <v>24</v>
      </c>
      <c r="J2" s="3">
        <v>2</v>
      </c>
      <c r="K2" s="5">
        <v>40157.56</v>
      </c>
      <c r="L2" s="5">
        <v>80315.12</v>
      </c>
      <c r="M2" s="6">
        <v>0</v>
      </c>
      <c r="N2" s="48">
        <v>10595.94</v>
      </c>
      <c r="O2" s="5">
        <v>94.4</v>
      </c>
      <c r="P2" s="3" t="s">
        <v>25</v>
      </c>
      <c r="Q2" s="3" t="s">
        <v>26</v>
      </c>
      <c r="R2" s="28">
        <f>N2/L2</f>
        <v>0.13192957938679542</v>
      </c>
    </row>
    <row r="3" spans="1:18" x14ac:dyDescent="0.3">
      <c r="A3" s="7" t="s">
        <v>27</v>
      </c>
      <c r="B3" s="8">
        <v>45292</v>
      </c>
      <c r="C3" s="7" t="s">
        <v>28</v>
      </c>
      <c r="D3" s="7" t="s">
        <v>29</v>
      </c>
      <c r="E3" s="7" t="s">
        <v>30</v>
      </c>
      <c r="F3" s="7" t="s">
        <v>31</v>
      </c>
      <c r="G3" s="7" t="s">
        <v>32</v>
      </c>
      <c r="H3" s="7" t="s">
        <v>33</v>
      </c>
      <c r="I3" s="7" t="s">
        <v>34</v>
      </c>
      <c r="J3" s="7">
        <v>1</v>
      </c>
      <c r="K3" s="9">
        <v>8300.06</v>
      </c>
      <c r="L3" s="9">
        <v>7055.05</v>
      </c>
      <c r="M3" s="10">
        <v>15</v>
      </c>
      <c r="N3" s="49">
        <v>905.99</v>
      </c>
      <c r="O3" s="9">
        <v>106</v>
      </c>
      <c r="P3" s="7" t="s">
        <v>35</v>
      </c>
      <c r="Q3" s="7" t="s">
        <v>36</v>
      </c>
      <c r="R3" s="28">
        <f t="shared" ref="R3:R66" si="0">N3/L3</f>
        <v>0.12841723304583241</v>
      </c>
    </row>
    <row r="4" spans="1:18" x14ac:dyDescent="0.3">
      <c r="A4" s="3" t="s">
        <v>37</v>
      </c>
      <c r="B4" s="4">
        <v>45292</v>
      </c>
      <c r="C4" s="3" t="s">
        <v>38</v>
      </c>
      <c r="D4" s="3" t="s">
        <v>39</v>
      </c>
      <c r="E4" s="3" t="s">
        <v>40</v>
      </c>
      <c r="F4" s="3" t="s">
        <v>41</v>
      </c>
      <c r="G4" s="3" t="s">
        <v>42</v>
      </c>
      <c r="H4" s="3" t="s">
        <v>43</v>
      </c>
      <c r="I4" s="3" t="s">
        <v>44</v>
      </c>
      <c r="J4" s="3">
        <v>1</v>
      </c>
      <c r="K4" s="5">
        <v>1151.75</v>
      </c>
      <c r="L4" s="5">
        <v>1036.58</v>
      </c>
      <c r="M4" s="6">
        <v>10</v>
      </c>
      <c r="N4" s="48">
        <v>22.36</v>
      </c>
      <c r="O4" s="5">
        <v>244.94</v>
      </c>
      <c r="P4" s="3" t="s">
        <v>45</v>
      </c>
      <c r="Q4" s="3" t="s">
        <v>26</v>
      </c>
      <c r="R4" s="28">
        <f t="shared" si="0"/>
        <v>2.1570935190723343E-2</v>
      </c>
    </row>
    <row r="5" spans="1:18" x14ac:dyDescent="0.3">
      <c r="A5" s="7" t="s">
        <v>46</v>
      </c>
      <c r="B5" s="8">
        <v>45292</v>
      </c>
      <c r="C5" s="7" t="s">
        <v>47</v>
      </c>
      <c r="D5" s="7" t="s">
        <v>39</v>
      </c>
      <c r="E5" s="7" t="s">
        <v>30</v>
      </c>
      <c r="F5" s="7" t="s">
        <v>48</v>
      </c>
      <c r="G5" s="7" t="s">
        <v>49</v>
      </c>
      <c r="H5" s="7" t="s">
        <v>50</v>
      </c>
      <c r="I5" s="7" t="s">
        <v>51</v>
      </c>
      <c r="J5" s="7">
        <v>1</v>
      </c>
      <c r="K5" s="9">
        <v>13093.98</v>
      </c>
      <c r="L5" s="9">
        <v>12439.28</v>
      </c>
      <c r="M5" s="10">
        <v>5</v>
      </c>
      <c r="N5" s="49">
        <v>1806.56</v>
      </c>
      <c r="O5" s="9">
        <v>196.03</v>
      </c>
      <c r="P5" s="7" t="s">
        <v>35</v>
      </c>
      <c r="Q5" s="7" t="s">
        <v>26</v>
      </c>
      <c r="R5" s="28">
        <f t="shared" si="0"/>
        <v>0.14523027056228333</v>
      </c>
    </row>
    <row r="6" spans="1:18" x14ac:dyDescent="0.3">
      <c r="A6" s="3" t="s">
        <v>52</v>
      </c>
      <c r="B6" s="4">
        <v>45292</v>
      </c>
      <c r="C6" s="3" t="s">
        <v>53</v>
      </c>
      <c r="D6" s="3" t="s">
        <v>29</v>
      </c>
      <c r="E6" s="3" t="s">
        <v>20</v>
      </c>
      <c r="F6" s="3" t="s">
        <v>54</v>
      </c>
      <c r="G6" s="3" t="s">
        <v>22</v>
      </c>
      <c r="H6" s="3" t="s">
        <v>55</v>
      </c>
      <c r="I6" s="3" t="s">
        <v>56</v>
      </c>
      <c r="J6" s="3">
        <v>3</v>
      </c>
      <c r="K6" s="5">
        <v>8985.5499999999993</v>
      </c>
      <c r="L6" s="5">
        <v>26956.65</v>
      </c>
      <c r="M6" s="6">
        <v>0</v>
      </c>
      <c r="N6" s="48">
        <v>4037.48</v>
      </c>
      <c r="O6" s="5">
        <v>100.04</v>
      </c>
      <c r="P6" s="3" t="s">
        <v>25</v>
      </c>
      <c r="Q6" s="3" t="s">
        <v>57</v>
      </c>
      <c r="R6" s="28">
        <f t="shared" si="0"/>
        <v>0.14977677122342722</v>
      </c>
    </row>
    <row r="7" spans="1:18" x14ac:dyDescent="0.3">
      <c r="A7" s="7" t="s">
        <v>58</v>
      </c>
      <c r="B7" s="8">
        <v>45292</v>
      </c>
      <c r="C7" s="7" t="s">
        <v>59</v>
      </c>
      <c r="D7" s="7" t="s">
        <v>19</v>
      </c>
      <c r="E7" s="7" t="s">
        <v>60</v>
      </c>
      <c r="F7" s="7" t="s">
        <v>61</v>
      </c>
      <c r="G7" s="7" t="s">
        <v>49</v>
      </c>
      <c r="H7" s="7" t="s">
        <v>62</v>
      </c>
      <c r="I7" s="7" t="s">
        <v>63</v>
      </c>
      <c r="J7" s="7">
        <v>1</v>
      </c>
      <c r="K7" s="9">
        <v>2138.91</v>
      </c>
      <c r="L7" s="9">
        <v>1818.07</v>
      </c>
      <c r="M7" s="10">
        <v>15</v>
      </c>
      <c r="N7" s="49">
        <v>158.99</v>
      </c>
      <c r="O7" s="9">
        <v>174.7</v>
      </c>
      <c r="P7" s="7" t="s">
        <v>64</v>
      </c>
      <c r="Q7" s="7" t="s">
        <v>65</v>
      </c>
      <c r="R7" s="28">
        <f t="shared" si="0"/>
        <v>8.7449878167507308E-2</v>
      </c>
    </row>
    <row r="8" spans="1:18" x14ac:dyDescent="0.3">
      <c r="A8" s="3" t="s">
        <v>66</v>
      </c>
      <c r="B8" s="4">
        <v>45293</v>
      </c>
      <c r="C8" s="3" t="s">
        <v>67</v>
      </c>
      <c r="D8" s="3" t="s">
        <v>19</v>
      </c>
      <c r="E8" s="3" t="s">
        <v>60</v>
      </c>
      <c r="F8" s="3" t="s">
        <v>68</v>
      </c>
      <c r="G8" s="3" t="s">
        <v>32</v>
      </c>
      <c r="H8" s="3" t="s">
        <v>33</v>
      </c>
      <c r="I8" s="3" t="s">
        <v>69</v>
      </c>
      <c r="J8" s="3">
        <v>4</v>
      </c>
      <c r="K8" s="5">
        <v>11956.54</v>
      </c>
      <c r="L8" s="5">
        <v>45434.85</v>
      </c>
      <c r="M8" s="6">
        <v>5</v>
      </c>
      <c r="N8" s="48">
        <v>6957.95</v>
      </c>
      <c r="O8" s="5">
        <v>357.44</v>
      </c>
      <c r="P8" s="3" t="s">
        <v>45</v>
      </c>
      <c r="Q8" s="3" t="s">
        <v>26</v>
      </c>
      <c r="R8" s="28">
        <f t="shared" si="0"/>
        <v>0.15314125610627086</v>
      </c>
    </row>
    <row r="9" spans="1:18" x14ac:dyDescent="0.3">
      <c r="A9" s="7" t="s">
        <v>70</v>
      </c>
      <c r="B9" s="8">
        <v>45293</v>
      </c>
      <c r="C9" s="7" t="s">
        <v>71</v>
      </c>
      <c r="D9" s="7" t="s">
        <v>39</v>
      </c>
      <c r="E9" s="7" t="s">
        <v>60</v>
      </c>
      <c r="F9" s="7" t="s">
        <v>72</v>
      </c>
      <c r="G9" s="7" t="s">
        <v>32</v>
      </c>
      <c r="H9" s="7" t="s">
        <v>73</v>
      </c>
      <c r="I9" s="7" t="s">
        <v>74</v>
      </c>
      <c r="J9" s="7">
        <v>3</v>
      </c>
      <c r="K9" s="9">
        <v>9220.92</v>
      </c>
      <c r="L9" s="9">
        <v>26279.62</v>
      </c>
      <c r="M9" s="10">
        <v>5</v>
      </c>
      <c r="N9" s="49">
        <v>6421.87</v>
      </c>
      <c r="O9" s="9">
        <v>359.26</v>
      </c>
      <c r="P9" s="7" t="s">
        <v>35</v>
      </c>
      <c r="Q9" s="7" t="s">
        <v>65</v>
      </c>
      <c r="R9" s="28">
        <f t="shared" si="0"/>
        <v>0.24436692768008061</v>
      </c>
    </row>
    <row r="10" spans="1:18" x14ac:dyDescent="0.3">
      <c r="A10" s="3" t="s">
        <v>75</v>
      </c>
      <c r="B10" s="4">
        <v>45294</v>
      </c>
      <c r="C10" s="3" t="s">
        <v>76</v>
      </c>
      <c r="D10" s="3" t="s">
        <v>29</v>
      </c>
      <c r="E10" s="3" t="s">
        <v>40</v>
      </c>
      <c r="F10" s="3" t="s">
        <v>77</v>
      </c>
      <c r="G10" s="3" t="s">
        <v>22</v>
      </c>
      <c r="H10" s="3" t="s">
        <v>23</v>
      </c>
      <c r="I10" s="3" t="s">
        <v>78</v>
      </c>
      <c r="J10" s="3">
        <v>3</v>
      </c>
      <c r="K10" s="5">
        <v>11774.84</v>
      </c>
      <c r="L10" s="5">
        <v>31792.07</v>
      </c>
      <c r="M10" s="6">
        <v>10</v>
      </c>
      <c r="N10" s="48">
        <v>3453.97</v>
      </c>
      <c r="O10" s="5">
        <v>202.57</v>
      </c>
      <c r="P10" s="3" t="s">
        <v>64</v>
      </c>
      <c r="Q10" s="3" t="s">
        <v>57</v>
      </c>
      <c r="R10" s="28">
        <f t="shared" si="0"/>
        <v>0.10864250110168981</v>
      </c>
    </row>
    <row r="11" spans="1:18" x14ac:dyDescent="0.3">
      <c r="A11" s="7" t="s">
        <v>79</v>
      </c>
      <c r="B11" s="8">
        <v>45294</v>
      </c>
      <c r="C11" s="7" t="s">
        <v>80</v>
      </c>
      <c r="D11" s="7" t="s">
        <v>19</v>
      </c>
      <c r="E11" s="7" t="s">
        <v>30</v>
      </c>
      <c r="F11" s="7" t="s">
        <v>31</v>
      </c>
      <c r="G11" s="7" t="s">
        <v>42</v>
      </c>
      <c r="H11" s="7" t="s">
        <v>81</v>
      </c>
      <c r="I11" s="7" t="s">
        <v>82</v>
      </c>
      <c r="J11" s="7">
        <v>1</v>
      </c>
      <c r="K11" s="9">
        <v>580.15</v>
      </c>
      <c r="L11" s="9">
        <v>580.15</v>
      </c>
      <c r="M11" s="10">
        <v>0</v>
      </c>
      <c r="N11" s="49">
        <v>86.54</v>
      </c>
      <c r="O11" s="9">
        <v>239.66</v>
      </c>
      <c r="P11" s="7" t="s">
        <v>83</v>
      </c>
      <c r="Q11" s="7" t="s">
        <v>57</v>
      </c>
      <c r="R11" s="28">
        <f t="shared" si="0"/>
        <v>0.14916831853830909</v>
      </c>
    </row>
    <row r="12" spans="1:18" x14ac:dyDescent="0.3">
      <c r="A12" s="3" t="s">
        <v>84</v>
      </c>
      <c r="B12" s="4">
        <v>45296</v>
      </c>
      <c r="C12" s="3" t="s">
        <v>85</v>
      </c>
      <c r="D12" s="3" t="s">
        <v>19</v>
      </c>
      <c r="E12" s="3" t="s">
        <v>20</v>
      </c>
      <c r="F12" s="3" t="s">
        <v>21</v>
      </c>
      <c r="G12" s="3" t="s">
        <v>32</v>
      </c>
      <c r="H12" s="3" t="s">
        <v>86</v>
      </c>
      <c r="I12" s="3" t="s">
        <v>87</v>
      </c>
      <c r="J12" s="3">
        <v>3</v>
      </c>
      <c r="K12" s="5">
        <v>4016.9</v>
      </c>
      <c r="L12" s="5">
        <v>9038.0300000000007</v>
      </c>
      <c r="M12" s="6">
        <v>25</v>
      </c>
      <c r="N12" s="48">
        <v>474.14</v>
      </c>
      <c r="O12" s="5">
        <v>139.93</v>
      </c>
      <c r="P12" s="3" t="s">
        <v>25</v>
      </c>
      <c r="Q12" s="3" t="s">
        <v>65</v>
      </c>
      <c r="R12" s="28">
        <f t="shared" si="0"/>
        <v>5.2460547265277935E-2</v>
      </c>
    </row>
    <row r="13" spans="1:18" x14ac:dyDescent="0.3">
      <c r="A13" s="7" t="s">
        <v>88</v>
      </c>
      <c r="B13" s="8">
        <v>45296</v>
      </c>
      <c r="C13" s="7" t="s">
        <v>89</v>
      </c>
      <c r="D13" s="7" t="s">
        <v>39</v>
      </c>
      <c r="E13" s="7" t="s">
        <v>40</v>
      </c>
      <c r="F13" s="7" t="s">
        <v>90</v>
      </c>
      <c r="G13" s="7" t="s">
        <v>49</v>
      </c>
      <c r="H13" s="7" t="s">
        <v>91</v>
      </c>
      <c r="I13" s="7" t="s">
        <v>92</v>
      </c>
      <c r="J13" s="7">
        <v>5</v>
      </c>
      <c r="K13" s="9">
        <v>7635.63</v>
      </c>
      <c r="L13" s="9">
        <v>36269.24</v>
      </c>
      <c r="M13" s="10">
        <v>5</v>
      </c>
      <c r="N13" s="49">
        <v>3102.73</v>
      </c>
      <c r="O13" s="9">
        <v>333.55</v>
      </c>
      <c r="P13" s="7" t="s">
        <v>35</v>
      </c>
      <c r="Q13" s="7" t="s">
        <v>65</v>
      </c>
      <c r="R13" s="28">
        <f t="shared" si="0"/>
        <v>8.5547146838478014E-2</v>
      </c>
    </row>
    <row r="14" spans="1:18" x14ac:dyDescent="0.3">
      <c r="A14" s="3" t="s">
        <v>93</v>
      </c>
      <c r="B14" s="4">
        <v>45296</v>
      </c>
      <c r="C14" s="3" t="s">
        <v>94</v>
      </c>
      <c r="D14" s="3" t="s">
        <v>39</v>
      </c>
      <c r="E14" s="3" t="s">
        <v>30</v>
      </c>
      <c r="F14" s="3" t="s">
        <v>48</v>
      </c>
      <c r="G14" s="3" t="s">
        <v>49</v>
      </c>
      <c r="H14" s="3" t="s">
        <v>50</v>
      </c>
      <c r="I14" s="3" t="s">
        <v>95</v>
      </c>
      <c r="J14" s="3">
        <v>3</v>
      </c>
      <c r="K14" s="5">
        <v>7048.93</v>
      </c>
      <c r="L14" s="5">
        <v>20089.45</v>
      </c>
      <c r="M14" s="6">
        <v>5</v>
      </c>
      <c r="N14" s="48">
        <v>2901.98</v>
      </c>
      <c r="O14" s="5">
        <v>329.45</v>
      </c>
      <c r="P14" s="3" t="s">
        <v>64</v>
      </c>
      <c r="Q14" s="3" t="s">
        <v>65</v>
      </c>
      <c r="R14" s="28">
        <f t="shared" si="0"/>
        <v>0.14445293425155989</v>
      </c>
    </row>
    <row r="15" spans="1:18" x14ac:dyDescent="0.3">
      <c r="A15" s="7" t="s">
        <v>96</v>
      </c>
      <c r="B15" s="8">
        <v>45296</v>
      </c>
      <c r="C15" s="7" t="s">
        <v>97</v>
      </c>
      <c r="D15" s="7" t="s">
        <v>39</v>
      </c>
      <c r="E15" s="7" t="s">
        <v>20</v>
      </c>
      <c r="F15" s="7" t="s">
        <v>21</v>
      </c>
      <c r="G15" s="7" t="s">
        <v>49</v>
      </c>
      <c r="H15" s="7" t="s">
        <v>98</v>
      </c>
      <c r="I15" s="7" t="s">
        <v>99</v>
      </c>
      <c r="J15" s="7">
        <v>5</v>
      </c>
      <c r="K15" s="9">
        <v>5405.46</v>
      </c>
      <c r="L15" s="9">
        <v>24324.57</v>
      </c>
      <c r="M15" s="10">
        <v>10</v>
      </c>
      <c r="N15" s="49">
        <v>2826.91</v>
      </c>
      <c r="O15" s="9">
        <v>201.24</v>
      </c>
      <c r="P15" s="7" t="s">
        <v>25</v>
      </c>
      <c r="Q15" s="7" t="s">
        <v>26</v>
      </c>
      <c r="R15" s="28">
        <f t="shared" si="0"/>
        <v>0.1162162373271141</v>
      </c>
    </row>
    <row r="16" spans="1:18" x14ac:dyDescent="0.3">
      <c r="A16" s="3" t="s">
        <v>100</v>
      </c>
      <c r="B16" s="4">
        <v>45300</v>
      </c>
      <c r="C16" s="3" t="s">
        <v>101</v>
      </c>
      <c r="D16" s="3" t="s">
        <v>19</v>
      </c>
      <c r="E16" s="3" t="s">
        <v>40</v>
      </c>
      <c r="F16" s="3" t="s">
        <v>90</v>
      </c>
      <c r="G16" s="3" t="s">
        <v>49</v>
      </c>
      <c r="H16" s="3" t="s">
        <v>62</v>
      </c>
      <c r="I16" s="3" t="s">
        <v>63</v>
      </c>
      <c r="J16" s="3">
        <v>1</v>
      </c>
      <c r="K16" s="5">
        <v>4435.47</v>
      </c>
      <c r="L16" s="5">
        <v>4213.7</v>
      </c>
      <c r="M16" s="6">
        <v>5</v>
      </c>
      <c r="N16" s="48">
        <v>822.01</v>
      </c>
      <c r="O16" s="5">
        <v>254.11</v>
      </c>
      <c r="P16" s="3" t="s">
        <v>25</v>
      </c>
      <c r="Q16" s="3" t="s">
        <v>65</v>
      </c>
      <c r="R16" s="28">
        <f t="shared" si="0"/>
        <v>0.19508033319885137</v>
      </c>
    </row>
    <row r="17" spans="1:18" x14ac:dyDescent="0.3">
      <c r="A17" s="7" t="s">
        <v>102</v>
      </c>
      <c r="B17" s="8">
        <v>45301</v>
      </c>
      <c r="C17" s="7" t="s">
        <v>103</v>
      </c>
      <c r="D17" s="7" t="s">
        <v>39</v>
      </c>
      <c r="E17" s="7" t="s">
        <v>60</v>
      </c>
      <c r="F17" s="7" t="s">
        <v>104</v>
      </c>
      <c r="G17" s="7" t="s">
        <v>22</v>
      </c>
      <c r="H17" s="7" t="s">
        <v>105</v>
      </c>
      <c r="I17" s="7" t="s">
        <v>106</v>
      </c>
      <c r="J17" s="7">
        <v>1</v>
      </c>
      <c r="K17" s="9">
        <v>48561.81</v>
      </c>
      <c r="L17" s="9">
        <v>46133.72</v>
      </c>
      <c r="M17" s="10">
        <v>5</v>
      </c>
      <c r="N17" s="49">
        <v>2773.95</v>
      </c>
      <c r="O17" s="9">
        <v>290.83999999999997</v>
      </c>
      <c r="P17" s="7" t="s">
        <v>25</v>
      </c>
      <c r="Q17" s="7" t="s">
        <v>65</v>
      </c>
      <c r="R17" s="28">
        <f t="shared" si="0"/>
        <v>6.0128470021494032E-2</v>
      </c>
    </row>
    <row r="18" spans="1:18" x14ac:dyDescent="0.3">
      <c r="A18" s="3" t="s">
        <v>107</v>
      </c>
      <c r="B18" s="4">
        <v>45303</v>
      </c>
      <c r="C18" s="3" t="s">
        <v>108</v>
      </c>
      <c r="D18" s="3" t="s">
        <v>19</v>
      </c>
      <c r="E18" s="3" t="s">
        <v>40</v>
      </c>
      <c r="F18" s="3" t="s">
        <v>109</v>
      </c>
      <c r="G18" s="3" t="s">
        <v>22</v>
      </c>
      <c r="H18" s="3" t="s">
        <v>110</v>
      </c>
      <c r="I18" s="3" t="s">
        <v>111</v>
      </c>
      <c r="J18" s="3">
        <v>2</v>
      </c>
      <c r="K18" s="5">
        <v>62365.21</v>
      </c>
      <c r="L18" s="5">
        <v>112257.38</v>
      </c>
      <c r="M18" s="6">
        <v>10</v>
      </c>
      <c r="N18" s="48">
        <v>5519.37</v>
      </c>
      <c r="O18" s="5">
        <v>63.52</v>
      </c>
      <c r="P18" s="3" t="s">
        <v>45</v>
      </c>
      <c r="Q18" s="3" t="s">
        <v>26</v>
      </c>
      <c r="R18" s="28">
        <f t="shared" si="0"/>
        <v>4.9167101530429441E-2</v>
      </c>
    </row>
    <row r="19" spans="1:18" x14ac:dyDescent="0.3">
      <c r="A19" s="7" t="s">
        <v>112</v>
      </c>
      <c r="B19" s="8">
        <v>45303</v>
      </c>
      <c r="C19" s="7" t="s">
        <v>113</v>
      </c>
      <c r="D19" s="7" t="s">
        <v>39</v>
      </c>
      <c r="E19" s="7" t="s">
        <v>30</v>
      </c>
      <c r="F19" s="7" t="s">
        <v>48</v>
      </c>
      <c r="G19" s="7" t="s">
        <v>32</v>
      </c>
      <c r="H19" s="7" t="s">
        <v>73</v>
      </c>
      <c r="I19" s="7" t="s">
        <v>114</v>
      </c>
      <c r="J19" s="7">
        <v>1</v>
      </c>
      <c r="K19" s="9">
        <v>5161.75</v>
      </c>
      <c r="L19" s="9">
        <v>4129.3999999999996</v>
      </c>
      <c r="M19" s="10">
        <v>20</v>
      </c>
      <c r="N19" s="49">
        <v>151.02000000000001</v>
      </c>
      <c r="O19" s="9">
        <v>131.62</v>
      </c>
      <c r="P19" s="7" t="s">
        <v>35</v>
      </c>
      <c r="Q19" s="7" t="s">
        <v>36</v>
      </c>
      <c r="R19" s="28">
        <f t="shared" si="0"/>
        <v>3.6571899065239506E-2</v>
      </c>
    </row>
    <row r="20" spans="1:18" x14ac:dyDescent="0.3">
      <c r="A20" s="3" t="s">
        <v>115</v>
      </c>
      <c r="B20" s="4">
        <v>45303</v>
      </c>
      <c r="C20" s="3" t="s">
        <v>116</v>
      </c>
      <c r="D20" s="3" t="s">
        <v>29</v>
      </c>
      <c r="E20" s="3" t="s">
        <v>60</v>
      </c>
      <c r="F20" s="3" t="s">
        <v>68</v>
      </c>
      <c r="G20" s="3" t="s">
        <v>117</v>
      </c>
      <c r="H20" s="3" t="s">
        <v>118</v>
      </c>
      <c r="I20" s="3" t="s">
        <v>119</v>
      </c>
      <c r="J20" s="3">
        <v>1</v>
      </c>
      <c r="K20" s="5">
        <v>861.56</v>
      </c>
      <c r="L20" s="5">
        <v>861.56</v>
      </c>
      <c r="M20" s="6">
        <v>0</v>
      </c>
      <c r="N20" s="48">
        <v>219.86</v>
      </c>
      <c r="O20" s="5">
        <v>128.16999999999999</v>
      </c>
      <c r="P20" s="3" t="s">
        <v>35</v>
      </c>
      <c r="Q20" s="3" t="s">
        <v>26</v>
      </c>
      <c r="R20" s="28">
        <f t="shared" si="0"/>
        <v>0.25518826315056414</v>
      </c>
    </row>
    <row r="21" spans="1:18" x14ac:dyDescent="0.3">
      <c r="A21" s="7" t="s">
        <v>120</v>
      </c>
      <c r="B21" s="8">
        <v>45303</v>
      </c>
      <c r="C21" s="7" t="s">
        <v>121</v>
      </c>
      <c r="D21" s="7" t="s">
        <v>39</v>
      </c>
      <c r="E21" s="7" t="s">
        <v>30</v>
      </c>
      <c r="F21" s="7" t="s">
        <v>48</v>
      </c>
      <c r="G21" s="7" t="s">
        <v>49</v>
      </c>
      <c r="H21" s="7" t="s">
        <v>62</v>
      </c>
      <c r="I21" s="7" t="s">
        <v>122</v>
      </c>
      <c r="J21" s="7">
        <v>1</v>
      </c>
      <c r="K21" s="9">
        <v>3970.06</v>
      </c>
      <c r="L21" s="9">
        <v>3374.55</v>
      </c>
      <c r="M21" s="10">
        <v>15</v>
      </c>
      <c r="N21" s="49">
        <v>197.15</v>
      </c>
      <c r="O21" s="9">
        <v>282.7</v>
      </c>
      <c r="P21" s="7" t="s">
        <v>35</v>
      </c>
      <c r="Q21" s="7" t="s">
        <v>26</v>
      </c>
      <c r="R21" s="28">
        <f t="shared" si="0"/>
        <v>5.8422604495414199E-2</v>
      </c>
    </row>
    <row r="22" spans="1:18" x14ac:dyDescent="0.3">
      <c r="A22" s="3" t="s">
        <v>123</v>
      </c>
      <c r="B22" s="4">
        <v>45303</v>
      </c>
      <c r="C22" s="3" t="s">
        <v>124</v>
      </c>
      <c r="D22" s="3" t="s">
        <v>19</v>
      </c>
      <c r="E22" s="3" t="s">
        <v>60</v>
      </c>
      <c r="F22" s="3" t="s">
        <v>104</v>
      </c>
      <c r="G22" s="3" t="s">
        <v>117</v>
      </c>
      <c r="H22" s="3" t="s">
        <v>125</v>
      </c>
      <c r="I22" s="3" t="s">
        <v>126</v>
      </c>
      <c r="J22" s="3">
        <v>2</v>
      </c>
      <c r="K22" s="5">
        <v>549.08000000000004</v>
      </c>
      <c r="L22" s="5">
        <v>1098.1600000000001</v>
      </c>
      <c r="M22" s="6">
        <v>0</v>
      </c>
      <c r="N22" s="48">
        <v>345.02</v>
      </c>
      <c r="O22" s="5">
        <v>148.62</v>
      </c>
      <c r="P22" s="3" t="s">
        <v>64</v>
      </c>
      <c r="Q22" s="3" t="s">
        <v>36</v>
      </c>
      <c r="R22" s="28">
        <f t="shared" si="0"/>
        <v>0.31418008304800754</v>
      </c>
    </row>
    <row r="23" spans="1:18" x14ac:dyDescent="0.3">
      <c r="A23" s="7" t="s">
        <v>127</v>
      </c>
      <c r="B23" s="8">
        <v>45303</v>
      </c>
      <c r="C23" s="7" t="s">
        <v>128</v>
      </c>
      <c r="D23" s="7" t="s">
        <v>29</v>
      </c>
      <c r="E23" s="7" t="s">
        <v>20</v>
      </c>
      <c r="F23" s="7" t="s">
        <v>129</v>
      </c>
      <c r="G23" s="7" t="s">
        <v>117</v>
      </c>
      <c r="H23" s="7" t="s">
        <v>130</v>
      </c>
      <c r="I23" s="7" t="s">
        <v>131</v>
      </c>
      <c r="J23" s="7">
        <v>2</v>
      </c>
      <c r="K23" s="9">
        <v>1915.19</v>
      </c>
      <c r="L23" s="9">
        <v>3447.34</v>
      </c>
      <c r="M23" s="10">
        <v>10</v>
      </c>
      <c r="N23" s="49">
        <v>772.74</v>
      </c>
      <c r="O23" s="9">
        <v>109.79</v>
      </c>
      <c r="P23" s="7" t="s">
        <v>64</v>
      </c>
      <c r="Q23" s="7" t="s">
        <v>57</v>
      </c>
      <c r="R23" s="28">
        <f t="shared" si="0"/>
        <v>0.22415543578527211</v>
      </c>
    </row>
    <row r="24" spans="1:18" x14ac:dyDescent="0.3">
      <c r="A24" s="3" t="s">
        <v>132</v>
      </c>
      <c r="B24" s="4">
        <v>45304</v>
      </c>
      <c r="C24" s="3" t="s">
        <v>133</v>
      </c>
      <c r="D24" s="3" t="s">
        <v>39</v>
      </c>
      <c r="E24" s="3" t="s">
        <v>40</v>
      </c>
      <c r="F24" s="3" t="s">
        <v>109</v>
      </c>
      <c r="G24" s="3" t="s">
        <v>134</v>
      </c>
      <c r="H24" s="3" t="s">
        <v>135</v>
      </c>
      <c r="I24" s="3" t="s">
        <v>136</v>
      </c>
      <c r="J24" s="3">
        <v>3</v>
      </c>
      <c r="K24" s="5">
        <v>350.91</v>
      </c>
      <c r="L24" s="5">
        <v>947.46</v>
      </c>
      <c r="M24" s="6">
        <v>10</v>
      </c>
      <c r="N24" s="48">
        <v>170.15</v>
      </c>
      <c r="O24" s="5">
        <v>137.18</v>
      </c>
      <c r="P24" s="3" t="s">
        <v>64</v>
      </c>
      <c r="Q24" s="3" t="s">
        <v>26</v>
      </c>
      <c r="R24" s="28">
        <f t="shared" si="0"/>
        <v>0.17958541785405188</v>
      </c>
    </row>
    <row r="25" spans="1:18" x14ac:dyDescent="0.3">
      <c r="A25" s="7" t="s">
        <v>137</v>
      </c>
      <c r="B25" s="8">
        <v>45304</v>
      </c>
      <c r="C25" s="7" t="s">
        <v>138</v>
      </c>
      <c r="D25" s="7" t="s">
        <v>19</v>
      </c>
      <c r="E25" s="7" t="s">
        <v>60</v>
      </c>
      <c r="F25" s="7" t="s">
        <v>61</v>
      </c>
      <c r="G25" s="7" t="s">
        <v>134</v>
      </c>
      <c r="H25" s="7" t="s">
        <v>139</v>
      </c>
      <c r="I25" s="7" t="s">
        <v>140</v>
      </c>
      <c r="J25" s="7">
        <v>2</v>
      </c>
      <c r="K25" s="9">
        <v>2562.52</v>
      </c>
      <c r="L25" s="9">
        <v>4868.79</v>
      </c>
      <c r="M25" s="10">
        <v>5</v>
      </c>
      <c r="N25" s="49">
        <v>1216.44</v>
      </c>
      <c r="O25" s="9">
        <v>313.79000000000002</v>
      </c>
      <c r="P25" s="7" t="s">
        <v>64</v>
      </c>
      <c r="Q25" s="7" t="s">
        <v>65</v>
      </c>
      <c r="R25" s="28">
        <f t="shared" si="0"/>
        <v>0.24984441719605899</v>
      </c>
    </row>
    <row r="26" spans="1:18" x14ac:dyDescent="0.3">
      <c r="A26" s="3" t="s">
        <v>141</v>
      </c>
      <c r="B26" s="4">
        <v>45304</v>
      </c>
      <c r="C26" s="3" t="s">
        <v>142</v>
      </c>
      <c r="D26" s="3" t="s">
        <v>19</v>
      </c>
      <c r="E26" s="3" t="s">
        <v>60</v>
      </c>
      <c r="F26" s="3" t="s">
        <v>72</v>
      </c>
      <c r="G26" s="3" t="s">
        <v>32</v>
      </c>
      <c r="H26" s="3" t="s">
        <v>143</v>
      </c>
      <c r="I26" s="3" t="s">
        <v>144</v>
      </c>
      <c r="J26" s="3">
        <v>2</v>
      </c>
      <c r="K26" s="5">
        <v>2182.8200000000002</v>
      </c>
      <c r="L26" s="5">
        <v>4365.6400000000003</v>
      </c>
      <c r="M26" s="6">
        <v>0</v>
      </c>
      <c r="N26" s="48">
        <v>424.62</v>
      </c>
      <c r="O26" s="5">
        <v>339.82</v>
      </c>
      <c r="P26" s="3" t="s">
        <v>45</v>
      </c>
      <c r="Q26" s="3" t="s">
        <v>57</v>
      </c>
      <c r="R26" s="28">
        <f t="shared" si="0"/>
        <v>9.7264089572204754E-2</v>
      </c>
    </row>
    <row r="27" spans="1:18" x14ac:dyDescent="0.3">
      <c r="A27" s="7" t="s">
        <v>145</v>
      </c>
      <c r="B27" s="8">
        <v>45306</v>
      </c>
      <c r="C27" s="7" t="s">
        <v>146</v>
      </c>
      <c r="D27" s="7" t="s">
        <v>39</v>
      </c>
      <c r="E27" s="7" t="s">
        <v>60</v>
      </c>
      <c r="F27" s="7" t="s">
        <v>68</v>
      </c>
      <c r="G27" s="7" t="s">
        <v>134</v>
      </c>
      <c r="H27" s="7" t="s">
        <v>139</v>
      </c>
      <c r="I27" s="7" t="s">
        <v>147</v>
      </c>
      <c r="J27" s="7">
        <v>2</v>
      </c>
      <c r="K27" s="9">
        <v>994.12</v>
      </c>
      <c r="L27" s="9">
        <v>1590.59</v>
      </c>
      <c r="M27" s="10">
        <v>20</v>
      </c>
      <c r="N27" s="49">
        <v>192.39</v>
      </c>
      <c r="O27" s="9">
        <v>50</v>
      </c>
      <c r="P27" s="7" t="s">
        <v>35</v>
      </c>
      <c r="Q27" s="7" t="s">
        <v>57</v>
      </c>
      <c r="R27" s="28">
        <f t="shared" si="0"/>
        <v>0.12095511728352372</v>
      </c>
    </row>
    <row r="28" spans="1:18" x14ac:dyDescent="0.3">
      <c r="A28" s="3" t="s">
        <v>148</v>
      </c>
      <c r="B28" s="4">
        <v>45306</v>
      </c>
      <c r="C28" s="3" t="s">
        <v>149</v>
      </c>
      <c r="D28" s="3" t="s">
        <v>39</v>
      </c>
      <c r="E28" s="3" t="s">
        <v>30</v>
      </c>
      <c r="F28" s="3" t="s">
        <v>48</v>
      </c>
      <c r="G28" s="3" t="s">
        <v>22</v>
      </c>
      <c r="H28" s="3" t="s">
        <v>55</v>
      </c>
      <c r="I28" s="3" t="s">
        <v>150</v>
      </c>
      <c r="J28" s="3">
        <v>2</v>
      </c>
      <c r="K28" s="5">
        <v>52067.44</v>
      </c>
      <c r="L28" s="5">
        <v>83307.899999999994</v>
      </c>
      <c r="M28" s="6">
        <v>20</v>
      </c>
      <c r="N28" s="48">
        <v>-3446.48</v>
      </c>
      <c r="O28" s="5">
        <v>276.12</v>
      </c>
      <c r="P28" s="3" t="s">
        <v>35</v>
      </c>
      <c r="Q28" s="3" t="s">
        <v>65</v>
      </c>
      <c r="R28" s="28">
        <f t="shared" si="0"/>
        <v>-4.1370386241881024E-2</v>
      </c>
    </row>
    <row r="29" spans="1:18" x14ac:dyDescent="0.3">
      <c r="A29" s="7" t="s">
        <v>151</v>
      </c>
      <c r="B29" s="8">
        <v>45307</v>
      </c>
      <c r="C29" s="7" t="s">
        <v>152</v>
      </c>
      <c r="D29" s="7" t="s">
        <v>19</v>
      </c>
      <c r="E29" s="7" t="s">
        <v>40</v>
      </c>
      <c r="F29" s="7" t="s">
        <v>77</v>
      </c>
      <c r="G29" s="7" t="s">
        <v>117</v>
      </c>
      <c r="H29" s="7" t="s">
        <v>153</v>
      </c>
      <c r="I29" s="7" t="s">
        <v>154</v>
      </c>
      <c r="J29" s="7">
        <v>4</v>
      </c>
      <c r="K29" s="9">
        <v>1501.84</v>
      </c>
      <c r="L29" s="9">
        <v>5106.26</v>
      </c>
      <c r="M29" s="10">
        <v>15</v>
      </c>
      <c r="N29" s="49">
        <v>972.61</v>
      </c>
      <c r="O29" s="9">
        <v>355.97</v>
      </c>
      <c r="P29" s="7" t="s">
        <v>45</v>
      </c>
      <c r="Q29" s="7" t="s">
        <v>26</v>
      </c>
      <c r="R29" s="28">
        <f t="shared" si="0"/>
        <v>0.19047404558326445</v>
      </c>
    </row>
    <row r="30" spans="1:18" x14ac:dyDescent="0.3">
      <c r="A30" s="3" t="s">
        <v>155</v>
      </c>
      <c r="B30" s="4">
        <v>45307</v>
      </c>
      <c r="C30" s="3" t="s">
        <v>156</v>
      </c>
      <c r="D30" s="3" t="s">
        <v>19</v>
      </c>
      <c r="E30" s="3" t="s">
        <v>20</v>
      </c>
      <c r="F30" s="3" t="s">
        <v>129</v>
      </c>
      <c r="G30" s="3" t="s">
        <v>22</v>
      </c>
      <c r="H30" s="3" t="s">
        <v>105</v>
      </c>
      <c r="I30" s="3" t="s">
        <v>157</v>
      </c>
      <c r="J30" s="3">
        <v>1</v>
      </c>
      <c r="K30" s="5">
        <v>14057.51</v>
      </c>
      <c r="L30" s="5">
        <v>14057.51</v>
      </c>
      <c r="M30" s="6">
        <v>0</v>
      </c>
      <c r="N30" s="48">
        <v>854.35</v>
      </c>
      <c r="O30" s="5">
        <v>329.02</v>
      </c>
      <c r="P30" s="3" t="s">
        <v>45</v>
      </c>
      <c r="Q30" s="3" t="s">
        <v>65</v>
      </c>
      <c r="R30" s="28">
        <f t="shared" si="0"/>
        <v>6.0775343570803081E-2</v>
      </c>
    </row>
    <row r="31" spans="1:18" x14ac:dyDescent="0.3">
      <c r="A31" s="7" t="s">
        <v>158</v>
      </c>
      <c r="B31" s="8">
        <v>45308</v>
      </c>
      <c r="C31" s="7" t="s">
        <v>159</v>
      </c>
      <c r="D31" s="7" t="s">
        <v>29</v>
      </c>
      <c r="E31" s="7" t="s">
        <v>20</v>
      </c>
      <c r="F31" s="7" t="s">
        <v>54</v>
      </c>
      <c r="G31" s="7" t="s">
        <v>134</v>
      </c>
      <c r="H31" s="7" t="s">
        <v>139</v>
      </c>
      <c r="I31" s="7" t="s">
        <v>147</v>
      </c>
      <c r="J31" s="7">
        <v>1</v>
      </c>
      <c r="K31" s="9">
        <v>4291</v>
      </c>
      <c r="L31" s="9">
        <v>4076.45</v>
      </c>
      <c r="M31" s="10">
        <v>5</v>
      </c>
      <c r="N31" s="49">
        <v>640.23</v>
      </c>
      <c r="O31" s="9">
        <v>172.72</v>
      </c>
      <c r="P31" s="7" t="s">
        <v>35</v>
      </c>
      <c r="Q31" s="7" t="s">
        <v>26</v>
      </c>
      <c r="R31" s="28">
        <f t="shared" si="0"/>
        <v>0.15705577156594588</v>
      </c>
    </row>
    <row r="32" spans="1:18" x14ac:dyDescent="0.3">
      <c r="A32" s="3" t="s">
        <v>160</v>
      </c>
      <c r="B32" s="4">
        <v>45308</v>
      </c>
      <c r="C32" s="3" t="s">
        <v>161</v>
      </c>
      <c r="D32" s="3" t="s">
        <v>39</v>
      </c>
      <c r="E32" s="3" t="s">
        <v>60</v>
      </c>
      <c r="F32" s="3" t="s">
        <v>104</v>
      </c>
      <c r="G32" s="3" t="s">
        <v>32</v>
      </c>
      <c r="H32" s="3" t="s">
        <v>73</v>
      </c>
      <c r="I32" s="3" t="s">
        <v>74</v>
      </c>
      <c r="J32" s="3">
        <v>2</v>
      </c>
      <c r="K32" s="5">
        <v>5100.88</v>
      </c>
      <c r="L32" s="5">
        <v>10201.76</v>
      </c>
      <c r="M32" s="6">
        <v>0</v>
      </c>
      <c r="N32" s="48">
        <v>2760.06</v>
      </c>
      <c r="O32" s="5">
        <v>79.11</v>
      </c>
      <c r="P32" s="3" t="s">
        <v>64</v>
      </c>
      <c r="Q32" s="3" t="s">
        <v>57</v>
      </c>
      <c r="R32" s="28">
        <f t="shared" si="0"/>
        <v>0.27054743495240036</v>
      </c>
    </row>
    <row r="33" spans="1:18" x14ac:dyDescent="0.3">
      <c r="A33" s="7" t="s">
        <v>162</v>
      </c>
      <c r="B33" s="8">
        <v>45310</v>
      </c>
      <c r="C33" s="7" t="s">
        <v>163</v>
      </c>
      <c r="D33" s="7" t="s">
        <v>39</v>
      </c>
      <c r="E33" s="7" t="s">
        <v>40</v>
      </c>
      <c r="F33" s="7" t="s">
        <v>90</v>
      </c>
      <c r="G33" s="7" t="s">
        <v>42</v>
      </c>
      <c r="H33" s="7" t="s">
        <v>164</v>
      </c>
      <c r="I33" s="7" t="s">
        <v>165</v>
      </c>
      <c r="J33" s="7">
        <v>1</v>
      </c>
      <c r="K33" s="9">
        <v>309.14999999999998</v>
      </c>
      <c r="L33" s="9">
        <v>278.24</v>
      </c>
      <c r="M33" s="10">
        <v>10</v>
      </c>
      <c r="N33" s="49">
        <v>61.24</v>
      </c>
      <c r="O33" s="9">
        <v>60</v>
      </c>
      <c r="P33" s="7" t="s">
        <v>83</v>
      </c>
      <c r="Q33" s="7" t="s">
        <v>65</v>
      </c>
      <c r="R33" s="28">
        <f t="shared" si="0"/>
        <v>0.2200977573317999</v>
      </c>
    </row>
    <row r="34" spans="1:18" x14ac:dyDescent="0.3">
      <c r="A34" s="3" t="s">
        <v>166</v>
      </c>
      <c r="B34" s="4">
        <v>45311</v>
      </c>
      <c r="C34" s="3" t="s">
        <v>167</v>
      </c>
      <c r="D34" s="3" t="s">
        <v>39</v>
      </c>
      <c r="E34" s="3" t="s">
        <v>60</v>
      </c>
      <c r="F34" s="3" t="s">
        <v>61</v>
      </c>
      <c r="G34" s="3" t="s">
        <v>134</v>
      </c>
      <c r="H34" s="3" t="s">
        <v>91</v>
      </c>
      <c r="I34" s="3" t="s">
        <v>168</v>
      </c>
      <c r="J34" s="3">
        <v>3</v>
      </c>
      <c r="K34" s="5">
        <v>3577.68</v>
      </c>
      <c r="L34" s="5">
        <v>8586.43</v>
      </c>
      <c r="M34" s="6">
        <v>20</v>
      </c>
      <c r="N34" s="48">
        <v>661.95</v>
      </c>
      <c r="O34" s="5">
        <v>272.17</v>
      </c>
      <c r="P34" s="3" t="s">
        <v>45</v>
      </c>
      <c r="Q34" s="3" t="s">
        <v>65</v>
      </c>
      <c r="R34" s="28">
        <f t="shared" si="0"/>
        <v>7.7092575144734193E-2</v>
      </c>
    </row>
    <row r="35" spans="1:18" x14ac:dyDescent="0.3">
      <c r="A35" s="7" t="s">
        <v>169</v>
      </c>
      <c r="B35" s="8">
        <v>45311</v>
      </c>
      <c r="C35" s="7" t="s">
        <v>128</v>
      </c>
      <c r="D35" s="7" t="s">
        <v>39</v>
      </c>
      <c r="E35" s="7" t="s">
        <v>20</v>
      </c>
      <c r="F35" s="7" t="s">
        <v>54</v>
      </c>
      <c r="G35" s="7" t="s">
        <v>22</v>
      </c>
      <c r="H35" s="7" t="s">
        <v>105</v>
      </c>
      <c r="I35" s="7" t="s">
        <v>106</v>
      </c>
      <c r="J35" s="7">
        <v>2</v>
      </c>
      <c r="K35" s="9">
        <v>26868.47</v>
      </c>
      <c r="L35" s="9">
        <v>45676.4</v>
      </c>
      <c r="M35" s="10">
        <v>15</v>
      </c>
      <c r="N35" s="49">
        <v>523.1</v>
      </c>
      <c r="O35" s="9">
        <v>276.49</v>
      </c>
      <c r="P35" s="7" t="s">
        <v>35</v>
      </c>
      <c r="Q35" s="7" t="s">
        <v>57</v>
      </c>
      <c r="R35" s="28">
        <f t="shared" si="0"/>
        <v>1.1452303596605687E-2</v>
      </c>
    </row>
    <row r="36" spans="1:18" x14ac:dyDescent="0.3">
      <c r="A36" s="3" t="s">
        <v>170</v>
      </c>
      <c r="B36" s="4">
        <v>45311</v>
      </c>
      <c r="C36" s="3" t="s">
        <v>171</v>
      </c>
      <c r="D36" s="3" t="s">
        <v>19</v>
      </c>
      <c r="E36" s="3" t="s">
        <v>40</v>
      </c>
      <c r="F36" s="3" t="s">
        <v>41</v>
      </c>
      <c r="G36" s="3" t="s">
        <v>42</v>
      </c>
      <c r="H36" s="3" t="s">
        <v>172</v>
      </c>
      <c r="I36" s="3" t="s">
        <v>173</v>
      </c>
      <c r="J36" s="3">
        <v>2</v>
      </c>
      <c r="K36" s="5">
        <v>832.46</v>
      </c>
      <c r="L36" s="5">
        <v>1581.67</v>
      </c>
      <c r="M36" s="6">
        <v>5</v>
      </c>
      <c r="N36" s="48">
        <v>265.25</v>
      </c>
      <c r="O36" s="5">
        <v>329.8</v>
      </c>
      <c r="P36" s="3" t="s">
        <v>35</v>
      </c>
      <c r="Q36" s="3" t="s">
        <v>65</v>
      </c>
      <c r="R36" s="28">
        <f t="shared" si="0"/>
        <v>0.16770249167019669</v>
      </c>
    </row>
    <row r="37" spans="1:18" x14ac:dyDescent="0.3">
      <c r="A37" s="7" t="s">
        <v>174</v>
      </c>
      <c r="B37" s="8">
        <v>45312</v>
      </c>
      <c r="C37" s="7" t="s">
        <v>175</v>
      </c>
      <c r="D37" s="7" t="s">
        <v>29</v>
      </c>
      <c r="E37" s="7" t="s">
        <v>20</v>
      </c>
      <c r="F37" s="7" t="s">
        <v>54</v>
      </c>
      <c r="G37" s="7" t="s">
        <v>22</v>
      </c>
      <c r="H37" s="7" t="s">
        <v>23</v>
      </c>
      <c r="I37" s="7" t="s">
        <v>176</v>
      </c>
      <c r="J37" s="7">
        <v>2</v>
      </c>
      <c r="K37" s="9">
        <v>52586.58</v>
      </c>
      <c r="L37" s="9">
        <v>99914.5</v>
      </c>
      <c r="M37" s="10">
        <v>5</v>
      </c>
      <c r="N37" s="49">
        <v>3964.09</v>
      </c>
      <c r="O37" s="9">
        <v>92.76</v>
      </c>
      <c r="P37" s="7" t="s">
        <v>25</v>
      </c>
      <c r="Q37" s="7" t="s">
        <v>26</v>
      </c>
      <c r="R37" s="28">
        <f t="shared" si="0"/>
        <v>3.9674821972786732E-2</v>
      </c>
    </row>
    <row r="38" spans="1:18" x14ac:dyDescent="0.3">
      <c r="A38" s="3" t="s">
        <v>177</v>
      </c>
      <c r="B38" s="4">
        <v>45312</v>
      </c>
      <c r="C38" s="3" t="s">
        <v>178</v>
      </c>
      <c r="D38" s="3" t="s">
        <v>39</v>
      </c>
      <c r="E38" s="3" t="s">
        <v>30</v>
      </c>
      <c r="F38" s="3" t="s">
        <v>31</v>
      </c>
      <c r="G38" s="3" t="s">
        <v>22</v>
      </c>
      <c r="H38" s="3" t="s">
        <v>105</v>
      </c>
      <c r="I38" s="3" t="s">
        <v>157</v>
      </c>
      <c r="J38" s="3">
        <v>1</v>
      </c>
      <c r="K38" s="5">
        <v>13690.64</v>
      </c>
      <c r="L38" s="5">
        <v>10952.51</v>
      </c>
      <c r="M38" s="6">
        <v>20</v>
      </c>
      <c r="N38" s="48">
        <v>-357.43</v>
      </c>
      <c r="O38" s="5">
        <v>326.64999999999998</v>
      </c>
      <c r="P38" s="3" t="s">
        <v>45</v>
      </c>
      <c r="Q38" s="3" t="s">
        <v>65</v>
      </c>
      <c r="R38" s="28">
        <f t="shared" si="0"/>
        <v>-3.2634528523598702E-2</v>
      </c>
    </row>
    <row r="39" spans="1:18" x14ac:dyDescent="0.3">
      <c r="A39" s="7" t="s">
        <v>179</v>
      </c>
      <c r="B39" s="8">
        <v>45312</v>
      </c>
      <c r="C39" s="7" t="s">
        <v>180</v>
      </c>
      <c r="D39" s="7" t="s">
        <v>39</v>
      </c>
      <c r="E39" s="7" t="s">
        <v>60</v>
      </c>
      <c r="F39" s="7" t="s">
        <v>68</v>
      </c>
      <c r="G39" s="7" t="s">
        <v>134</v>
      </c>
      <c r="H39" s="7" t="s">
        <v>91</v>
      </c>
      <c r="I39" s="7" t="s">
        <v>168</v>
      </c>
      <c r="J39" s="7">
        <v>2</v>
      </c>
      <c r="K39" s="9">
        <v>3436.46</v>
      </c>
      <c r="L39" s="9">
        <v>6872.92</v>
      </c>
      <c r="M39" s="10">
        <v>0</v>
      </c>
      <c r="N39" s="49">
        <v>1167.06</v>
      </c>
      <c r="O39" s="9">
        <v>275.58</v>
      </c>
      <c r="P39" s="7" t="s">
        <v>64</v>
      </c>
      <c r="Q39" s="7" t="s">
        <v>26</v>
      </c>
      <c r="R39" s="28">
        <f t="shared" si="0"/>
        <v>0.16980555571722061</v>
      </c>
    </row>
    <row r="40" spans="1:18" x14ac:dyDescent="0.3">
      <c r="A40" s="3" t="s">
        <v>181</v>
      </c>
      <c r="B40" s="4">
        <v>45313</v>
      </c>
      <c r="C40" s="3" t="s">
        <v>182</v>
      </c>
      <c r="D40" s="3" t="s">
        <v>39</v>
      </c>
      <c r="E40" s="3" t="s">
        <v>20</v>
      </c>
      <c r="F40" s="3" t="s">
        <v>129</v>
      </c>
      <c r="G40" s="3" t="s">
        <v>42</v>
      </c>
      <c r="H40" s="3" t="s">
        <v>43</v>
      </c>
      <c r="I40" s="3" t="s">
        <v>44</v>
      </c>
      <c r="J40" s="3">
        <v>1</v>
      </c>
      <c r="K40" s="5">
        <v>872.11</v>
      </c>
      <c r="L40" s="5">
        <v>784.9</v>
      </c>
      <c r="M40" s="6">
        <v>10</v>
      </c>
      <c r="N40" s="48">
        <v>108</v>
      </c>
      <c r="O40" s="5">
        <v>73.02</v>
      </c>
      <c r="P40" s="3" t="s">
        <v>45</v>
      </c>
      <c r="Q40" s="3" t="s">
        <v>57</v>
      </c>
      <c r="R40" s="28">
        <f t="shared" si="0"/>
        <v>0.13759714613326537</v>
      </c>
    </row>
    <row r="41" spans="1:18" x14ac:dyDescent="0.3">
      <c r="A41" s="7" t="s">
        <v>183</v>
      </c>
      <c r="B41" s="8">
        <v>45313</v>
      </c>
      <c r="C41" s="7" t="s">
        <v>184</v>
      </c>
      <c r="D41" s="7" t="s">
        <v>39</v>
      </c>
      <c r="E41" s="7" t="s">
        <v>20</v>
      </c>
      <c r="F41" s="7" t="s">
        <v>129</v>
      </c>
      <c r="G41" s="7" t="s">
        <v>134</v>
      </c>
      <c r="H41" s="7" t="s">
        <v>135</v>
      </c>
      <c r="I41" s="7" t="s">
        <v>185</v>
      </c>
      <c r="J41" s="7">
        <v>4</v>
      </c>
      <c r="K41" s="9">
        <v>2304.87</v>
      </c>
      <c r="L41" s="9">
        <v>8297.5300000000007</v>
      </c>
      <c r="M41" s="10">
        <v>10</v>
      </c>
      <c r="N41" s="49">
        <v>793.59</v>
      </c>
      <c r="O41" s="9">
        <v>332.83</v>
      </c>
      <c r="P41" s="7" t="s">
        <v>35</v>
      </c>
      <c r="Q41" s="7" t="s">
        <v>65</v>
      </c>
      <c r="R41" s="28">
        <f t="shared" si="0"/>
        <v>9.5641715064603561E-2</v>
      </c>
    </row>
    <row r="42" spans="1:18" x14ac:dyDescent="0.3">
      <c r="A42" s="3" t="s">
        <v>186</v>
      </c>
      <c r="B42" s="4">
        <v>45313</v>
      </c>
      <c r="C42" s="3" t="s">
        <v>187</v>
      </c>
      <c r="D42" s="3" t="s">
        <v>29</v>
      </c>
      <c r="E42" s="3" t="s">
        <v>40</v>
      </c>
      <c r="F42" s="3" t="s">
        <v>90</v>
      </c>
      <c r="G42" s="3" t="s">
        <v>49</v>
      </c>
      <c r="H42" s="3" t="s">
        <v>91</v>
      </c>
      <c r="I42" s="3" t="s">
        <v>188</v>
      </c>
      <c r="J42" s="3">
        <v>1</v>
      </c>
      <c r="K42" s="5">
        <v>9446.41</v>
      </c>
      <c r="L42" s="5">
        <v>6612.49</v>
      </c>
      <c r="M42" s="6">
        <v>30</v>
      </c>
      <c r="N42" s="48">
        <v>-207.14</v>
      </c>
      <c r="O42" s="5">
        <v>44.64</v>
      </c>
      <c r="P42" s="3" t="s">
        <v>25</v>
      </c>
      <c r="Q42" s="3" t="s">
        <v>36</v>
      </c>
      <c r="R42" s="28">
        <f t="shared" si="0"/>
        <v>-3.1325567222029824E-2</v>
      </c>
    </row>
    <row r="43" spans="1:18" x14ac:dyDescent="0.3">
      <c r="A43" s="7" t="s">
        <v>189</v>
      </c>
      <c r="B43" s="8">
        <v>45313</v>
      </c>
      <c r="C43" s="7" t="s">
        <v>190</v>
      </c>
      <c r="D43" s="7" t="s">
        <v>19</v>
      </c>
      <c r="E43" s="7" t="s">
        <v>30</v>
      </c>
      <c r="F43" s="7" t="s">
        <v>48</v>
      </c>
      <c r="G43" s="7" t="s">
        <v>22</v>
      </c>
      <c r="H43" s="7" t="s">
        <v>55</v>
      </c>
      <c r="I43" s="7" t="s">
        <v>150</v>
      </c>
      <c r="J43" s="7">
        <v>2</v>
      </c>
      <c r="K43" s="9">
        <v>55428.43</v>
      </c>
      <c r="L43" s="9">
        <v>110856.86</v>
      </c>
      <c r="M43" s="10">
        <v>0</v>
      </c>
      <c r="N43" s="49">
        <v>8600.3799999999992</v>
      </c>
      <c r="O43" s="9">
        <v>176.76</v>
      </c>
      <c r="P43" s="7" t="s">
        <v>45</v>
      </c>
      <c r="Q43" s="7" t="s">
        <v>57</v>
      </c>
      <c r="R43" s="28">
        <f t="shared" si="0"/>
        <v>7.7580945374061641E-2</v>
      </c>
    </row>
    <row r="44" spans="1:18" x14ac:dyDescent="0.3">
      <c r="A44" s="3" t="s">
        <v>191</v>
      </c>
      <c r="B44" s="4">
        <v>45314</v>
      </c>
      <c r="C44" s="3" t="s">
        <v>192</v>
      </c>
      <c r="D44" s="3" t="s">
        <v>39</v>
      </c>
      <c r="E44" s="3" t="s">
        <v>60</v>
      </c>
      <c r="F44" s="3" t="s">
        <v>61</v>
      </c>
      <c r="G44" s="3" t="s">
        <v>49</v>
      </c>
      <c r="H44" s="3" t="s">
        <v>50</v>
      </c>
      <c r="I44" s="3" t="s">
        <v>193</v>
      </c>
      <c r="J44" s="3">
        <v>2</v>
      </c>
      <c r="K44" s="5">
        <v>13050.58</v>
      </c>
      <c r="L44" s="5">
        <v>20880.93</v>
      </c>
      <c r="M44" s="6">
        <v>20</v>
      </c>
      <c r="N44" s="48">
        <v>226.7</v>
      </c>
      <c r="O44" s="5">
        <v>190.26</v>
      </c>
      <c r="P44" s="3" t="s">
        <v>25</v>
      </c>
      <c r="Q44" s="3" t="s">
        <v>57</v>
      </c>
      <c r="R44" s="28">
        <f t="shared" si="0"/>
        <v>1.0856796129291175E-2</v>
      </c>
    </row>
    <row r="45" spans="1:18" x14ac:dyDescent="0.3">
      <c r="A45" s="7" t="s">
        <v>194</v>
      </c>
      <c r="B45" s="8">
        <v>45314</v>
      </c>
      <c r="C45" s="7" t="s">
        <v>195</v>
      </c>
      <c r="D45" s="7" t="s">
        <v>39</v>
      </c>
      <c r="E45" s="7" t="s">
        <v>20</v>
      </c>
      <c r="F45" s="7" t="s">
        <v>21</v>
      </c>
      <c r="G45" s="7" t="s">
        <v>117</v>
      </c>
      <c r="H45" s="7" t="s">
        <v>125</v>
      </c>
      <c r="I45" s="7" t="s">
        <v>196</v>
      </c>
      <c r="J45" s="7">
        <v>4</v>
      </c>
      <c r="K45" s="9">
        <v>933.39</v>
      </c>
      <c r="L45" s="9">
        <v>3733.56</v>
      </c>
      <c r="M45" s="10">
        <v>0</v>
      </c>
      <c r="N45" s="49">
        <v>702.72</v>
      </c>
      <c r="O45" s="9">
        <v>267.33999999999997</v>
      </c>
      <c r="P45" s="7" t="s">
        <v>35</v>
      </c>
      <c r="Q45" s="7" t="s">
        <v>26</v>
      </c>
      <c r="R45" s="28">
        <f t="shared" si="0"/>
        <v>0.18821714395911679</v>
      </c>
    </row>
    <row r="46" spans="1:18" x14ac:dyDescent="0.3">
      <c r="A46" s="3" t="s">
        <v>197</v>
      </c>
      <c r="B46" s="4">
        <v>45315</v>
      </c>
      <c r="C46" s="3" t="s">
        <v>198</v>
      </c>
      <c r="D46" s="3" t="s">
        <v>39</v>
      </c>
      <c r="E46" s="3" t="s">
        <v>60</v>
      </c>
      <c r="F46" s="3" t="s">
        <v>72</v>
      </c>
      <c r="G46" s="3" t="s">
        <v>42</v>
      </c>
      <c r="H46" s="3" t="s">
        <v>164</v>
      </c>
      <c r="I46" s="3" t="s">
        <v>199</v>
      </c>
      <c r="J46" s="3">
        <v>3</v>
      </c>
      <c r="K46" s="5">
        <v>596.77</v>
      </c>
      <c r="L46" s="5">
        <v>1790.31</v>
      </c>
      <c r="M46" s="6">
        <v>0</v>
      </c>
      <c r="N46" s="48">
        <v>158.82</v>
      </c>
      <c r="O46" s="5">
        <v>376.05</v>
      </c>
      <c r="P46" s="3" t="s">
        <v>35</v>
      </c>
      <c r="Q46" s="3" t="s">
        <v>57</v>
      </c>
      <c r="R46" s="28">
        <f t="shared" si="0"/>
        <v>8.8710893644117494E-2</v>
      </c>
    </row>
    <row r="47" spans="1:18" x14ac:dyDescent="0.3">
      <c r="A47" s="7" t="s">
        <v>200</v>
      </c>
      <c r="B47" s="8">
        <v>45316</v>
      </c>
      <c r="C47" s="7" t="s">
        <v>201</v>
      </c>
      <c r="D47" s="7" t="s">
        <v>39</v>
      </c>
      <c r="E47" s="7" t="s">
        <v>40</v>
      </c>
      <c r="F47" s="7" t="s">
        <v>77</v>
      </c>
      <c r="G47" s="7" t="s">
        <v>134</v>
      </c>
      <c r="H47" s="7" t="s">
        <v>91</v>
      </c>
      <c r="I47" s="7" t="s">
        <v>168</v>
      </c>
      <c r="J47" s="7">
        <v>1</v>
      </c>
      <c r="K47" s="9">
        <v>3581.55</v>
      </c>
      <c r="L47" s="9">
        <v>3044.32</v>
      </c>
      <c r="M47" s="10">
        <v>15</v>
      </c>
      <c r="N47" s="49">
        <v>226.58</v>
      </c>
      <c r="O47" s="9">
        <v>289.56</v>
      </c>
      <c r="P47" s="7" t="s">
        <v>64</v>
      </c>
      <c r="Q47" s="7" t="s">
        <v>26</v>
      </c>
      <c r="R47" s="28">
        <f t="shared" si="0"/>
        <v>7.4427129868082198E-2</v>
      </c>
    </row>
    <row r="48" spans="1:18" x14ac:dyDescent="0.3">
      <c r="A48" s="3" t="s">
        <v>202</v>
      </c>
      <c r="B48" s="4">
        <v>45319</v>
      </c>
      <c r="C48" s="3" t="s">
        <v>203</v>
      </c>
      <c r="D48" s="3" t="s">
        <v>29</v>
      </c>
      <c r="E48" s="3" t="s">
        <v>20</v>
      </c>
      <c r="F48" s="3" t="s">
        <v>129</v>
      </c>
      <c r="G48" s="3" t="s">
        <v>42</v>
      </c>
      <c r="H48" s="3" t="s">
        <v>81</v>
      </c>
      <c r="I48" s="3" t="s">
        <v>82</v>
      </c>
      <c r="J48" s="3">
        <v>5</v>
      </c>
      <c r="K48" s="5">
        <v>908.96</v>
      </c>
      <c r="L48" s="5">
        <v>4090.32</v>
      </c>
      <c r="M48" s="6">
        <v>10</v>
      </c>
      <c r="N48" s="48">
        <v>404.21</v>
      </c>
      <c r="O48" s="5">
        <v>263.93</v>
      </c>
      <c r="P48" s="3" t="s">
        <v>45</v>
      </c>
      <c r="Q48" s="3" t="s">
        <v>36</v>
      </c>
      <c r="R48" s="28">
        <f t="shared" si="0"/>
        <v>9.88211191300436E-2</v>
      </c>
    </row>
    <row r="49" spans="1:18" x14ac:dyDescent="0.3">
      <c r="A49" s="7" t="s">
        <v>204</v>
      </c>
      <c r="B49" s="8">
        <v>45320</v>
      </c>
      <c r="C49" s="7" t="s">
        <v>205</v>
      </c>
      <c r="D49" s="7" t="s">
        <v>39</v>
      </c>
      <c r="E49" s="7" t="s">
        <v>60</v>
      </c>
      <c r="F49" s="7" t="s">
        <v>72</v>
      </c>
      <c r="G49" s="7" t="s">
        <v>49</v>
      </c>
      <c r="H49" s="7" t="s">
        <v>91</v>
      </c>
      <c r="I49" s="7" t="s">
        <v>206</v>
      </c>
      <c r="J49" s="7">
        <v>1</v>
      </c>
      <c r="K49" s="9">
        <v>6053.18</v>
      </c>
      <c r="L49" s="9">
        <v>5447.86</v>
      </c>
      <c r="M49" s="10">
        <v>10</v>
      </c>
      <c r="N49" s="49">
        <v>816.79</v>
      </c>
      <c r="O49" s="9">
        <v>122.38</v>
      </c>
      <c r="P49" s="7" t="s">
        <v>64</v>
      </c>
      <c r="Q49" s="7" t="s">
        <v>26</v>
      </c>
      <c r="R49" s="28">
        <f t="shared" si="0"/>
        <v>0.14992859581560466</v>
      </c>
    </row>
    <row r="50" spans="1:18" x14ac:dyDescent="0.3">
      <c r="A50" s="3" t="s">
        <v>207</v>
      </c>
      <c r="B50" s="4">
        <v>45320</v>
      </c>
      <c r="C50" s="3" t="s">
        <v>178</v>
      </c>
      <c r="D50" s="3" t="s">
        <v>29</v>
      </c>
      <c r="E50" s="3" t="s">
        <v>20</v>
      </c>
      <c r="F50" s="3" t="s">
        <v>21</v>
      </c>
      <c r="G50" s="3" t="s">
        <v>42</v>
      </c>
      <c r="H50" s="3" t="s">
        <v>43</v>
      </c>
      <c r="I50" s="3" t="s">
        <v>208</v>
      </c>
      <c r="J50" s="3">
        <v>1</v>
      </c>
      <c r="K50" s="5">
        <v>556.04</v>
      </c>
      <c r="L50" s="5">
        <v>500.44</v>
      </c>
      <c r="M50" s="6">
        <v>10</v>
      </c>
      <c r="N50" s="48">
        <v>41.85</v>
      </c>
      <c r="O50" s="5">
        <v>193.75</v>
      </c>
      <c r="P50" s="3" t="s">
        <v>64</v>
      </c>
      <c r="Q50" s="3" t="s">
        <v>57</v>
      </c>
      <c r="R50" s="28">
        <f t="shared" si="0"/>
        <v>8.3626408760290941E-2</v>
      </c>
    </row>
    <row r="51" spans="1:18" x14ac:dyDescent="0.3">
      <c r="A51" s="7" t="s">
        <v>209</v>
      </c>
      <c r="B51" s="8">
        <v>45323</v>
      </c>
      <c r="C51" s="7" t="s">
        <v>210</v>
      </c>
      <c r="D51" s="7" t="s">
        <v>39</v>
      </c>
      <c r="E51" s="7" t="s">
        <v>60</v>
      </c>
      <c r="F51" s="7" t="s">
        <v>61</v>
      </c>
      <c r="G51" s="7" t="s">
        <v>32</v>
      </c>
      <c r="H51" s="7" t="s">
        <v>86</v>
      </c>
      <c r="I51" s="7" t="s">
        <v>211</v>
      </c>
      <c r="J51" s="7">
        <v>1</v>
      </c>
      <c r="K51" s="9">
        <v>3400</v>
      </c>
      <c r="L51" s="9">
        <v>3230</v>
      </c>
      <c r="M51" s="10">
        <v>5</v>
      </c>
      <c r="N51" s="49">
        <v>474.99</v>
      </c>
      <c r="O51" s="9">
        <v>82.71</v>
      </c>
      <c r="P51" s="7" t="s">
        <v>45</v>
      </c>
      <c r="Q51" s="7" t="s">
        <v>65</v>
      </c>
      <c r="R51" s="28">
        <f t="shared" si="0"/>
        <v>0.14705572755417956</v>
      </c>
    </row>
    <row r="52" spans="1:18" x14ac:dyDescent="0.3">
      <c r="A52" s="3" t="s">
        <v>212</v>
      </c>
      <c r="B52" s="4">
        <v>45324</v>
      </c>
      <c r="C52" s="3" t="s">
        <v>213</v>
      </c>
      <c r="D52" s="3" t="s">
        <v>39</v>
      </c>
      <c r="E52" s="3" t="s">
        <v>60</v>
      </c>
      <c r="F52" s="3" t="s">
        <v>104</v>
      </c>
      <c r="G52" s="3" t="s">
        <v>32</v>
      </c>
      <c r="H52" s="3" t="s">
        <v>73</v>
      </c>
      <c r="I52" s="3" t="s">
        <v>214</v>
      </c>
      <c r="J52" s="3">
        <v>1</v>
      </c>
      <c r="K52" s="5">
        <v>2130.0300000000002</v>
      </c>
      <c r="L52" s="5">
        <v>1597.52</v>
      </c>
      <c r="M52" s="6">
        <v>25</v>
      </c>
      <c r="N52" s="48">
        <v>8.56</v>
      </c>
      <c r="O52" s="5">
        <v>281.5</v>
      </c>
      <c r="P52" s="3" t="s">
        <v>35</v>
      </c>
      <c r="Q52" s="3" t="s">
        <v>26</v>
      </c>
      <c r="R52" s="28">
        <f t="shared" si="0"/>
        <v>5.3583053733286595E-3</v>
      </c>
    </row>
    <row r="53" spans="1:18" x14ac:dyDescent="0.3">
      <c r="A53" s="7" t="s">
        <v>215</v>
      </c>
      <c r="B53" s="8">
        <v>45327</v>
      </c>
      <c r="C53" s="7" t="s">
        <v>216</v>
      </c>
      <c r="D53" s="7" t="s">
        <v>29</v>
      </c>
      <c r="E53" s="7" t="s">
        <v>30</v>
      </c>
      <c r="F53" s="7" t="s">
        <v>48</v>
      </c>
      <c r="G53" s="7" t="s">
        <v>117</v>
      </c>
      <c r="H53" s="7" t="s">
        <v>125</v>
      </c>
      <c r="I53" s="7" t="s">
        <v>217</v>
      </c>
      <c r="J53" s="7">
        <v>3</v>
      </c>
      <c r="K53" s="9">
        <v>397.01</v>
      </c>
      <c r="L53" s="9">
        <v>1191.03</v>
      </c>
      <c r="M53" s="10">
        <v>0</v>
      </c>
      <c r="N53" s="49">
        <v>317.2</v>
      </c>
      <c r="O53" s="9">
        <v>346.14</v>
      </c>
      <c r="P53" s="7" t="s">
        <v>83</v>
      </c>
      <c r="Q53" s="7" t="s">
        <v>26</v>
      </c>
      <c r="R53" s="28">
        <f t="shared" si="0"/>
        <v>0.26632410602587675</v>
      </c>
    </row>
    <row r="54" spans="1:18" x14ac:dyDescent="0.3">
      <c r="A54" s="3" t="s">
        <v>218</v>
      </c>
      <c r="B54" s="4">
        <v>45328</v>
      </c>
      <c r="C54" s="3" t="s">
        <v>219</v>
      </c>
      <c r="D54" s="3" t="s">
        <v>39</v>
      </c>
      <c r="E54" s="3" t="s">
        <v>60</v>
      </c>
      <c r="F54" s="3" t="s">
        <v>61</v>
      </c>
      <c r="G54" s="3" t="s">
        <v>134</v>
      </c>
      <c r="H54" s="3" t="s">
        <v>139</v>
      </c>
      <c r="I54" s="3" t="s">
        <v>220</v>
      </c>
      <c r="J54" s="3">
        <v>1</v>
      </c>
      <c r="K54" s="5">
        <v>4198.9399999999996</v>
      </c>
      <c r="L54" s="5">
        <v>4198.9399999999996</v>
      </c>
      <c r="M54" s="6">
        <v>0</v>
      </c>
      <c r="N54" s="48">
        <v>963.78</v>
      </c>
      <c r="O54" s="5">
        <v>167.02</v>
      </c>
      <c r="P54" s="3" t="s">
        <v>35</v>
      </c>
      <c r="Q54" s="3" t="s">
        <v>65</v>
      </c>
      <c r="R54" s="28">
        <f t="shared" si="0"/>
        <v>0.22952935740925093</v>
      </c>
    </row>
    <row r="55" spans="1:18" x14ac:dyDescent="0.3">
      <c r="A55" s="7" t="s">
        <v>221</v>
      </c>
      <c r="B55" s="8">
        <v>45329</v>
      </c>
      <c r="C55" s="7" t="s">
        <v>222</v>
      </c>
      <c r="D55" s="7" t="s">
        <v>39</v>
      </c>
      <c r="E55" s="7" t="s">
        <v>30</v>
      </c>
      <c r="F55" s="7" t="s">
        <v>31</v>
      </c>
      <c r="G55" s="7" t="s">
        <v>42</v>
      </c>
      <c r="H55" s="7" t="s">
        <v>172</v>
      </c>
      <c r="I55" s="7" t="s">
        <v>223</v>
      </c>
      <c r="J55" s="7">
        <v>1</v>
      </c>
      <c r="K55" s="9">
        <v>325.23</v>
      </c>
      <c r="L55" s="9">
        <v>292.70999999999998</v>
      </c>
      <c r="M55" s="10">
        <v>10</v>
      </c>
      <c r="N55" s="49">
        <v>21.11</v>
      </c>
      <c r="O55" s="9">
        <v>88.02</v>
      </c>
      <c r="P55" s="7" t="s">
        <v>64</v>
      </c>
      <c r="Q55" s="7" t="s">
        <v>57</v>
      </c>
      <c r="R55" s="28">
        <f t="shared" si="0"/>
        <v>7.2119162310819579E-2</v>
      </c>
    </row>
    <row r="56" spans="1:18" x14ac:dyDescent="0.3">
      <c r="A56" s="3" t="s">
        <v>224</v>
      </c>
      <c r="B56" s="4">
        <v>45330</v>
      </c>
      <c r="C56" s="3" t="s">
        <v>225</v>
      </c>
      <c r="D56" s="3" t="s">
        <v>19</v>
      </c>
      <c r="E56" s="3" t="s">
        <v>30</v>
      </c>
      <c r="F56" s="3" t="s">
        <v>226</v>
      </c>
      <c r="G56" s="3" t="s">
        <v>32</v>
      </c>
      <c r="H56" s="3" t="s">
        <v>86</v>
      </c>
      <c r="I56" s="3" t="s">
        <v>227</v>
      </c>
      <c r="J56" s="3">
        <v>4</v>
      </c>
      <c r="K56" s="5">
        <v>5439.64</v>
      </c>
      <c r="L56" s="5">
        <v>20670.63</v>
      </c>
      <c r="M56" s="6">
        <v>5</v>
      </c>
      <c r="N56" s="48">
        <v>2191.64</v>
      </c>
      <c r="O56" s="5">
        <v>156.18</v>
      </c>
      <c r="P56" s="3" t="s">
        <v>64</v>
      </c>
      <c r="Q56" s="3" t="s">
        <v>65</v>
      </c>
      <c r="R56" s="28">
        <f t="shared" si="0"/>
        <v>0.10602676357711399</v>
      </c>
    </row>
    <row r="57" spans="1:18" x14ac:dyDescent="0.3">
      <c r="A57" s="7" t="s">
        <v>228</v>
      </c>
      <c r="B57" s="8">
        <v>45331</v>
      </c>
      <c r="C57" s="7" t="s">
        <v>229</v>
      </c>
      <c r="D57" s="7" t="s">
        <v>39</v>
      </c>
      <c r="E57" s="7" t="s">
        <v>20</v>
      </c>
      <c r="F57" s="7" t="s">
        <v>129</v>
      </c>
      <c r="G57" s="7" t="s">
        <v>32</v>
      </c>
      <c r="H57" s="7" t="s">
        <v>73</v>
      </c>
      <c r="I57" s="7" t="s">
        <v>230</v>
      </c>
      <c r="J57" s="7">
        <v>5</v>
      </c>
      <c r="K57" s="9">
        <v>6962.49</v>
      </c>
      <c r="L57" s="9">
        <v>33071.83</v>
      </c>
      <c r="M57" s="10">
        <v>5</v>
      </c>
      <c r="N57" s="49">
        <v>5020.13</v>
      </c>
      <c r="O57" s="9">
        <v>175.45</v>
      </c>
      <c r="P57" s="7" t="s">
        <v>83</v>
      </c>
      <c r="Q57" s="7" t="s">
        <v>26</v>
      </c>
      <c r="R57" s="28">
        <f t="shared" si="0"/>
        <v>0.15179474495363576</v>
      </c>
    </row>
    <row r="58" spans="1:18" x14ac:dyDescent="0.3">
      <c r="A58" s="3" t="s">
        <v>231</v>
      </c>
      <c r="B58" s="4">
        <v>45331</v>
      </c>
      <c r="C58" s="3" t="s">
        <v>232</v>
      </c>
      <c r="D58" s="3" t="s">
        <v>29</v>
      </c>
      <c r="E58" s="3" t="s">
        <v>60</v>
      </c>
      <c r="F58" s="3" t="s">
        <v>104</v>
      </c>
      <c r="G58" s="3" t="s">
        <v>32</v>
      </c>
      <c r="H58" s="3" t="s">
        <v>86</v>
      </c>
      <c r="I58" s="3" t="s">
        <v>233</v>
      </c>
      <c r="J58" s="3">
        <v>4</v>
      </c>
      <c r="K58" s="5">
        <v>8484.75</v>
      </c>
      <c r="L58" s="5">
        <v>28848.15</v>
      </c>
      <c r="M58" s="6">
        <v>15</v>
      </c>
      <c r="N58" s="48">
        <v>3746.63</v>
      </c>
      <c r="O58" s="5">
        <v>76.7</v>
      </c>
      <c r="P58" s="3" t="s">
        <v>64</v>
      </c>
      <c r="Q58" s="3" t="s">
        <v>65</v>
      </c>
      <c r="R58" s="28">
        <f t="shared" si="0"/>
        <v>0.12987418603965939</v>
      </c>
    </row>
    <row r="59" spans="1:18" x14ac:dyDescent="0.3">
      <c r="A59" s="7" t="s">
        <v>234</v>
      </c>
      <c r="B59" s="8">
        <v>45332</v>
      </c>
      <c r="C59" s="7" t="s">
        <v>235</v>
      </c>
      <c r="D59" s="7" t="s">
        <v>29</v>
      </c>
      <c r="E59" s="7" t="s">
        <v>30</v>
      </c>
      <c r="F59" s="7" t="s">
        <v>31</v>
      </c>
      <c r="G59" s="7" t="s">
        <v>117</v>
      </c>
      <c r="H59" s="7" t="s">
        <v>118</v>
      </c>
      <c r="I59" s="7" t="s">
        <v>119</v>
      </c>
      <c r="J59" s="7">
        <v>1</v>
      </c>
      <c r="K59" s="9">
        <v>2304.41</v>
      </c>
      <c r="L59" s="9">
        <v>2304.41</v>
      </c>
      <c r="M59" s="10">
        <v>0</v>
      </c>
      <c r="N59" s="49">
        <v>625.85</v>
      </c>
      <c r="O59" s="9">
        <v>60.53</v>
      </c>
      <c r="P59" s="7" t="s">
        <v>45</v>
      </c>
      <c r="Q59" s="7" t="s">
        <v>65</v>
      </c>
      <c r="R59" s="28">
        <f t="shared" si="0"/>
        <v>0.27158795526837676</v>
      </c>
    </row>
    <row r="60" spans="1:18" x14ac:dyDescent="0.3">
      <c r="A60" s="3" t="s">
        <v>236</v>
      </c>
      <c r="B60" s="4">
        <v>45333</v>
      </c>
      <c r="C60" s="3" t="s">
        <v>237</v>
      </c>
      <c r="D60" s="3" t="s">
        <v>19</v>
      </c>
      <c r="E60" s="3" t="s">
        <v>60</v>
      </c>
      <c r="F60" s="3" t="s">
        <v>104</v>
      </c>
      <c r="G60" s="3" t="s">
        <v>22</v>
      </c>
      <c r="H60" s="3" t="s">
        <v>23</v>
      </c>
      <c r="I60" s="3" t="s">
        <v>238</v>
      </c>
      <c r="J60" s="3">
        <v>2</v>
      </c>
      <c r="K60" s="5">
        <v>63357.04</v>
      </c>
      <c r="L60" s="5">
        <v>107706.97</v>
      </c>
      <c r="M60" s="6">
        <v>15</v>
      </c>
      <c r="N60" s="48">
        <v>4460.93</v>
      </c>
      <c r="O60" s="5">
        <v>363.7</v>
      </c>
      <c r="P60" s="3" t="s">
        <v>25</v>
      </c>
      <c r="Q60" s="3" t="s">
        <v>26</v>
      </c>
      <c r="R60" s="28">
        <f t="shared" si="0"/>
        <v>4.1417282465563747E-2</v>
      </c>
    </row>
    <row r="61" spans="1:18" x14ac:dyDescent="0.3">
      <c r="A61" s="7" t="s">
        <v>239</v>
      </c>
      <c r="B61" s="8">
        <v>45333</v>
      </c>
      <c r="C61" s="7" t="s">
        <v>240</v>
      </c>
      <c r="D61" s="7" t="s">
        <v>29</v>
      </c>
      <c r="E61" s="7" t="s">
        <v>60</v>
      </c>
      <c r="F61" s="7" t="s">
        <v>68</v>
      </c>
      <c r="G61" s="7" t="s">
        <v>42</v>
      </c>
      <c r="H61" s="7" t="s">
        <v>43</v>
      </c>
      <c r="I61" s="7" t="s">
        <v>208</v>
      </c>
      <c r="J61" s="7">
        <v>2</v>
      </c>
      <c r="K61" s="9">
        <v>755.34</v>
      </c>
      <c r="L61" s="9">
        <v>1435.15</v>
      </c>
      <c r="M61" s="10">
        <v>5</v>
      </c>
      <c r="N61" s="49">
        <v>254.84</v>
      </c>
      <c r="O61" s="9">
        <v>132.69999999999999</v>
      </c>
      <c r="P61" s="7" t="s">
        <v>35</v>
      </c>
      <c r="Q61" s="7" t="s">
        <v>57</v>
      </c>
      <c r="R61" s="28">
        <f t="shared" si="0"/>
        <v>0.17757028881998396</v>
      </c>
    </row>
    <row r="62" spans="1:18" x14ac:dyDescent="0.3">
      <c r="A62" s="3" t="s">
        <v>241</v>
      </c>
      <c r="B62" s="4">
        <v>45333</v>
      </c>
      <c r="C62" s="3" t="s">
        <v>201</v>
      </c>
      <c r="D62" s="3" t="s">
        <v>19</v>
      </c>
      <c r="E62" s="3" t="s">
        <v>30</v>
      </c>
      <c r="F62" s="3" t="s">
        <v>48</v>
      </c>
      <c r="G62" s="3" t="s">
        <v>42</v>
      </c>
      <c r="H62" s="3" t="s">
        <v>43</v>
      </c>
      <c r="I62" s="3" t="s">
        <v>44</v>
      </c>
      <c r="J62" s="3">
        <v>1</v>
      </c>
      <c r="K62" s="5">
        <v>632.66999999999996</v>
      </c>
      <c r="L62" s="5">
        <v>632.66999999999996</v>
      </c>
      <c r="M62" s="6">
        <v>0</v>
      </c>
      <c r="N62" s="48">
        <v>38.58</v>
      </c>
      <c r="O62" s="5">
        <v>54.3</v>
      </c>
      <c r="P62" s="3" t="s">
        <v>64</v>
      </c>
      <c r="Q62" s="3" t="s">
        <v>26</v>
      </c>
      <c r="R62" s="28">
        <f t="shared" si="0"/>
        <v>6.0979657641424441E-2</v>
      </c>
    </row>
    <row r="63" spans="1:18" x14ac:dyDescent="0.3">
      <c r="A63" s="7" t="s">
        <v>242</v>
      </c>
      <c r="B63" s="8">
        <v>45334</v>
      </c>
      <c r="C63" s="7" t="s">
        <v>243</v>
      </c>
      <c r="D63" s="7" t="s">
        <v>39</v>
      </c>
      <c r="E63" s="7" t="s">
        <v>30</v>
      </c>
      <c r="F63" s="7" t="s">
        <v>48</v>
      </c>
      <c r="G63" s="7" t="s">
        <v>134</v>
      </c>
      <c r="H63" s="7" t="s">
        <v>244</v>
      </c>
      <c r="I63" s="7" t="s">
        <v>245</v>
      </c>
      <c r="J63" s="7">
        <v>2</v>
      </c>
      <c r="K63" s="9">
        <v>1308.6099999999999</v>
      </c>
      <c r="L63" s="9">
        <v>2355.5</v>
      </c>
      <c r="M63" s="10">
        <v>10</v>
      </c>
      <c r="N63" s="49">
        <v>420.06</v>
      </c>
      <c r="O63" s="9">
        <v>103.2</v>
      </c>
      <c r="P63" s="7" t="s">
        <v>25</v>
      </c>
      <c r="Q63" s="7" t="s">
        <v>26</v>
      </c>
      <c r="R63" s="28">
        <f t="shared" si="0"/>
        <v>0.17833156442368925</v>
      </c>
    </row>
    <row r="64" spans="1:18" x14ac:dyDescent="0.3">
      <c r="A64" s="3" t="s">
        <v>246</v>
      </c>
      <c r="B64" s="4">
        <v>45334</v>
      </c>
      <c r="C64" s="3" t="s">
        <v>247</v>
      </c>
      <c r="D64" s="3" t="s">
        <v>39</v>
      </c>
      <c r="E64" s="3" t="s">
        <v>20</v>
      </c>
      <c r="F64" s="3" t="s">
        <v>129</v>
      </c>
      <c r="G64" s="3" t="s">
        <v>42</v>
      </c>
      <c r="H64" s="3" t="s">
        <v>81</v>
      </c>
      <c r="I64" s="3" t="s">
        <v>248</v>
      </c>
      <c r="J64" s="3">
        <v>1</v>
      </c>
      <c r="K64" s="5">
        <v>819.57</v>
      </c>
      <c r="L64" s="5">
        <v>778.59</v>
      </c>
      <c r="M64" s="6">
        <v>5</v>
      </c>
      <c r="N64" s="48">
        <v>105</v>
      </c>
      <c r="O64" s="5">
        <v>107.45</v>
      </c>
      <c r="P64" s="3" t="s">
        <v>25</v>
      </c>
      <c r="Q64" s="3" t="s">
        <v>65</v>
      </c>
      <c r="R64" s="28">
        <f t="shared" si="0"/>
        <v>0.13485916849689825</v>
      </c>
    </row>
    <row r="65" spans="1:18" x14ac:dyDescent="0.3">
      <c r="A65" s="7" t="s">
        <v>249</v>
      </c>
      <c r="B65" s="8">
        <v>45334</v>
      </c>
      <c r="C65" s="7" t="s">
        <v>250</v>
      </c>
      <c r="D65" s="7" t="s">
        <v>29</v>
      </c>
      <c r="E65" s="7" t="s">
        <v>40</v>
      </c>
      <c r="F65" s="7" t="s">
        <v>109</v>
      </c>
      <c r="G65" s="7" t="s">
        <v>22</v>
      </c>
      <c r="H65" s="7" t="s">
        <v>105</v>
      </c>
      <c r="I65" s="7" t="s">
        <v>251</v>
      </c>
      <c r="J65" s="7">
        <v>1</v>
      </c>
      <c r="K65" s="9">
        <v>13691.47</v>
      </c>
      <c r="L65" s="9">
        <v>11637.75</v>
      </c>
      <c r="M65" s="10">
        <v>15</v>
      </c>
      <c r="N65" s="49">
        <v>376.42</v>
      </c>
      <c r="O65" s="9">
        <v>52.2</v>
      </c>
      <c r="P65" s="7" t="s">
        <v>83</v>
      </c>
      <c r="Q65" s="7" t="s">
        <v>65</v>
      </c>
      <c r="R65" s="28">
        <f t="shared" si="0"/>
        <v>3.2344740177439796E-2</v>
      </c>
    </row>
    <row r="66" spans="1:18" x14ac:dyDescent="0.3">
      <c r="A66" s="3" t="s">
        <v>252</v>
      </c>
      <c r="B66" s="4">
        <v>45335</v>
      </c>
      <c r="C66" s="3" t="s">
        <v>253</v>
      </c>
      <c r="D66" s="3" t="s">
        <v>29</v>
      </c>
      <c r="E66" s="3" t="s">
        <v>30</v>
      </c>
      <c r="F66" s="3" t="s">
        <v>48</v>
      </c>
      <c r="G66" s="3" t="s">
        <v>22</v>
      </c>
      <c r="H66" s="3" t="s">
        <v>105</v>
      </c>
      <c r="I66" s="3" t="s">
        <v>157</v>
      </c>
      <c r="J66" s="3">
        <v>1</v>
      </c>
      <c r="K66" s="5">
        <v>35569.17</v>
      </c>
      <c r="L66" s="5">
        <v>33790.71</v>
      </c>
      <c r="M66" s="6">
        <v>5</v>
      </c>
      <c r="N66" s="48">
        <v>720.68</v>
      </c>
      <c r="O66" s="5">
        <v>240.17</v>
      </c>
      <c r="P66" s="3" t="s">
        <v>64</v>
      </c>
      <c r="Q66" s="3" t="s">
        <v>26</v>
      </c>
      <c r="R66" s="28">
        <f t="shared" si="0"/>
        <v>2.1327755468884789E-2</v>
      </c>
    </row>
    <row r="67" spans="1:18" x14ac:dyDescent="0.3">
      <c r="A67" s="7" t="s">
        <v>254</v>
      </c>
      <c r="B67" s="8">
        <v>45336</v>
      </c>
      <c r="C67" s="7" t="s">
        <v>255</v>
      </c>
      <c r="D67" s="7" t="s">
        <v>39</v>
      </c>
      <c r="E67" s="7" t="s">
        <v>60</v>
      </c>
      <c r="F67" s="7" t="s">
        <v>68</v>
      </c>
      <c r="G67" s="7" t="s">
        <v>49</v>
      </c>
      <c r="H67" s="7" t="s">
        <v>50</v>
      </c>
      <c r="I67" s="7" t="s">
        <v>95</v>
      </c>
      <c r="J67" s="7">
        <v>2</v>
      </c>
      <c r="K67" s="9">
        <v>5294.85</v>
      </c>
      <c r="L67" s="9">
        <v>9530.73</v>
      </c>
      <c r="M67" s="10">
        <v>10</v>
      </c>
      <c r="N67" s="49">
        <v>1037.2</v>
      </c>
      <c r="O67" s="9">
        <v>357.33</v>
      </c>
      <c r="P67" s="7" t="s">
        <v>45</v>
      </c>
      <c r="Q67" s="7" t="s">
        <v>57</v>
      </c>
      <c r="R67" s="28">
        <f t="shared" ref="R67:R130" si="1">N67/L67</f>
        <v>0.108826920917915</v>
      </c>
    </row>
    <row r="68" spans="1:18" x14ac:dyDescent="0.3">
      <c r="A68" s="3" t="s">
        <v>256</v>
      </c>
      <c r="B68" s="4">
        <v>45337</v>
      </c>
      <c r="C68" s="3" t="s">
        <v>257</v>
      </c>
      <c r="D68" s="3" t="s">
        <v>29</v>
      </c>
      <c r="E68" s="3" t="s">
        <v>20</v>
      </c>
      <c r="F68" s="3" t="s">
        <v>129</v>
      </c>
      <c r="G68" s="3" t="s">
        <v>49</v>
      </c>
      <c r="H68" s="3" t="s">
        <v>98</v>
      </c>
      <c r="I68" s="3" t="s">
        <v>258</v>
      </c>
      <c r="J68" s="3">
        <v>2</v>
      </c>
      <c r="K68" s="5">
        <v>5132.25</v>
      </c>
      <c r="L68" s="5">
        <v>8211.6</v>
      </c>
      <c r="M68" s="6">
        <v>20</v>
      </c>
      <c r="N68" s="48">
        <v>249.97</v>
      </c>
      <c r="O68" s="5">
        <v>165.54</v>
      </c>
      <c r="P68" s="3" t="s">
        <v>35</v>
      </c>
      <c r="Q68" s="3" t="s">
        <v>57</v>
      </c>
      <c r="R68" s="28">
        <f t="shared" si="1"/>
        <v>3.0441083345511228E-2</v>
      </c>
    </row>
    <row r="69" spans="1:18" x14ac:dyDescent="0.3">
      <c r="A69" s="7" t="s">
        <v>259</v>
      </c>
      <c r="B69" s="8">
        <v>45338</v>
      </c>
      <c r="C69" s="7" t="s">
        <v>138</v>
      </c>
      <c r="D69" s="7" t="s">
        <v>39</v>
      </c>
      <c r="E69" s="7" t="s">
        <v>20</v>
      </c>
      <c r="F69" s="7" t="s">
        <v>54</v>
      </c>
      <c r="G69" s="7" t="s">
        <v>22</v>
      </c>
      <c r="H69" s="7" t="s">
        <v>55</v>
      </c>
      <c r="I69" s="7" t="s">
        <v>150</v>
      </c>
      <c r="J69" s="7">
        <v>3</v>
      </c>
      <c r="K69" s="9">
        <v>3082.36</v>
      </c>
      <c r="L69" s="9">
        <v>8784.73</v>
      </c>
      <c r="M69" s="10">
        <v>5</v>
      </c>
      <c r="N69" s="49">
        <v>840.03</v>
      </c>
      <c r="O69" s="9">
        <v>173.91</v>
      </c>
      <c r="P69" s="7" t="s">
        <v>83</v>
      </c>
      <c r="Q69" s="7" t="s">
        <v>65</v>
      </c>
      <c r="R69" s="28">
        <f t="shared" si="1"/>
        <v>9.5623883716403346E-2</v>
      </c>
    </row>
    <row r="70" spans="1:18" x14ac:dyDescent="0.3">
      <c r="A70" s="3" t="s">
        <v>260</v>
      </c>
      <c r="B70" s="4">
        <v>45339</v>
      </c>
      <c r="C70" s="3" t="s">
        <v>261</v>
      </c>
      <c r="D70" s="3" t="s">
        <v>19</v>
      </c>
      <c r="E70" s="3" t="s">
        <v>60</v>
      </c>
      <c r="F70" s="3" t="s">
        <v>104</v>
      </c>
      <c r="G70" s="3" t="s">
        <v>32</v>
      </c>
      <c r="H70" s="3" t="s">
        <v>86</v>
      </c>
      <c r="I70" s="3" t="s">
        <v>211</v>
      </c>
      <c r="J70" s="3">
        <v>2</v>
      </c>
      <c r="K70" s="5">
        <v>2456.9899999999998</v>
      </c>
      <c r="L70" s="5">
        <v>4913.9799999999996</v>
      </c>
      <c r="M70" s="6">
        <v>0</v>
      </c>
      <c r="N70" s="48">
        <v>1109.57</v>
      </c>
      <c r="O70" s="5">
        <v>273.77</v>
      </c>
      <c r="P70" s="3" t="s">
        <v>25</v>
      </c>
      <c r="Q70" s="3" t="s">
        <v>57</v>
      </c>
      <c r="R70" s="28">
        <f t="shared" si="1"/>
        <v>0.22579863979910378</v>
      </c>
    </row>
    <row r="71" spans="1:18" x14ac:dyDescent="0.3">
      <c r="A71" s="7" t="s">
        <v>262</v>
      </c>
      <c r="B71" s="8">
        <v>45341</v>
      </c>
      <c r="C71" s="7" t="s">
        <v>263</v>
      </c>
      <c r="D71" s="7" t="s">
        <v>39</v>
      </c>
      <c r="E71" s="7" t="s">
        <v>20</v>
      </c>
      <c r="F71" s="7" t="s">
        <v>129</v>
      </c>
      <c r="G71" s="7" t="s">
        <v>49</v>
      </c>
      <c r="H71" s="7" t="s">
        <v>62</v>
      </c>
      <c r="I71" s="7" t="s">
        <v>122</v>
      </c>
      <c r="J71" s="7">
        <v>1</v>
      </c>
      <c r="K71" s="9">
        <v>984.57</v>
      </c>
      <c r="L71" s="9">
        <v>787.66</v>
      </c>
      <c r="M71" s="10">
        <v>20</v>
      </c>
      <c r="N71" s="49">
        <v>21.96</v>
      </c>
      <c r="O71" s="9">
        <v>268.32</v>
      </c>
      <c r="P71" s="7" t="s">
        <v>25</v>
      </c>
      <c r="Q71" s="7" t="s">
        <v>57</v>
      </c>
      <c r="R71" s="28">
        <f t="shared" si="1"/>
        <v>2.7880049767666254E-2</v>
      </c>
    </row>
    <row r="72" spans="1:18" x14ac:dyDescent="0.3">
      <c r="A72" s="3" t="s">
        <v>264</v>
      </c>
      <c r="B72" s="4">
        <v>45342</v>
      </c>
      <c r="C72" s="3" t="s">
        <v>265</v>
      </c>
      <c r="D72" s="3" t="s">
        <v>39</v>
      </c>
      <c r="E72" s="3" t="s">
        <v>40</v>
      </c>
      <c r="F72" s="3" t="s">
        <v>90</v>
      </c>
      <c r="G72" s="3" t="s">
        <v>32</v>
      </c>
      <c r="H72" s="3" t="s">
        <v>73</v>
      </c>
      <c r="I72" s="3" t="s">
        <v>74</v>
      </c>
      <c r="J72" s="3">
        <v>1</v>
      </c>
      <c r="K72" s="5">
        <v>5800.94</v>
      </c>
      <c r="L72" s="5">
        <v>4930.8</v>
      </c>
      <c r="M72" s="6">
        <v>15</v>
      </c>
      <c r="N72" s="48">
        <v>2.84</v>
      </c>
      <c r="O72" s="5">
        <v>219.07</v>
      </c>
      <c r="P72" s="3" t="s">
        <v>83</v>
      </c>
      <c r="Q72" s="3" t="s">
        <v>65</v>
      </c>
      <c r="R72" s="28">
        <f t="shared" si="1"/>
        <v>5.759714447959763E-4</v>
      </c>
    </row>
    <row r="73" spans="1:18" x14ac:dyDescent="0.3">
      <c r="A73" s="7" t="s">
        <v>266</v>
      </c>
      <c r="B73" s="8">
        <v>45344</v>
      </c>
      <c r="C73" s="7" t="s">
        <v>267</v>
      </c>
      <c r="D73" s="7" t="s">
        <v>39</v>
      </c>
      <c r="E73" s="7" t="s">
        <v>60</v>
      </c>
      <c r="F73" s="7" t="s">
        <v>61</v>
      </c>
      <c r="G73" s="7" t="s">
        <v>49</v>
      </c>
      <c r="H73" s="7" t="s">
        <v>91</v>
      </c>
      <c r="I73" s="7" t="s">
        <v>188</v>
      </c>
      <c r="J73" s="7">
        <v>2</v>
      </c>
      <c r="K73" s="9">
        <v>8945.9</v>
      </c>
      <c r="L73" s="9">
        <v>15208.03</v>
      </c>
      <c r="M73" s="10">
        <v>15</v>
      </c>
      <c r="N73" s="49">
        <v>1746.2</v>
      </c>
      <c r="O73" s="9">
        <v>133.32</v>
      </c>
      <c r="P73" s="7" t="s">
        <v>45</v>
      </c>
      <c r="Q73" s="7" t="s">
        <v>26</v>
      </c>
      <c r="R73" s="28">
        <f t="shared" si="1"/>
        <v>0.11482092026383429</v>
      </c>
    </row>
    <row r="74" spans="1:18" x14ac:dyDescent="0.3">
      <c r="A74" s="3" t="s">
        <v>268</v>
      </c>
      <c r="B74" s="4">
        <v>45344</v>
      </c>
      <c r="C74" s="3" t="s">
        <v>269</v>
      </c>
      <c r="D74" s="3" t="s">
        <v>39</v>
      </c>
      <c r="E74" s="3" t="s">
        <v>20</v>
      </c>
      <c r="F74" s="3" t="s">
        <v>129</v>
      </c>
      <c r="G74" s="3" t="s">
        <v>134</v>
      </c>
      <c r="H74" s="3" t="s">
        <v>244</v>
      </c>
      <c r="I74" s="3" t="s">
        <v>270</v>
      </c>
      <c r="J74" s="3">
        <v>1</v>
      </c>
      <c r="K74" s="5">
        <v>1759.14</v>
      </c>
      <c r="L74" s="5">
        <v>1759.14</v>
      </c>
      <c r="M74" s="6">
        <v>0</v>
      </c>
      <c r="N74" s="48">
        <v>382.12</v>
      </c>
      <c r="O74" s="5">
        <v>96.92</v>
      </c>
      <c r="P74" s="3" t="s">
        <v>35</v>
      </c>
      <c r="Q74" s="3" t="s">
        <v>26</v>
      </c>
      <c r="R74" s="28">
        <f t="shared" si="1"/>
        <v>0.21721977784599292</v>
      </c>
    </row>
    <row r="75" spans="1:18" x14ac:dyDescent="0.3">
      <c r="A75" s="7" t="s">
        <v>271</v>
      </c>
      <c r="B75" s="8">
        <v>45344</v>
      </c>
      <c r="C75" s="7" t="s">
        <v>272</v>
      </c>
      <c r="D75" s="7" t="s">
        <v>39</v>
      </c>
      <c r="E75" s="7" t="s">
        <v>30</v>
      </c>
      <c r="F75" s="7" t="s">
        <v>31</v>
      </c>
      <c r="G75" s="7" t="s">
        <v>49</v>
      </c>
      <c r="H75" s="7" t="s">
        <v>91</v>
      </c>
      <c r="I75" s="7" t="s">
        <v>92</v>
      </c>
      <c r="J75" s="7">
        <v>2</v>
      </c>
      <c r="K75" s="9">
        <v>8017.83</v>
      </c>
      <c r="L75" s="9">
        <v>15233.88</v>
      </c>
      <c r="M75" s="10">
        <v>5</v>
      </c>
      <c r="N75" s="49">
        <v>3119.44</v>
      </c>
      <c r="O75" s="9">
        <v>70.63</v>
      </c>
      <c r="P75" s="7" t="s">
        <v>25</v>
      </c>
      <c r="Q75" s="7" t="s">
        <v>65</v>
      </c>
      <c r="R75" s="28">
        <f t="shared" si="1"/>
        <v>0.20476989447205834</v>
      </c>
    </row>
    <row r="76" spans="1:18" x14ac:dyDescent="0.3">
      <c r="A76" s="3" t="s">
        <v>273</v>
      </c>
      <c r="B76" s="4">
        <v>45345</v>
      </c>
      <c r="C76" s="3" t="s">
        <v>274</v>
      </c>
      <c r="D76" s="3" t="s">
        <v>39</v>
      </c>
      <c r="E76" s="3" t="s">
        <v>30</v>
      </c>
      <c r="F76" s="3" t="s">
        <v>48</v>
      </c>
      <c r="G76" s="3" t="s">
        <v>32</v>
      </c>
      <c r="H76" s="3" t="s">
        <v>73</v>
      </c>
      <c r="I76" s="3" t="s">
        <v>214</v>
      </c>
      <c r="J76" s="3">
        <v>1</v>
      </c>
      <c r="K76" s="5">
        <v>6630.16</v>
      </c>
      <c r="L76" s="5">
        <v>5967.14</v>
      </c>
      <c r="M76" s="6">
        <v>10</v>
      </c>
      <c r="N76" s="48">
        <v>1004.39</v>
      </c>
      <c r="O76" s="5">
        <v>116.89</v>
      </c>
      <c r="P76" s="3" t="s">
        <v>64</v>
      </c>
      <c r="Q76" s="3" t="s">
        <v>57</v>
      </c>
      <c r="R76" s="28">
        <f t="shared" si="1"/>
        <v>0.16832016678006548</v>
      </c>
    </row>
    <row r="77" spans="1:18" x14ac:dyDescent="0.3">
      <c r="A77" s="7" t="s">
        <v>275</v>
      </c>
      <c r="B77" s="8">
        <v>45345</v>
      </c>
      <c r="C77" s="7" t="s">
        <v>276</v>
      </c>
      <c r="D77" s="7" t="s">
        <v>39</v>
      </c>
      <c r="E77" s="7" t="s">
        <v>30</v>
      </c>
      <c r="F77" s="7" t="s">
        <v>48</v>
      </c>
      <c r="G77" s="7" t="s">
        <v>32</v>
      </c>
      <c r="H77" s="7" t="s">
        <v>73</v>
      </c>
      <c r="I77" s="7" t="s">
        <v>74</v>
      </c>
      <c r="J77" s="7">
        <v>1</v>
      </c>
      <c r="K77" s="9">
        <v>11641.59</v>
      </c>
      <c r="L77" s="9">
        <v>11059.51</v>
      </c>
      <c r="M77" s="10">
        <v>5</v>
      </c>
      <c r="N77" s="49">
        <v>2444.4299999999998</v>
      </c>
      <c r="O77" s="9">
        <v>252.73</v>
      </c>
      <c r="P77" s="7" t="s">
        <v>83</v>
      </c>
      <c r="Q77" s="7" t="s">
        <v>65</v>
      </c>
      <c r="R77" s="28">
        <f t="shared" si="1"/>
        <v>0.22102516295929928</v>
      </c>
    </row>
    <row r="78" spans="1:18" x14ac:dyDescent="0.3">
      <c r="A78" s="3" t="s">
        <v>277</v>
      </c>
      <c r="B78" s="4">
        <v>45349</v>
      </c>
      <c r="C78" s="3" t="s">
        <v>278</v>
      </c>
      <c r="D78" s="3" t="s">
        <v>29</v>
      </c>
      <c r="E78" s="3" t="s">
        <v>30</v>
      </c>
      <c r="F78" s="3" t="s">
        <v>226</v>
      </c>
      <c r="G78" s="3" t="s">
        <v>117</v>
      </c>
      <c r="H78" s="3" t="s">
        <v>118</v>
      </c>
      <c r="I78" s="3" t="s">
        <v>279</v>
      </c>
      <c r="J78" s="3">
        <v>3</v>
      </c>
      <c r="K78" s="5">
        <v>1247.92</v>
      </c>
      <c r="L78" s="5">
        <v>3743.76</v>
      </c>
      <c r="M78" s="6">
        <v>0</v>
      </c>
      <c r="N78" s="48">
        <v>1227.07</v>
      </c>
      <c r="O78" s="5">
        <v>277</v>
      </c>
      <c r="P78" s="3" t="s">
        <v>35</v>
      </c>
      <c r="Q78" s="3" t="s">
        <v>26</v>
      </c>
      <c r="R78" s="28">
        <f t="shared" si="1"/>
        <v>0.32776406607261144</v>
      </c>
    </row>
    <row r="79" spans="1:18" x14ac:dyDescent="0.3">
      <c r="A79" s="7" t="s">
        <v>280</v>
      </c>
      <c r="B79" s="8">
        <v>45349</v>
      </c>
      <c r="C79" s="7" t="s">
        <v>281</v>
      </c>
      <c r="D79" s="7" t="s">
        <v>39</v>
      </c>
      <c r="E79" s="7" t="s">
        <v>30</v>
      </c>
      <c r="F79" s="7" t="s">
        <v>48</v>
      </c>
      <c r="G79" s="7" t="s">
        <v>42</v>
      </c>
      <c r="H79" s="7" t="s">
        <v>43</v>
      </c>
      <c r="I79" s="7" t="s">
        <v>208</v>
      </c>
      <c r="J79" s="7">
        <v>3</v>
      </c>
      <c r="K79" s="9">
        <v>162.76</v>
      </c>
      <c r="L79" s="9">
        <v>463.87</v>
      </c>
      <c r="M79" s="10">
        <v>5</v>
      </c>
      <c r="N79" s="49">
        <v>46.36</v>
      </c>
      <c r="O79" s="9">
        <v>370.36</v>
      </c>
      <c r="P79" s="7" t="s">
        <v>64</v>
      </c>
      <c r="Q79" s="7" t="s">
        <v>26</v>
      </c>
      <c r="R79" s="28">
        <f t="shared" si="1"/>
        <v>9.9941794037122472E-2</v>
      </c>
    </row>
    <row r="80" spans="1:18" x14ac:dyDescent="0.3">
      <c r="A80" s="3" t="s">
        <v>282</v>
      </c>
      <c r="B80" s="4">
        <v>45349</v>
      </c>
      <c r="C80" s="3" t="s">
        <v>283</v>
      </c>
      <c r="D80" s="3" t="s">
        <v>29</v>
      </c>
      <c r="E80" s="3" t="s">
        <v>40</v>
      </c>
      <c r="F80" s="3" t="s">
        <v>109</v>
      </c>
      <c r="G80" s="3" t="s">
        <v>117</v>
      </c>
      <c r="H80" s="3" t="s">
        <v>153</v>
      </c>
      <c r="I80" s="3" t="s">
        <v>284</v>
      </c>
      <c r="J80" s="3">
        <v>3</v>
      </c>
      <c r="K80" s="5">
        <v>1926.68</v>
      </c>
      <c r="L80" s="5">
        <v>5202.04</v>
      </c>
      <c r="M80" s="6">
        <v>10</v>
      </c>
      <c r="N80" s="48">
        <v>1277.47</v>
      </c>
      <c r="O80" s="5">
        <v>238.55</v>
      </c>
      <c r="P80" s="3" t="s">
        <v>25</v>
      </c>
      <c r="Q80" s="3" t="s">
        <v>65</v>
      </c>
      <c r="R80" s="28">
        <f t="shared" si="1"/>
        <v>0.24557096831243128</v>
      </c>
    </row>
    <row r="81" spans="1:18" x14ac:dyDescent="0.3">
      <c r="A81" s="7" t="s">
        <v>285</v>
      </c>
      <c r="B81" s="8">
        <v>45349</v>
      </c>
      <c r="C81" s="7" t="s">
        <v>286</v>
      </c>
      <c r="D81" s="7" t="s">
        <v>29</v>
      </c>
      <c r="E81" s="7" t="s">
        <v>40</v>
      </c>
      <c r="F81" s="7" t="s">
        <v>109</v>
      </c>
      <c r="G81" s="7" t="s">
        <v>134</v>
      </c>
      <c r="H81" s="7" t="s">
        <v>135</v>
      </c>
      <c r="I81" s="7" t="s">
        <v>287</v>
      </c>
      <c r="J81" s="7">
        <v>4</v>
      </c>
      <c r="K81" s="9">
        <v>3984.89</v>
      </c>
      <c r="L81" s="9">
        <v>15939.56</v>
      </c>
      <c r="M81" s="10">
        <v>0</v>
      </c>
      <c r="N81" s="49">
        <v>4789.97</v>
      </c>
      <c r="O81" s="9">
        <v>386.8</v>
      </c>
      <c r="P81" s="7" t="s">
        <v>35</v>
      </c>
      <c r="Q81" s="7" t="s">
        <v>57</v>
      </c>
      <c r="R81" s="28">
        <f t="shared" si="1"/>
        <v>0.30050829508468241</v>
      </c>
    </row>
    <row r="82" spans="1:18" x14ac:dyDescent="0.3">
      <c r="A82" s="3" t="s">
        <v>288</v>
      </c>
      <c r="B82" s="4">
        <v>45349</v>
      </c>
      <c r="C82" s="3" t="s">
        <v>289</v>
      </c>
      <c r="D82" s="3" t="s">
        <v>39</v>
      </c>
      <c r="E82" s="3" t="s">
        <v>60</v>
      </c>
      <c r="F82" s="3" t="s">
        <v>104</v>
      </c>
      <c r="G82" s="3" t="s">
        <v>134</v>
      </c>
      <c r="H82" s="3" t="s">
        <v>139</v>
      </c>
      <c r="I82" s="3" t="s">
        <v>140</v>
      </c>
      <c r="J82" s="3">
        <v>1</v>
      </c>
      <c r="K82" s="5">
        <v>327.14999999999998</v>
      </c>
      <c r="L82" s="5">
        <v>261.72000000000003</v>
      </c>
      <c r="M82" s="6">
        <v>20</v>
      </c>
      <c r="N82" s="48">
        <v>5.65</v>
      </c>
      <c r="O82" s="5">
        <v>188.8</v>
      </c>
      <c r="P82" s="3" t="s">
        <v>35</v>
      </c>
      <c r="Q82" s="3" t="s">
        <v>57</v>
      </c>
      <c r="R82" s="28">
        <f t="shared" si="1"/>
        <v>2.1587956594834173E-2</v>
      </c>
    </row>
    <row r="83" spans="1:18" x14ac:dyDescent="0.3">
      <c r="A83" s="7" t="s">
        <v>290</v>
      </c>
      <c r="B83" s="8">
        <v>45350</v>
      </c>
      <c r="C83" s="7" t="s">
        <v>291</v>
      </c>
      <c r="D83" s="7" t="s">
        <v>29</v>
      </c>
      <c r="E83" s="7" t="s">
        <v>40</v>
      </c>
      <c r="F83" s="7" t="s">
        <v>77</v>
      </c>
      <c r="G83" s="7" t="s">
        <v>42</v>
      </c>
      <c r="H83" s="7" t="s">
        <v>81</v>
      </c>
      <c r="I83" s="7" t="s">
        <v>248</v>
      </c>
      <c r="J83" s="7">
        <v>1</v>
      </c>
      <c r="K83" s="9">
        <v>1089.28</v>
      </c>
      <c r="L83" s="9">
        <v>871.42</v>
      </c>
      <c r="M83" s="10">
        <v>20</v>
      </c>
      <c r="N83" s="49">
        <v>37.36</v>
      </c>
      <c r="O83" s="9">
        <v>285.95</v>
      </c>
      <c r="P83" s="7" t="s">
        <v>45</v>
      </c>
      <c r="Q83" s="7" t="s">
        <v>26</v>
      </c>
      <c r="R83" s="28">
        <f t="shared" si="1"/>
        <v>4.2872552844782079E-2</v>
      </c>
    </row>
    <row r="84" spans="1:18" x14ac:dyDescent="0.3">
      <c r="A84" s="3" t="s">
        <v>292</v>
      </c>
      <c r="B84" s="4">
        <v>45350</v>
      </c>
      <c r="C84" s="3" t="s">
        <v>293</v>
      </c>
      <c r="D84" s="3" t="s">
        <v>19</v>
      </c>
      <c r="E84" s="3" t="s">
        <v>30</v>
      </c>
      <c r="F84" s="3" t="s">
        <v>48</v>
      </c>
      <c r="G84" s="3" t="s">
        <v>117</v>
      </c>
      <c r="H84" s="3" t="s">
        <v>125</v>
      </c>
      <c r="I84" s="3" t="s">
        <v>196</v>
      </c>
      <c r="J84" s="3">
        <v>2</v>
      </c>
      <c r="K84" s="5">
        <v>1018.47</v>
      </c>
      <c r="L84" s="5">
        <v>1731.4</v>
      </c>
      <c r="M84" s="6">
        <v>15</v>
      </c>
      <c r="N84" s="48">
        <v>389.82</v>
      </c>
      <c r="O84" s="5">
        <v>71.849999999999994</v>
      </c>
      <c r="P84" s="3" t="s">
        <v>64</v>
      </c>
      <c r="Q84" s="3" t="s">
        <v>26</v>
      </c>
      <c r="R84" s="28">
        <f t="shared" si="1"/>
        <v>0.22514727965808015</v>
      </c>
    </row>
    <row r="85" spans="1:18" x14ac:dyDescent="0.3">
      <c r="A85" s="7" t="s">
        <v>294</v>
      </c>
      <c r="B85" s="8">
        <v>45350</v>
      </c>
      <c r="C85" s="7" t="s">
        <v>295</v>
      </c>
      <c r="D85" s="7" t="s">
        <v>39</v>
      </c>
      <c r="E85" s="7" t="s">
        <v>30</v>
      </c>
      <c r="F85" s="7" t="s">
        <v>226</v>
      </c>
      <c r="G85" s="7" t="s">
        <v>117</v>
      </c>
      <c r="H85" s="7" t="s">
        <v>153</v>
      </c>
      <c r="I85" s="7" t="s">
        <v>296</v>
      </c>
      <c r="J85" s="7">
        <v>1</v>
      </c>
      <c r="K85" s="9">
        <v>927.16</v>
      </c>
      <c r="L85" s="9">
        <v>741.73</v>
      </c>
      <c r="M85" s="10">
        <v>20</v>
      </c>
      <c r="N85" s="49">
        <v>96.84</v>
      </c>
      <c r="O85" s="9">
        <v>77.47</v>
      </c>
      <c r="P85" s="7" t="s">
        <v>64</v>
      </c>
      <c r="Q85" s="7" t="s">
        <v>65</v>
      </c>
      <c r="R85" s="28">
        <f t="shared" si="1"/>
        <v>0.1305596376039799</v>
      </c>
    </row>
    <row r="86" spans="1:18" x14ac:dyDescent="0.3">
      <c r="A86" s="3" t="s">
        <v>297</v>
      </c>
      <c r="B86" s="4">
        <v>45351</v>
      </c>
      <c r="C86" s="3" t="s">
        <v>298</v>
      </c>
      <c r="D86" s="3" t="s">
        <v>39</v>
      </c>
      <c r="E86" s="3" t="s">
        <v>20</v>
      </c>
      <c r="F86" s="3" t="s">
        <v>129</v>
      </c>
      <c r="G86" s="3" t="s">
        <v>49</v>
      </c>
      <c r="H86" s="3" t="s">
        <v>98</v>
      </c>
      <c r="I86" s="3" t="s">
        <v>299</v>
      </c>
      <c r="J86" s="3">
        <v>1</v>
      </c>
      <c r="K86" s="5">
        <v>3067.95</v>
      </c>
      <c r="L86" s="5">
        <v>2761.15</v>
      </c>
      <c r="M86" s="6">
        <v>10</v>
      </c>
      <c r="N86" s="48">
        <v>433.88</v>
      </c>
      <c r="O86" s="5">
        <v>276.69</v>
      </c>
      <c r="P86" s="3" t="s">
        <v>25</v>
      </c>
      <c r="Q86" s="3" t="s">
        <v>57</v>
      </c>
      <c r="R86" s="28">
        <f t="shared" si="1"/>
        <v>0.15713742462379804</v>
      </c>
    </row>
    <row r="87" spans="1:18" x14ac:dyDescent="0.3">
      <c r="A87" s="7" t="s">
        <v>300</v>
      </c>
      <c r="B87" s="8">
        <v>45352</v>
      </c>
      <c r="C87" s="7" t="s">
        <v>301</v>
      </c>
      <c r="D87" s="7" t="s">
        <v>39</v>
      </c>
      <c r="E87" s="7" t="s">
        <v>30</v>
      </c>
      <c r="F87" s="7" t="s">
        <v>48</v>
      </c>
      <c r="G87" s="7" t="s">
        <v>42</v>
      </c>
      <c r="H87" s="7" t="s">
        <v>172</v>
      </c>
      <c r="I87" s="7" t="s">
        <v>302</v>
      </c>
      <c r="J87" s="7">
        <v>3</v>
      </c>
      <c r="K87" s="9">
        <v>421.93</v>
      </c>
      <c r="L87" s="9">
        <v>1075.92</v>
      </c>
      <c r="M87" s="10">
        <v>15</v>
      </c>
      <c r="N87" s="49">
        <v>49.75</v>
      </c>
      <c r="O87" s="9">
        <v>248.34</v>
      </c>
      <c r="P87" s="7" t="s">
        <v>64</v>
      </c>
      <c r="Q87" s="7" t="s">
        <v>57</v>
      </c>
      <c r="R87" s="28">
        <f t="shared" si="1"/>
        <v>4.6239497360398542E-2</v>
      </c>
    </row>
    <row r="88" spans="1:18" x14ac:dyDescent="0.3">
      <c r="A88" s="3" t="s">
        <v>303</v>
      </c>
      <c r="B88" s="4">
        <v>45353</v>
      </c>
      <c r="C88" s="3" t="s">
        <v>304</v>
      </c>
      <c r="D88" s="3" t="s">
        <v>39</v>
      </c>
      <c r="E88" s="3" t="s">
        <v>20</v>
      </c>
      <c r="F88" s="3" t="s">
        <v>54</v>
      </c>
      <c r="G88" s="3" t="s">
        <v>134</v>
      </c>
      <c r="H88" s="3" t="s">
        <v>244</v>
      </c>
      <c r="I88" s="3" t="s">
        <v>245</v>
      </c>
      <c r="J88" s="3">
        <v>1</v>
      </c>
      <c r="K88" s="5">
        <v>2385.56</v>
      </c>
      <c r="L88" s="5">
        <v>2385.56</v>
      </c>
      <c r="M88" s="6">
        <v>0</v>
      </c>
      <c r="N88" s="48">
        <v>340.54</v>
      </c>
      <c r="O88" s="5">
        <v>62</v>
      </c>
      <c r="P88" s="3" t="s">
        <v>64</v>
      </c>
      <c r="Q88" s="3" t="s">
        <v>26</v>
      </c>
      <c r="R88" s="28">
        <f t="shared" si="1"/>
        <v>0.1427505491373095</v>
      </c>
    </row>
    <row r="89" spans="1:18" x14ac:dyDescent="0.3">
      <c r="A89" s="7" t="s">
        <v>305</v>
      </c>
      <c r="B89" s="8">
        <v>45353</v>
      </c>
      <c r="C89" s="7" t="s">
        <v>306</v>
      </c>
      <c r="D89" s="7" t="s">
        <v>39</v>
      </c>
      <c r="E89" s="7" t="s">
        <v>60</v>
      </c>
      <c r="F89" s="7" t="s">
        <v>104</v>
      </c>
      <c r="G89" s="7" t="s">
        <v>22</v>
      </c>
      <c r="H89" s="7" t="s">
        <v>23</v>
      </c>
      <c r="I89" s="7" t="s">
        <v>238</v>
      </c>
      <c r="J89" s="7">
        <v>1</v>
      </c>
      <c r="K89" s="9">
        <v>45372.5</v>
      </c>
      <c r="L89" s="9">
        <v>36298</v>
      </c>
      <c r="M89" s="10">
        <v>20</v>
      </c>
      <c r="N89" s="49">
        <v>-4489.6000000000004</v>
      </c>
      <c r="O89" s="9">
        <v>114.5</v>
      </c>
      <c r="P89" s="7" t="s">
        <v>64</v>
      </c>
      <c r="Q89" s="7" t="s">
        <v>65</v>
      </c>
      <c r="R89" s="28">
        <f t="shared" si="1"/>
        <v>-0.1236872554961706</v>
      </c>
    </row>
    <row r="90" spans="1:18" x14ac:dyDescent="0.3">
      <c r="A90" s="3" t="s">
        <v>307</v>
      </c>
      <c r="B90" s="4">
        <v>45354</v>
      </c>
      <c r="C90" s="3" t="s">
        <v>192</v>
      </c>
      <c r="D90" s="3" t="s">
        <v>29</v>
      </c>
      <c r="E90" s="3" t="s">
        <v>60</v>
      </c>
      <c r="F90" s="3" t="s">
        <v>104</v>
      </c>
      <c r="G90" s="3" t="s">
        <v>49</v>
      </c>
      <c r="H90" s="3" t="s">
        <v>91</v>
      </c>
      <c r="I90" s="3" t="s">
        <v>188</v>
      </c>
      <c r="J90" s="3">
        <v>1</v>
      </c>
      <c r="K90" s="5">
        <v>957.96</v>
      </c>
      <c r="L90" s="5">
        <v>957.96</v>
      </c>
      <c r="M90" s="6">
        <v>0</v>
      </c>
      <c r="N90" s="48">
        <v>249.47</v>
      </c>
      <c r="O90" s="5">
        <v>239.08</v>
      </c>
      <c r="P90" s="3" t="s">
        <v>35</v>
      </c>
      <c r="Q90" s="3" t="s">
        <v>57</v>
      </c>
      <c r="R90" s="28">
        <f t="shared" si="1"/>
        <v>0.26041797152281931</v>
      </c>
    </row>
    <row r="91" spans="1:18" x14ac:dyDescent="0.3">
      <c r="A91" s="7" t="s">
        <v>308</v>
      </c>
      <c r="B91" s="8">
        <v>45355</v>
      </c>
      <c r="C91" s="7" t="s">
        <v>309</v>
      </c>
      <c r="D91" s="7" t="s">
        <v>39</v>
      </c>
      <c r="E91" s="7" t="s">
        <v>20</v>
      </c>
      <c r="F91" s="7" t="s">
        <v>21</v>
      </c>
      <c r="G91" s="7" t="s">
        <v>117</v>
      </c>
      <c r="H91" s="7" t="s">
        <v>130</v>
      </c>
      <c r="I91" s="7" t="s">
        <v>310</v>
      </c>
      <c r="J91" s="7">
        <v>2</v>
      </c>
      <c r="K91" s="9">
        <v>2063.59</v>
      </c>
      <c r="L91" s="9">
        <v>3714.46</v>
      </c>
      <c r="M91" s="10">
        <v>10</v>
      </c>
      <c r="N91" s="49">
        <v>569.04999999999995</v>
      </c>
      <c r="O91" s="9">
        <v>58.55</v>
      </c>
      <c r="P91" s="7" t="s">
        <v>25</v>
      </c>
      <c r="Q91" s="7" t="s">
        <v>57</v>
      </c>
      <c r="R91" s="28">
        <f t="shared" si="1"/>
        <v>0.15319858068198336</v>
      </c>
    </row>
    <row r="92" spans="1:18" x14ac:dyDescent="0.3">
      <c r="A92" s="3" t="s">
        <v>311</v>
      </c>
      <c r="B92" s="4">
        <v>45356</v>
      </c>
      <c r="C92" s="3" t="s">
        <v>312</v>
      </c>
      <c r="D92" s="3" t="s">
        <v>39</v>
      </c>
      <c r="E92" s="3" t="s">
        <v>20</v>
      </c>
      <c r="F92" s="3" t="s">
        <v>54</v>
      </c>
      <c r="G92" s="3" t="s">
        <v>22</v>
      </c>
      <c r="H92" s="3" t="s">
        <v>23</v>
      </c>
      <c r="I92" s="3" t="s">
        <v>176</v>
      </c>
      <c r="J92" s="3">
        <v>4</v>
      </c>
      <c r="K92" s="5">
        <v>8668.81</v>
      </c>
      <c r="L92" s="5">
        <v>32941.480000000003</v>
      </c>
      <c r="M92" s="6">
        <v>5</v>
      </c>
      <c r="N92" s="48">
        <v>-224.86</v>
      </c>
      <c r="O92" s="5">
        <v>218.71</v>
      </c>
      <c r="P92" s="3" t="s">
        <v>45</v>
      </c>
      <c r="Q92" s="3" t="s">
        <v>26</v>
      </c>
      <c r="R92" s="28">
        <f t="shared" si="1"/>
        <v>-6.8260442457351638E-3</v>
      </c>
    </row>
    <row r="93" spans="1:18" x14ac:dyDescent="0.3">
      <c r="A93" s="7" t="s">
        <v>313</v>
      </c>
      <c r="B93" s="8">
        <v>45358</v>
      </c>
      <c r="C93" s="7" t="s">
        <v>314</v>
      </c>
      <c r="D93" s="7" t="s">
        <v>39</v>
      </c>
      <c r="E93" s="7" t="s">
        <v>30</v>
      </c>
      <c r="F93" s="7" t="s">
        <v>31</v>
      </c>
      <c r="G93" s="7" t="s">
        <v>134</v>
      </c>
      <c r="H93" s="7" t="s">
        <v>135</v>
      </c>
      <c r="I93" s="7" t="s">
        <v>136</v>
      </c>
      <c r="J93" s="7">
        <v>3</v>
      </c>
      <c r="K93" s="9">
        <v>3618.13</v>
      </c>
      <c r="L93" s="9">
        <v>9226.23</v>
      </c>
      <c r="M93" s="10">
        <v>15</v>
      </c>
      <c r="N93" s="49">
        <v>1065.5</v>
      </c>
      <c r="O93" s="9">
        <v>157.5</v>
      </c>
      <c r="P93" s="7" t="s">
        <v>64</v>
      </c>
      <c r="Q93" s="7" t="s">
        <v>57</v>
      </c>
      <c r="R93" s="28">
        <f t="shared" si="1"/>
        <v>0.11548595688596534</v>
      </c>
    </row>
    <row r="94" spans="1:18" x14ac:dyDescent="0.3">
      <c r="A94" s="3" t="s">
        <v>315</v>
      </c>
      <c r="B94" s="4">
        <v>45359</v>
      </c>
      <c r="C94" s="3" t="s">
        <v>316</v>
      </c>
      <c r="D94" s="3" t="s">
        <v>19</v>
      </c>
      <c r="E94" s="3" t="s">
        <v>60</v>
      </c>
      <c r="F94" s="3" t="s">
        <v>68</v>
      </c>
      <c r="G94" s="3" t="s">
        <v>22</v>
      </c>
      <c r="H94" s="3" t="s">
        <v>110</v>
      </c>
      <c r="I94" s="3" t="s">
        <v>317</v>
      </c>
      <c r="J94" s="3">
        <v>5</v>
      </c>
      <c r="K94" s="5">
        <v>57167.88</v>
      </c>
      <c r="L94" s="5">
        <v>285839.40000000002</v>
      </c>
      <c r="M94" s="6">
        <v>0</v>
      </c>
      <c r="N94" s="48">
        <v>23480.240000000002</v>
      </c>
      <c r="O94" s="5">
        <v>198.93</v>
      </c>
      <c r="P94" s="3" t="s">
        <v>83</v>
      </c>
      <c r="Q94" s="3" t="s">
        <v>57</v>
      </c>
      <c r="R94" s="28">
        <f t="shared" si="1"/>
        <v>8.2144868761969136E-2</v>
      </c>
    </row>
    <row r="95" spans="1:18" x14ac:dyDescent="0.3">
      <c r="A95" s="7" t="s">
        <v>318</v>
      </c>
      <c r="B95" s="8">
        <v>45362</v>
      </c>
      <c r="C95" s="7" t="s">
        <v>289</v>
      </c>
      <c r="D95" s="7" t="s">
        <v>19</v>
      </c>
      <c r="E95" s="7" t="s">
        <v>20</v>
      </c>
      <c r="F95" s="7" t="s">
        <v>21</v>
      </c>
      <c r="G95" s="7" t="s">
        <v>117</v>
      </c>
      <c r="H95" s="7" t="s">
        <v>130</v>
      </c>
      <c r="I95" s="7" t="s">
        <v>310</v>
      </c>
      <c r="J95" s="7">
        <v>3</v>
      </c>
      <c r="K95" s="9">
        <v>1569.03</v>
      </c>
      <c r="L95" s="9">
        <v>4707.09</v>
      </c>
      <c r="M95" s="10">
        <v>0</v>
      </c>
      <c r="N95" s="49">
        <v>1368.02</v>
      </c>
      <c r="O95" s="9">
        <v>170.55</v>
      </c>
      <c r="P95" s="7" t="s">
        <v>35</v>
      </c>
      <c r="Q95" s="7" t="s">
        <v>26</v>
      </c>
      <c r="R95" s="28">
        <f t="shared" si="1"/>
        <v>0.29062966716166461</v>
      </c>
    </row>
    <row r="96" spans="1:18" x14ac:dyDescent="0.3">
      <c r="A96" s="3" t="s">
        <v>319</v>
      </c>
      <c r="B96" s="4">
        <v>45363</v>
      </c>
      <c r="C96" s="3" t="s">
        <v>320</v>
      </c>
      <c r="D96" s="3" t="s">
        <v>39</v>
      </c>
      <c r="E96" s="3" t="s">
        <v>30</v>
      </c>
      <c r="F96" s="3" t="s">
        <v>31</v>
      </c>
      <c r="G96" s="3" t="s">
        <v>32</v>
      </c>
      <c r="H96" s="3" t="s">
        <v>143</v>
      </c>
      <c r="I96" s="3" t="s">
        <v>321</v>
      </c>
      <c r="J96" s="3">
        <v>1</v>
      </c>
      <c r="K96" s="5">
        <v>1501.6</v>
      </c>
      <c r="L96" s="5">
        <v>1351.44</v>
      </c>
      <c r="M96" s="6">
        <v>10</v>
      </c>
      <c r="N96" s="48">
        <v>54.81</v>
      </c>
      <c r="O96" s="5">
        <v>130.77000000000001</v>
      </c>
      <c r="P96" s="3" t="s">
        <v>25</v>
      </c>
      <c r="Q96" s="3" t="s">
        <v>65</v>
      </c>
      <c r="R96" s="28">
        <f t="shared" si="1"/>
        <v>4.055673947789025E-2</v>
      </c>
    </row>
    <row r="97" spans="1:18" x14ac:dyDescent="0.3">
      <c r="A97" s="7" t="s">
        <v>322</v>
      </c>
      <c r="B97" s="8">
        <v>45363</v>
      </c>
      <c r="C97" s="7" t="s">
        <v>232</v>
      </c>
      <c r="D97" s="7" t="s">
        <v>29</v>
      </c>
      <c r="E97" s="7" t="s">
        <v>60</v>
      </c>
      <c r="F97" s="7" t="s">
        <v>68</v>
      </c>
      <c r="G97" s="7" t="s">
        <v>22</v>
      </c>
      <c r="H97" s="7" t="s">
        <v>55</v>
      </c>
      <c r="I97" s="7" t="s">
        <v>323</v>
      </c>
      <c r="J97" s="7">
        <v>2</v>
      </c>
      <c r="K97" s="9">
        <v>60047.05</v>
      </c>
      <c r="L97" s="9">
        <v>120094.1</v>
      </c>
      <c r="M97" s="10">
        <v>0</v>
      </c>
      <c r="N97" s="49">
        <v>10854.71</v>
      </c>
      <c r="O97" s="9">
        <v>267.60000000000002</v>
      </c>
      <c r="P97" s="7" t="s">
        <v>64</v>
      </c>
      <c r="Q97" s="7" t="s">
        <v>26</v>
      </c>
      <c r="R97" s="28">
        <f t="shared" si="1"/>
        <v>9.0385039731344E-2</v>
      </c>
    </row>
    <row r="98" spans="1:18" x14ac:dyDescent="0.3">
      <c r="A98" s="3" t="s">
        <v>324</v>
      </c>
      <c r="B98" s="4">
        <v>45364</v>
      </c>
      <c r="C98" s="3" t="s">
        <v>325</v>
      </c>
      <c r="D98" s="3" t="s">
        <v>39</v>
      </c>
      <c r="E98" s="3" t="s">
        <v>20</v>
      </c>
      <c r="F98" s="3" t="s">
        <v>21</v>
      </c>
      <c r="G98" s="3" t="s">
        <v>117</v>
      </c>
      <c r="H98" s="3" t="s">
        <v>130</v>
      </c>
      <c r="I98" s="3" t="s">
        <v>326</v>
      </c>
      <c r="J98" s="3">
        <v>1</v>
      </c>
      <c r="K98" s="5">
        <v>1432.01</v>
      </c>
      <c r="L98" s="5">
        <v>1145.6099999999999</v>
      </c>
      <c r="M98" s="6">
        <v>20</v>
      </c>
      <c r="N98" s="48">
        <v>203.77</v>
      </c>
      <c r="O98" s="5">
        <v>297.56</v>
      </c>
      <c r="P98" s="3" t="s">
        <v>64</v>
      </c>
      <c r="Q98" s="3" t="s">
        <v>65</v>
      </c>
      <c r="R98" s="28">
        <f t="shared" si="1"/>
        <v>0.17787030490306477</v>
      </c>
    </row>
    <row r="99" spans="1:18" x14ac:dyDescent="0.3">
      <c r="A99" s="7" t="s">
        <v>327</v>
      </c>
      <c r="B99" s="8">
        <v>45365</v>
      </c>
      <c r="C99" s="7" t="s">
        <v>328</v>
      </c>
      <c r="D99" s="7" t="s">
        <v>19</v>
      </c>
      <c r="E99" s="7" t="s">
        <v>20</v>
      </c>
      <c r="F99" s="7" t="s">
        <v>54</v>
      </c>
      <c r="G99" s="7" t="s">
        <v>42</v>
      </c>
      <c r="H99" s="7" t="s">
        <v>164</v>
      </c>
      <c r="I99" s="7" t="s">
        <v>329</v>
      </c>
      <c r="J99" s="7">
        <v>1</v>
      </c>
      <c r="K99" s="9">
        <v>973.64</v>
      </c>
      <c r="L99" s="9">
        <v>876.28</v>
      </c>
      <c r="M99" s="10">
        <v>10</v>
      </c>
      <c r="N99" s="49">
        <v>147.31</v>
      </c>
      <c r="O99" s="9">
        <v>150.63999999999999</v>
      </c>
      <c r="P99" s="7" t="s">
        <v>35</v>
      </c>
      <c r="Q99" s="7" t="s">
        <v>57</v>
      </c>
      <c r="R99" s="28">
        <f t="shared" si="1"/>
        <v>0.16810836718856986</v>
      </c>
    </row>
    <row r="100" spans="1:18" x14ac:dyDescent="0.3">
      <c r="A100" s="3" t="s">
        <v>330</v>
      </c>
      <c r="B100" s="4">
        <v>45365</v>
      </c>
      <c r="C100" s="3" t="s">
        <v>331</v>
      </c>
      <c r="D100" s="3" t="s">
        <v>39</v>
      </c>
      <c r="E100" s="3" t="s">
        <v>30</v>
      </c>
      <c r="F100" s="3" t="s">
        <v>226</v>
      </c>
      <c r="G100" s="3" t="s">
        <v>42</v>
      </c>
      <c r="H100" s="3" t="s">
        <v>43</v>
      </c>
      <c r="I100" s="3" t="s">
        <v>44</v>
      </c>
      <c r="J100" s="3">
        <v>1</v>
      </c>
      <c r="K100" s="5">
        <v>1134.22</v>
      </c>
      <c r="L100" s="5">
        <v>1077.51</v>
      </c>
      <c r="M100" s="6">
        <v>5</v>
      </c>
      <c r="N100" s="48">
        <v>178.29</v>
      </c>
      <c r="O100" s="5">
        <v>45.95</v>
      </c>
      <c r="P100" s="3" t="s">
        <v>45</v>
      </c>
      <c r="Q100" s="3" t="s">
        <v>26</v>
      </c>
      <c r="R100" s="28">
        <f t="shared" si="1"/>
        <v>0.16546482167218865</v>
      </c>
    </row>
    <row r="101" spans="1:18" x14ac:dyDescent="0.3">
      <c r="A101" s="7" t="s">
        <v>332</v>
      </c>
      <c r="B101" s="8">
        <v>45366</v>
      </c>
      <c r="C101" s="7" t="s">
        <v>333</v>
      </c>
      <c r="D101" s="7" t="s">
        <v>39</v>
      </c>
      <c r="E101" s="7" t="s">
        <v>30</v>
      </c>
      <c r="F101" s="7" t="s">
        <v>31</v>
      </c>
      <c r="G101" s="7" t="s">
        <v>134</v>
      </c>
      <c r="H101" s="7" t="s">
        <v>244</v>
      </c>
      <c r="I101" s="7" t="s">
        <v>334</v>
      </c>
      <c r="J101" s="7">
        <v>4</v>
      </c>
      <c r="K101" s="9">
        <v>4176.43</v>
      </c>
      <c r="L101" s="9">
        <v>16705.72</v>
      </c>
      <c r="M101" s="10">
        <v>0</v>
      </c>
      <c r="N101" s="49">
        <v>2375.7600000000002</v>
      </c>
      <c r="O101" s="9">
        <v>368.91</v>
      </c>
      <c r="P101" s="7" t="s">
        <v>45</v>
      </c>
      <c r="Q101" s="7" t="s">
        <v>26</v>
      </c>
      <c r="R101" s="28">
        <f t="shared" si="1"/>
        <v>0.1422123679793508</v>
      </c>
    </row>
    <row r="102" spans="1:18" x14ac:dyDescent="0.3">
      <c r="A102" s="3" t="s">
        <v>335</v>
      </c>
      <c r="B102" s="4">
        <v>45367</v>
      </c>
      <c r="C102" s="3" t="s">
        <v>336</v>
      </c>
      <c r="D102" s="3" t="s">
        <v>19</v>
      </c>
      <c r="E102" s="3" t="s">
        <v>60</v>
      </c>
      <c r="F102" s="3" t="s">
        <v>72</v>
      </c>
      <c r="G102" s="3" t="s">
        <v>49</v>
      </c>
      <c r="H102" s="3" t="s">
        <v>91</v>
      </c>
      <c r="I102" s="3" t="s">
        <v>206</v>
      </c>
      <c r="J102" s="3">
        <v>1</v>
      </c>
      <c r="K102" s="5">
        <v>10180.959999999999</v>
      </c>
      <c r="L102" s="5">
        <v>7126.67</v>
      </c>
      <c r="M102" s="6">
        <v>30</v>
      </c>
      <c r="N102" s="48">
        <v>724.83</v>
      </c>
      <c r="O102" s="5">
        <v>129.83000000000001</v>
      </c>
      <c r="P102" s="3" t="s">
        <v>25</v>
      </c>
      <c r="Q102" s="3" t="s">
        <v>57</v>
      </c>
      <c r="R102" s="28">
        <f t="shared" si="1"/>
        <v>0.1017066876956559</v>
      </c>
    </row>
    <row r="103" spans="1:18" x14ac:dyDescent="0.3">
      <c r="A103" s="7" t="s">
        <v>337</v>
      </c>
      <c r="B103" s="8">
        <v>45367</v>
      </c>
      <c r="C103" s="7" t="s">
        <v>338</v>
      </c>
      <c r="D103" s="7" t="s">
        <v>39</v>
      </c>
      <c r="E103" s="7" t="s">
        <v>30</v>
      </c>
      <c r="F103" s="7" t="s">
        <v>31</v>
      </c>
      <c r="G103" s="7" t="s">
        <v>22</v>
      </c>
      <c r="H103" s="7" t="s">
        <v>110</v>
      </c>
      <c r="I103" s="7" t="s">
        <v>111</v>
      </c>
      <c r="J103" s="7">
        <v>1</v>
      </c>
      <c r="K103" s="9">
        <v>32313.16</v>
      </c>
      <c r="L103" s="9">
        <v>29081.84</v>
      </c>
      <c r="M103" s="10">
        <v>10</v>
      </c>
      <c r="N103" s="49">
        <v>1728.51</v>
      </c>
      <c r="O103" s="9">
        <v>238.71</v>
      </c>
      <c r="P103" s="7" t="s">
        <v>64</v>
      </c>
      <c r="Q103" s="7" t="s">
        <v>26</v>
      </c>
      <c r="R103" s="28">
        <f t="shared" si="1"/>
        <v>5.9436060441842742E-2</v>
      </c>
    </row>
    <row r="104" spans="1:18" x14ac:dyDescent="0.3">
      <c r="A104" s="3" t="s">
        <v>339</v>
      </c>
      <c r="B104" s="4">
        <v>45369</v>
      </c>
      <c r="C104" s="3" t="s">
        <v>340</v>
      </c>
      <c r="D104" s="3" t="s">
        <v>39</v>
      </c>
      <c r="E104" s="3" t="s">
        <v>30</v>
      </c>
      <c r="F104" s="3" t="s">
        <v>31</v>
      </c>
      <c r="G104" s="3" t="s">
        <v>49</v>
      </c>
      <c r="H104" s="3" t="s">
        <v>62</v>
      </c>
      <c r="I104" s="3" t="s">
        <v>341</v>
      </c>
      <c r="J104" s="3">
        <v>2</v>
      </c>
      <c r="K104" s="5">
        <v>5185.96</v>
      </c>
      <c r="L104" s="5">
        <v>9853.32</v>
      </c>
      <c r="M104" s="6">
        <v>5</v>
      </c>
      <c r="N104" s="48">
        <v>1927.77</v>
      </c>
      <c r="O104" s="5">
        <v>147.91</v>
      </c>
      <c r="P104" s="3" t="s">
        <v>83</v>
      </c>
      <c r="Q104" s="3" t="s">
        <v>65</v>
      </c>
      <c r="R104" s="28">
        <f t="shared" si="1"/>
        <v>0.19564674647732946</v>
      </c>
    </row>
    <row r="105" spans="1:18" x14ac:dyDescent="0.3">
      <c r="A105" s="7" t="s">
        <v>342</v>
      </c>
      <c r="B105" s="8">
        <v>45369</v>
      </c>
      <c r="C105" s="7" t="s">
        <v>343</v>
      </c>
      <c r="D105" s="7" t="s">
        <v>29</v>
      </c>
      <c r="E105" s="7" t="s">
        <v>30</v>
      </c>
      <c r="F105" s="7" t="s">
        <v>226</v>
      </c>
      <c r="G105" s="7" t="s">
        <v>32</v>
      </c>
      <c r="H105" s="7" t="s">
        <v>86</v>
      </c>
      <c r="I105" s="7" t="s">
        <v>233</v>
      </c>
      <c r="J105" s="7">
        <v>1</v>
      </c>
      <c r="K105" s="9">
        <v>9067.75</v>
      </c>
      <c r="L105" s="9">
        <v>7707.59</v>
      </c>
      <c r="M105" s="10">
        <v>15</v>
      </c>
      <c r="N105" s="49">
        <v>1408.21</v>
      </c>
      <c r="O105" s="9">
        <v>266.8</v>
      </c>
      <c r="P105" s="7" t="s">
        <v>45</v>
      </c>
      <c r="Q105" s="7" t="s">
        <v>65</v>
      </c>
      <c r="R105" s="28">
        <f t="shared" si="1"/>
        <v>0.18270432132482398</v>
      </c>
    </row>
    <row r="106" spans="1:18" x14ac:dyDescent="0.3">
      <c r="A106" s="3" t="s">
        <v>344</v>
      </c>
      <c r="B106" s="4">
        <v>45372</v>
      </c>
      <c r="C106" s="3" t="s">
        <v>345</v>
      </c>
      <c r="D106" s="3" t="s">
        <v>29</v>
      </c>
      <c r="E106" s="3" t="s">
        <v>20</v>
      </c>
      <c r="F106" s="3" t="s">
        <v>129</v>
      </c>
      <c r="G106" s="3" t="s">
        <v>134</v>
      </c>
      <c r="H106" s="3" t="s">
        <v>135</v>
      </c>
      <c r="I106" s="3" t="s">
        <v>287</v>
      </c>
      <c r="J106" s="3">
        <v>1</v>
      </c>
      <c r="K106" s="5">
        <v>1386.88</v>
      </c>
      <c r="L106" s="5">
        <v>1248.19</v>
      </c>
      <c r="M106" s="6">
        <v>10</v>
      </c>
      <c r="N106" s="48">
        <v>120.75</v>
      </c>
      <c r="O106" s="5">
        <v>196.42</v>
      </c>
      <c r="P106" s="3" t="s">
        <v>35</v>
      </c>
      <c r="Q106" s="3" t="s">
        <v>57</v>
      </c>
      <c r="R106" s="28">
        <f t="shared" si="1"/>
        <v>9.6740079635311921E-2</v>
      </c>
    </row>
    <row r="107" spans="1:18" x14ac:dyDescent="0.3">
      <c r="A107" s="7" t="s">
        <v>346</v>
      </c>
      <c r="B107" s="8">
        <v>45374</v>
      </c>
      <c r="C107" s="7" t="s">
        <v>250</v>
      </c>
      <c r="D107" s="7" t="s">
        <v>39</v>
      </c>
      <c r="E107" s="7" t="s">
        <v>60</v>
      </c>
      <c r="F107" s="7" t="s">
        <v>61</v>
      </c>
      <c r="G107" s="7" t="s">
        <v>22</v>
      </c>
      <c r="H107" s="7" t="s">
        <v>105</v>
      </c>
      <c r="I107" s="7" t="s">
        <v>251</v>
      </c>
      <c r="J107" s="7">
        <v>1</v>
      </c>
      <c r="K107" s="9">
        <v>63263.13</v>
      </c>
      <c r="L107" s="9">
        <v>63263.13</v>
      </c>
      <c r="M107" s="10">
        <v>0</v>
      </c>
      <c r="N107" s="49">
        <v>8037.17</v>
      </c>
      <c r="O107" s="9">
        <v>298.63</v>
      </c>
      <c r="P107" s="7" t="s">
        <v>83</v>
      </c>
      <c r="Q107" s="7" t="s">
        <v>36</v>
      </c>
      <c r="R107" s="28">
        <f t="shared" si="1"/>
        <v>0.12704350859655539</v>
      </c>
    </row>
    <row r="108" spans="1:18" x14ac:dyDescent="0.3">
      <c r="A108" s="3" t="s">
        <v>347</v>
      </c>
      <c r="B108" s="4">
        <v>45375</v>
      </c>
      <c r="C108" s="3" t="s">
        <v>348</v>
      </c>
      <c r="D108" s="3" t="s">
        <v>19</v>
      </c>
      <c r="E108" s="3" t="s">
        <v>60</v>
      </c>
      <c r="F108" s="3" t="s">
        <v>61</v>
      </c>
      <c r="G108" s="3" t="s">
        <v>32</v>
      </c>
      <c r="H108" s="3" t="s">
        <v>33</v>
      </c>
      <c r="I108" s="3" t="s">
        <v>69</v>
      </c>
      <c r="J108" s="3">
        <v>3</v>
      </c>
      <c r="K108" s="5">
        <v>5012.1000000000004</v>
      </c>
      <c r="L108" s="5">
        <v>12029.04</v>
      </c>
      <c r="M108" s="6">
        <v>20</v>
      </c>
      <c r="N108" s="48">
        <v>662.09</v>
      </c>
      <c r="O108" s="5">
        <v>147.75</v>
      </c>
      <c r="P108" s="3" t="s">
        <v>45</v>
      </c>
      <c r="Q108" s="3" t="s">
        <v>65</v>
      </c>
      <c r="R108" s="28">
        <f t="shared" si="1"/>
        <v>5.5040967525255544E-2</v>
      </c>
    </row>
    <row r="109" spans="1:18" x14ac:dyDescent="0.3">
      <c r="A109" s="7" t="s">
        <v>349</v>
      </c>
      <c r="B109" s="8">
        <v>45376</v>
      </c>
      <c r="C109" s="7" t="s">
        <v>312</v>
      </c>
      <c r="D109" s="7" t="s">
        <v>39</v>
      </c>
      <c r="E109" s="7" t="s">
        <v>30</v>
      </c>
      <c r="F109" s="7" t="s">
        <v>226</v>
      </c>
      <c r="G109" s="7" t="s">
        <v>49</v>
      </c>
      <c r="H109" s="7" t="s">
        <v>98</v>
      </c>
      <c r="I109" s="7" t="s">
        <v>299</v>
      </c>
      <c r="J109" s="7">
        <v>2</v>
      </c>
      <c r="K109" s="9">
        <v>14875.96</v>
      </c>
      <c r="L109" s="9">
        <v>22313.94</v>
      </c>
      <c r="M109" s="10">
        <v>25</v>
      </c>
      <c r="N109" s="49">
        <v>466.6</v>
      </c>
      <c r="O109" s="9">
        <v>259.14999999999998</v>
      </c>
      <c r="P109" s="7" t="s">
        <v>64</v>
      </c>
      <c r="Q109" s="7" t="s">
        <v>65</v>
      </c>
      <c r="R109" s="28">
        <f t="shared" si="1"/>
        <v>2.0910695287340561E-2</v>
      </c>
    </row>
    <row r="110" spans="1:18" x14ac:dyDescent="0.3">
      <c r="A110" s="3" t="s">
        <v>350</v>
      </c>
      <c r="B110" s="4">
        <v>45376</v>
      </c>
      <c r="C110" s="3" t="s">
        <v>351</v>
      </c>
      <c r="D110" s="3" t="s">
        <v>39</v>
      </c>
      <c r="E110" s="3" t="s">
        <v>60</v>
      </c>
      <c r="F110" s="3" t="s">
        <v>72</v>
      </c>
      <c r="G110" s="3" t="s">
        <v>22</v>
      </c>
      <c r="H110" s="3" t="s">
        <v>105</v>
      </c>
      <c r="I110" s="3" t="s">
        <v>157</v>
      </c>
      <c r="J110" s="3">
        <v>1</v>
      </c>
      <c r="K110" s="5">
        <v>20591.53</v>
      </c>
      <c r="L110" s="5">
        <v>18532.38</v>
      </c>
      <c r="M110" s="6">
        <v>10</v>
      </c>
      <c r="N110" s="48">
        <v>1370.82</v>
      </c>
      <c r="O110" s="5">
        <v>267.41000000000003</v>
      </c>
      <c r="P110" s="3" t="s">
        <v>45</v>
      </c>
      <c r="Q110" s="3" t="s">
        <v>57</v>
      </c>
      <c r="R110" s="28">
        <f t="shared" si="1"/>
        <v>7.3968912789398877E-2</v>
      </c>
    </row>
    <row r="111" spans="1:18" x14ac:dyDescent="0.3">
      <c r="A111" s="7" t="s">
        <v>352</v>
      </c>
      <c r="B111" s="8">
        <v>45378</v>
      </c>
      <c r="C111" s="7" t="s">
        <v>353</v>
      </c>
      <c r="D111" s="7" t="s">
        <v>39</v>
      </c>
      <c r="E111" s="7" t="s">
        <v>30</v>
      </c>
      <c r="F111" s="7" t="s">
        <v>48</v>
      </c>
      <c r="G111" s="7" t="s">
        <v>22</v>
      </c>
      <c r="H111" s="7" t="s">
        <v>105</v>
      </c>
      <c r="I111" s="7" t="s">
        <v>251</v>
      </c>
      <c r="J111" s="7">
        <v>1</v>
      </c>
      <c r="K111" s="9">
        <v>27674.48</v>
      </c>
      <c r="L111" s="9">
        <v>27674.48</v>
      </c>
      <c r="M111" s="10">
        <v>0</v>
      </c>
      <c r="N111" s="49">
        <v>1868.69</v>
      </c>
      <c r="O111" s="9">
        <v>93.24</v>
      </c>
      <c r="P111" s="7" t="s">
        <v>35</v>
      </c>
      <c r="Q111" s="7" t="s">
        <v>36</v>
      </c>
      <c r="R111" s="28">
        <f t="shared" si="1"/>
        <v>6.7523942635959192E-2</v>
      </c>
    </row>
    <row r="112" spans="1:18" x14ac:dyDescent="0.3">
      <c r="A112" s="3" t="s">
        <v>354</v>
      </c>
      <c r="B112" s="4">
        <v>45381</v>
      </c>
      <c r="C112" s="3" t="s">
        <v>355</v>
      </c>
      <c r="D112" s="3" t="s">
        <v>19</v>
      </c>
      <c r="E112" s="3" t="s">
        <v>40</v>
      </c>
      <c r="F112" s="3" t="s">
        <v>77</v>
      </c>
      <c r="G112" s="3" t="s">
        <v>117</v>
      </c>
      <c r="H112" s="3" t="s">
        <v>153</v>
      </c>
      <c r="I112" s="3" t="s">
        <v>356</v>
      </c>
      <c r="J112" s="3">
        <v>2</v>
      </c>
      <c r="K112" s="5">
        <v>933.64</v>
      </c>
      <c r="L112" s="5">
        <v>1867.28</v>
      </c>
      <c r="M112" s="6">
        <v>0</v>
      </c>
      <c r="N112" s="48">
        <v>482.69</v>
      </c>
      <c r="O112" s="5">
        <v>315.36</v>
      </c>
      <c r="P112" s="3" t="s">
        <v>64</v>
      </c>
      <c r="Q112" s="3" t="s">
        <v>36</v>
      </c>
      <c r="R112" s="28">
        <f t="shared" si="1"/>
        <v>0.25849899318795255</v>
      </c>
    </row>
    <row r="113" spans="1:18" x14ac:dyDescent="0.3">
      <c r="A113" s="7" t="s">
        <v>357</v>
      </c>
      <c r="B113" s="8">
        <v>45381</v>
      </c>
      <c r="C113" s="7" t="s">
        <v>358</v>
      </c>
      <c r="D113" s="7" t="s">
        <v>29</v>
      </c>
      <c r="E113" s="7" t="s">
        <v>60</v>
      </c>
      <c r="F113" s="7" t="s">
        <v>104</v>
      </c>
      <c r="G113" s="7" t="s">
        <v>22</v>
      </c>
      <c r="H113" s="7" t="s">
        <v>110</v>
      </c>
      <c r="I113" s="7" t="s">
        <v>359</v>
      </c>
      <c r="J113" s="7">
        <v>1</v>
      </c>
      <c r="K113" s="9">
        <v>7284.03</v>
      </c>
      <c r="L113" s="9">
        <v>6919.83</v>
      </c>
      <c r="M113" s="10">
        <v>5</v>
      </c>
      <c r="N113" s="49">
        <v>288.22000000000003</v>
      </c>
      <c r="O113" s="9">
        <v>174.02</v>
      </c>
      <c r="P113" s="7" t="s">
        <v>64</v>
      </c>
      <c r="Q113" s="7" t="s">
        <v>65</v>
      </c>
      <c r="R113" s="28">
        <f t="shared" si="1"/>
        <v>4.165131224321985E-2</v>
      </c>
    </row>
    <row r="114" spans="1:18" x14ac:dyDescent="0.3">
      <c r="A114" s="3" t="s">
        <v>360</v>
      </c>
      <c r="B114" s="4">
        <v>45381</v>
      </c>
      <c r="C114" s="3" t="s">
        <v>361</v>
      </c>
      <c r="D114" s="3" t="s">
        <v>19</v>
      </c>
      <c r="E114" s="3" t="s">
        <v>20</v>
      </c>
      <c r="F114" s="3" t="s">
        <v>129</v>
      </c>
      <c r="G114" s="3" t="s">
        <v>32</v>
      </c>
      <c r="H114" s="3" t="s">
        <v>73</v>
      </c>
      <c r="I114" s="3" t="s">
        <v>214</v>
      </c>
      <c r="J114" s="3">
        <v>1</v>
      </c>
      <c r="K114" s="5">
        <v>2671.66</v>
      </c>
      <c r="L114" s="5">
        <v>2270.91</v>
      </c>
      <c r="M114" s="6">
        <v>15</v>
      </c>
      <c r="N114" s="48">
        <v>241.33</v>
      </c>
      <c r="O114" s="5">
        <v>75.06</v>
      </c>
      <c r="P114" s="3" t="s">
        <v>45</v>
      </c>
      <c r="Q114" s="3" t="s">
        <v>36</v>
      </c>
      <c r="R114" s="28">
        <f t="shared" si="1"/>
        <v>0.10627017363083523</v>
      </c>
    </row>
    <row r="115" spans="1:18" x14ac:dyDescent="0.3">
      <c r="A115" s="7" t="s">
        <v>362</v>
      </c>
      <c r="B115" s="8">
        <v>45382</v>
      </c>
      <c r="C115" s="7" t="s">
        <v>269</v>
      </c>
      <c r="D115" s="7" t="s">
        <v>19</v>
      </c>
      <c r="E115" s="7" t="s">
        <v>40</v>
      </c>
      <c r="F115" s="7" t="s">
        <v>90</v>
      </c>
      <c r="G115" s="7" t="s">
        <v>32</v>
      </c>
      <c r="H115" s="7" t="s">
        <v>73</v>
      </c>
      <c r="I115" s="7" t="s">
        <v>214</v>
      </c>
      <c r="J115" s="7">
        <v>1</v>
      </c>
      <c r="K115" s="9">
        <v>11206.04</v>
      </c>
      <c r="L115" s="9">
        <v>10085.44</v>
      </c>
      <c r="M115" s="10">
        <v>10</v>
      </c>
      <c r="N115" s="49">
        <v>1343.39</v>
      </c>
      <c r="O115" s="9">
        <v>240.25</v>
      </c>
      <c r="P115" s="7" t="s">
        <v>25</v>
      </c>
      <c r="Q115" s="7" t="s">
        <v>26</v>
      </c>
      <c r="R115" s="28">
        <f t="shared" si="1"/>
        <v>0.13320093124345592</v>
      </c>
    </row>
    <row r="116" spans="1:18" x14ac:dyDescent="0.3">
      <c r="A116" s="3" t="s">
        <v>363</v>
      </c>
      <c r="B116" s="4">
        <v>45382</v>
      </c>
      <c r="C116" s="3" t="s">
        <v>364</v>
      </c>
      <c r="D116" s="3" t="s">
        <v>29</v>
      </c>
      <c r="E116" s="3" t="s">
        <v>60</v>
      </c>
      <c r="F116" s="3" t="s">
        <v>104</v>
      </c>
      <c r="G116" s="3" t="s">
        <v>117</v>
      </c>
      <c r="H116" s="3" t="s">
        <v>130</v>
      </c>
      <c r="I116" s="3" t="s">
        <v>310</v>
      </c>
      <c r="J116" s="3">
        <v>1</v>
      </c>
      <c r="K116" s="5">
        <v>2291.75</v>
      </c>
      <c r="L116" s="5">
        <v>2062.58</v>
      </c>
      <c r="M116" s="6">
        <v>10</v>
      </c>
      <c r="N116" s="48">
        <v>481.76</v>
      </c>
      <c r="O116" s="5">
        <v>261.08999999999997</v>
      </c>
      <c r="P116" s="3" t="s">
        <v>64</v>
      </c>
      <c r="Q116" s="3" t="s">
        <v>65</v>
      </c>
      <c r="R116" s="28">
        <f t="shared" si="1"/>
        <v>0.23357154631577928</v>
      </c>
    </row>
    <row r="117" spans="1:18" x14ac:dyDescent="0.3">
      <c r="A117" s="7" t="s">
        <v>365</v>
      </c>
      <c r="B117" s="8">
        <v>45383</v>
      </c>
      <c r="C117" s="7" t="s">
        <v>263</v>
      </c>
      <c r="D117" s="7" t="s">
        <v>39</v>
      </c>
      <c r="E117" s="7" t="s">
        <v>20</v>
      </c>
      <c r="F117" s="7" t="s">
        <v>54</v>
      </c>
      <c r="G117" s="7" t="s">
        <v>117</v>
      </c>
      <c r="H117" s="7" t="s">
        <v>130</v>
      </c>
      <c r="I117" s="7" t="s">
        <v>326</v>
      </c>
      <c r="J117" s="7">
        <v>4</v>
      </c>
      <c r="K117" s="9">
        <v>648.44000000000005</v>
      </c>
      <c r="L117" s="9">
        <v>1945.32</v>
      </c>
      <c r="M117" s="10">
        <v>25</v>
      </c>
      <c r="N117" s="49">
        <v>169.14</v>
      </c>
      <c r="O117" s="9">
        <v>359.93</v>
      </c>
      <c r="P117" s="7" t="s">
        <v>64</v>
      </c>
      <c r="Q117" s="7" t="s">
        <v>26</v>
      </c>
      <c r="R117" s="28">
        <f t="shared" si="1"/>
        <v>8.6947134661649494E-2</v>
      </c>
    </row>
    <row r="118" spans="1:18" x14ac:dyDescent="0.3">
      <c r="A118" s="3" t="s">
        <v>366</v>
      </c>
      <c r="B118" s="4">
        <v>45386</v>
      </c>
      <c r="C118" s="3" t="s">
        <v>167</v>
      </c>
      <c r="D118" s="3" t="s">
        <v>39</v>
      </c>
      <c r="E118" s="3" t="s">
        <v>20</v>
      </c>
      <c r="F118" s="3" t="s">
        <v>21</v>
      </c>
      <c r="G118" s="3" t="s">
        <v>42</v>
      </c>
      <c r="H118" s="3" t="s">
        <v>164</v>
      </c>
      <c r="I118" s="3" t="s">
        <v>165</v>
      </c>
      <c r="J118" s="3">
        <v>4</v>
      </c>
      <c r="K118" s="5">
        <v>269.24</v>
      </c>
      <c r="L118" s="5">
        <v>1023.11</v>
      </c>
      <c r="M118" s="6">
        <v>5</v>
      </c>
      <c r="N118" s="48">
        <v>150.16999999999999</v>
      </c>
      <c r="O118" s="5">
        <v>289.89999999999998</v>
      </c>
      <c r="P118" s="3" t="s">
        <v>35</v>
      </c>
      <c r="Q118" s="3" t="s">
        <v>65</v>
      </c>
      <c r="R118" s="28">
        <f t="shared" si="1"/>
        <v>0.1467779613140327</v>
      </c>
    </row>
    <row r="119" spans="1:18" x14ac:dyDescent="0.3">
      <c r="A119" s="7" t="s">
        <v>367</v>
      </c>
      <c r="B119" s="8">
        <v>45387</v>
      </c>
      <c r="C119" s="7" t="s">
        <v>368</v>
      </c>
      <c r="D119" s="7" t="s">
        <v>39</v>
      </c>
      <c r="E119" s="7" t="s">
        <v>30</v>
      </c>
      <c r="F119" s="7" t="s">
        <v>226</v>
      </c>
      <c r="G119" s="7" t="s">
        <v>117</v>
      </c>
      <c r="H119" s="7" t="s">
        <v>130</v>
      </c>
      <c r="I119" s="7" t="s">
        <v>131</v>
      </c>
      <c r="J119" s="7">
        <v>1</v>
      </c>
      <c r="K119" s="9">
        <v>1463.22</v>
      </c>
      <c r="L119" s="9">
        <v>1024.25</v>
      </c>
      <c r="M119" s="10">
        <v>30</v>
      </c>
      <c r="N119" s="49">
        <v>146.76</v>
      </c>
      <c r="O119" s="9">
        <v>258.67</v>
      </c>
      <c r="P119" s="7" t="s">
        <v>45</v>
      </c>
      <c r="Q119" s="7" t="s">
        <v>26</v>
      </c>
      <c r="R119" s="28">
        <f t="shared" si="1"/>
        <v>0.14328533072980229</v>
      </c>
    </row>
    <row r="120" spans="1:18" x14ac:dyDescent="0.3">
      <c r="A120" s="3" t="s">
        <v>369</v>
      </c>
      <c r="B120" s="4">
        <v>45388</v>
      </c>
      <c r="C120" s="3" t="s">
        <v>370</v>
      </c>
      <c r="D120" s="3" t="s">
        <v>39</v>
      </c>
      <c r="E120" s="3" t="s">
        <v>40</v>
      </c>
      <c r="F120" s="3" t="s">
        <v>109</v>
      </c>
      <c r="G120" s="3" t="s">
        <v>42</v>
      </c>
      <c r="H120" s="3" t="s">
        <v>43</v>
      </c>
      <c r="I120" s="3" t="s">
        <v>44</v>
      </c>
      <c r="J120" s="3">
        <v>5</v>
      </c>
      <c r="K120" s="5">
        <v>484.54</v>
      </c>
      <c r="L120" s="5">
        <v>2180.4299999999998</v>
      </c>
      <c r="M120" s="6">
        <v>10</v>
      </c>
      <c r="N120" s="48">
        <v>-45.71</v>
      </c>
      <c r="O120" s="5">
        <v>379.14</v>
      </c>
      <c r="P120" s="3" t="s">
        <v>64</v>
      </c>
      <c r="Q120" s="3" t="s">
        <v>26</v>
      </c>
      <c r="R120" s="28">
        <f t="shared" si="1"/>
        <v>-2.0963754855693604E-2</v>
      </c>
    </row>
    <row r="121" spans="1:18" x14ac:dyDescent="0.3">
      <c r="A121" s="7" t="s">
        <v>371</v>
      </c>
      <c r="B121" s="8">
        <v>45390</v>
      </c>
      <c r="C121" s="7" t="s">
        <v>372</v>
      </c>
      <c r="D121" s="7" t="s">
        <v>39</v>
      </c>
      <c r="E121" s="7" t="s">
        <v>30</v>
      </c>
      <c r="F121" s="7" t="s">
        <v>226</v>
      </c>
      <c r="G121" s="7" t="s">
        <v>134</v>
      </c>
      <c r="H121" s="7" t="s">
        <v>139</v>
      </c>
      <c r="I121" s="7" t="s">
        <v>147</v>
      </c>
      <c r="J121" s="7">
        <v>5</v>
      </c>
      <c r="K121" s="9">
        <v>2195.83</v>
      </c>
      <c r="L121" s="9">
        <v>10979.15</v>
      </c>
      <c r="M121" s="10">
        <v>0</v>
      </c>
      <c r="N121" s="49">
        <v>2656.96</v>
      </c>
      <c r="O121" s="9">
        <v>311.98</v>
      </c>
      <c r="P121" s="7" t="s">
        <v>35</v>
      </c>
      <c r="Q121" s="7" t="s">
        <v>65</v>
      </c>
      <c r="R121" s="28">
        <f t="shared" si="1"/>
        <v>0.24200051916587351</v>
      </c>
    </row>
    <row r="122" spans="1:18" x14ac:dyDescent="0.3">
      <c r="A122" s="3" t="s">
        <v>373</v>
      </c>
      <c r="B122" s="4">
        <v>45391</v>
      </c>
      <c r="C122" s="3" t="s">
        <v>283</v>
      </c>
      <c r="D122" s="3" t="s">
        <v>39</v>
      </c>
      <c r="E122" s="3" t="s">
        <v>60</v>
      </c>
      <c r="F122" s="3" t="s">
        <v>104</v>
      </c>
      <c r="G122" s="3" t="s">
        <v>117</v>
      </c>
      <c r="H122" s="3" t="s">
        <v>153</v>
      </c>
      <c r="I122" s="3" t="s">
        <v>356</v>
      </c>
      <c r="J122" s="3">
        <v>4</v>
      </c>
      <c r="K122" s="5">
        <v>1758.97</v>
      </c>
      <c r="L122" s="5">
        <v>5980.5</v>
      </c>
      <c r="M122" s="6">
        <v>15</v>
      </c>
      <c r="N122" s="48">
        <v>671.68</v>
      </c>
      <c r="O122" s="5">
        <v>118.71</v>
      </c>
      <c r="P122" s="3" t="s">
        <v>83</v>
      </c>
      <c r="Q122" s="3" t="s">
        <v>26</v>
      </c>
      <c r="R122" s="28">
        <f t="shared" si="1"/>
        <v>0.11231167962544937</v>
      </c>
    </row>
    <row r="123" spans="1:18" x14ac:dyDescent="0.3">
      <c r="A123" s="7" t="s">
        <v>374</v>
      </c>
      <c r="B123" s="8">
        <v>45391</v>
      </c>
      <c r="C123" s="7" t="s">
        <v>375</v>
      </c>
      <c r="D123" s="7" t="s">
        <v>19</v>
      </c>
      <c r="E123" s="7" t="s">
        <v>30</v>
      </c>
      <c r="F123" s="7" t="s">
        <v>48</v>
      </c>
      <c r="G123" s="7" t="s">
        <v>32</v>
      </c>
      <c r="H123" s="7" t="s">
        <v>143</v>
      </c>
      <c r="I123" s="7" t="s">
        <v>321</v>
      </c>
      <c r="J123" s="7">
        <v>2</v>
      </c>
      <c r="K123" s="9">
        <v>2057.2600000000002</v>
      </c>
      <c r="L123" s="9">
        <v>2880.16</v>
      </c>
      <c r="M123" s="10">
        <v>30</v>
      </c>
      <c r="N123" s="49">
        <v>-69.5</v>
      </c>
      <c r="O123" s="9">
        <v>276.04000000000002</v>
      </c>
      <c r="P123" s="7" t="s">
        <v>25</v>
      </c>
      <c r="Q123" s="7" t="s">
        <v>65</v>
      </c>
      <c r="R123" s="28">
        <f t="shared" si="1"/>
        <v>-2.4130603855341371E-2</v>
      </c>
    </row>
    <row r="124" spans="1:18" x14ac:dyDescent="0.3">
      <c r="A124" s="3" t="s">
        <v>376</v>
      </c>
      <c r="B124" s="4">
        <v>45393</v>
      </c>
      <c r="C124" s="3" t="s">
        <v>377</v>
      </c>
      <c r="D124" s="3" t="s">
        <v>39</v>
      </c>
      <c r="E124" s="3" t="s">
        <v>40</v>
      </c>
      <c r="F124" s="3" t="s">
        <v>109</v>
      </c>
      <c r="G124" s="3" t="s">
        <v>49</v>
      </c>
      <c r="H124" s="3" t="s">
        <v>62</v>
      </c>
      <c r="I124" s="3" t="s">
        <v>122</v>
      </c>
      <c r="J124" s="3">
        <v>1</v>
      </c>
      <c r="K124" s="5">
        <v>14703.81</v>
      </c>
      <c r="L124" s="5">
        <v>10292.67</v>
      </c>
      <c r="M124" s="6">
        <v>30</v>
      </c>
      <c r="N124" s="48">
        <v>-237.72</v>
      </c>
      <c r="O124" s="5">
        <v>249.8</v>
      </c>
      <c r="P124" s="3" t="s">
        <v>64</v>
      </c>
      <c r="Q124" s="3" t="s">
        <v>65</v>
      </c>
      <c r="R124" s="28">
        <f t="shared" si="1"/>
        <v>-2.3096047964230856E-2</v>
      </c>
    </row>
    <row r="125" spans="1:18" x14ac:dyDescent="0.3">
      <c r="A125" s="7" t="s">
        <v>378</v>
      </c>
      <c r="B125" s="8">
        <v>45393</v>
      </c>
      <c r="C125" s="7" t="s">
        <v>379</v>
      </c>
      <c r="D125" s="7" t="s">
        <v>39</v>
      </c>
      <c r="E125" s="7" t="s">
        <v>60</v>
      </c>
      <c r="F125" s="7" t="s">
        <v>72</v>
      </c>
      <c r="G125" s="7" t="s">
        <v>117</v>
      </c>
      <c r="H125" s="7" t="s">
        <v>130</v>
      </c>
      <c r="I125" s="7" t="s">
        <v>131</v>
      </c>
      <c r="J125" s="7">
        <v>1</v>
      </c>
      <c r="K125" s="9">
        <v>368.35</v>
      </c>
      <c r="L125" s="9">
        <v>349.93</v>
      </c>
      <c r="M125" s="10">
        <v>5</v>
      </c>
      <c r="N125" s="49">
        <v>116.21</v>
      </c>
      <c r="O125" s="9">
        <v>228.24</v>
      </c>
      <c r="P125" s="7" t="s">
        <v>83</v>
      </c>
      <c r="Q125" s="7" t="s">
        <v>65</v>
      </c>
      <c r="R125" s="28">
        <f t="shared" si="1"/>
        <v>0.33209499042665674</v>
      </c>
    </row>
    <row r="126" spans="1:18" x14ac:dyDescent="0.3">
      <c r="A126" s="3" t="s">
        <v>380</v>
      </c>
      <c r="B126" s="4">
        <v>45393</v>
      </c>
      <c r="C126" s="3" t="s">
        <v>381</v>
      </c>
      <c r="D126" s="3" t="s">
        <v>29</v>
      </c>
      <c r="E126" s="3" t="s">
        <v>40</v>
      </c>
      <c r="F126" s="3" t="s">
        <v>90</v>
      </c>
      <c r="G126" s="3" t="s">
        <v>134</v>
      </c>
      <c r="H126" s="3" t="s">
        <v>135</v>
      </c>
      <c r="I126" s="3" t="s">
        <v>382</v>
      </c>
      <c r="J126" s="3">
        <v>2</v>
      </c>
      <c r="K126" s="5">
        <v>1716.85</v>
      </c>
      <c r="L126" s="5">
        <v>3433.7</v>
      </c>
      <c r="M126" s="6">
        <v>0</v>
      </c>
      <c r="N126" s="48">
        <v>646.41</v>
      </c>
      <c r="O126" s="5">
        <v>51.18</v>
      </c>
      <c r="P126" s="3" t="s">
        <v>35</v>
      </c>
      <c r="Q126" s="3" t="s">
        <v>26</v>
      </c>
      <c r="R126" s="28">
        <f t="shared" si="1"/>
        <v>0.18825465241576142</v>
      </c>
    </row>
    <row r="127" spans="1:18" x14ac:dyDescent="0.3">
      <c r="A127" s="7" t="s">
        <v>383</v>
      </c>
      <c r="B127" s="8">
        <v>45397</v>
      </c>
      <c r="C127" s="7" t="s">
        <v>384</v>
      </c>
      <c r="D127" s="7" t="s">
        <v>19</v>
      </c>
      <c r="E127" s="7" t="s">
        <v>60</v>
      </c>
      <c r="F127" s="7" t="s">
        <v>72</v>
      </c>
      <c r="G127" s="7" t="s">
        <v>32</v>
      </c>
      <c r="H127" s="7" t="s">
        <v>143</v>
      </c>
      <c r="I127" s="7" t="s">
        <v>385</v>
      </c>
      <c r="J127" s="7">
        <v>2</v>
      </c>
      <c r="K127" s="9">
        <v>474</v>
      </c>
      <c r="L127" s="9">
        <v>853.2</v>
      </c>
      <c r="M127" s="10">
        <v>10</v>
      </c>
      <c r="N127" s="49">
        <v>166.7</v>
      </c>
      <c r="O127" s="9">
        <v>155.66</v>
      </c>
      <c r="P127" s="7" t="s">
        <v>64</v>
      </c>
      <c r="Q127" s="7" t="s">
        <v>26</v>
      </c>
      <c r="R127" s="28">
        <f t="shared" si="1"/>
        <v>0.19538209095171119</v>
      </c>
    </row>
    <row r="128" spans="1:18" x14ac:dyDescent="0.3">
      <c r="A128" s="3" t="s">
        <v>386</v>
      </c>
      <c r="B128" s="4">
        <v>45398</v>
      </c>
      <c r="C128" s="3" t="s">
        <v>387</v>
      </c>
      <c r="D128" s="3" t="s">
        <v>19</v>
      </c>
      <c r="E128" s="3" t="s">
        <v>20</v>
      </c>
      <c r="F128" s="3" t="s">
        <v>129</v>
      </c>
      <c r="G128" s="3" t="s">
        <v>49</v>
      </c>
      <c r="H128" s="3" t="s">
        <v>91</v>
      </c>
      <c r="I128" s="3" t="s">
        <v>92</v>
      </c>
      <c r="J128" s="3">
        <v>2</v>
      </c>
      <c r="K128" s="5">
        <v>4436.4399999999996</v>
      </c>
      <c r="L128" s="5">
        <v>7985.59</v>
      </c>
      <c r="M128" s="6">
        <v>10</v>
      </c>
      <c r="N128" s="48">
        <v>1339.82</v>
      </c>
      <c r="O128" s="5">
        <v>126.15</v>
      </c>
      <c r="P128" s="3" t="s">
        <v>25</v>
      </c>
      <c r="Q128" s="3" t="s">
        <v>57</v>
      </c>
      <c r="R128" s="28">
        <f t="shared" si="1"/>
        <v>0.16777971320841664</v>
      </c>
    </row>
    <row r="129" spans="1:18" x14ac:dyDescent="0.3">
      <c r="A129" s="7" t="s">
        <v>388</v>
      </c>
      <c r="B129" s="8">
        <v>45400</v>
      </c>
      <c r="C129" s="7" t="s">
        <v>89</v>
      </c>
      <c r="D129" s="7" t="s">
        <v>29</v>
      </c>
      <c r="E129" s="7" t="s">
        <v>40</v>
      </c>
      <c r="F129" s="7" t="s">
        <v>77</v>
      </c>
      <c r="G129" s="7" t="s">
        <v>134</v>
      </c>
      <c r="H129" s="7" t="s">
        <v>139</v>
      </c>
      <c r="I129" s="7" t="s">
        <v>140</v>
      </c>
      <c r="J129" s="7">
        <v>1</v>
      </c>
      <c r="K129" s="9">
        <v>2853.2</v>
      </c>
      <c r="L129" s="9">
        <v>2710.54</v>
      </c>
      <c r="M129" s="10">
        <v>5</v>
      </c>
      <c r="N129" s="49">
        <v>418.87</v>
      </c>
      <c r="O129" s="9">
        <v>129</v>
      </c>
      <c r="P129" s="7" t="s">
        <v>64</v>
      </c>
      <c r="Q129" s="7" t="s">
        <v>65</v>
      </c>
      <c r="R129" s="28">
        <f t="shared" si="1"/>
        <v>0.15453378293624148</v>
      </c>
    </row>
    <row r="130" spans="1:18" x14ac:dyDescent="0.3">
      <c r="A130" s="3" t="s">
        <v>389</v>
      </c>
      <c r="B130" s="4">
        <v>45400</v>
      </c>
      <c r="C130" s="3" t="s">
        <v>390</v>
      </c>
      <c r="D130" s="3" t="s">
        <v>39</v>
      </c>
      <c r="E130" s="3" t="s">
        <v>20</v>
      </c>
      <c r="F130" s="3" t="s">
        <v>129</v>
      </c>
      <c r="G130" s="3" t="s">
        <v>117</v>
      </c>
      <c r="H130" s="3" t="s">
        <v>130</v>
      </c>
      <c r="I130" s="3" t="s">
        <v>391</v>
      </c>
      <c r="J130" s="3">
        <v>2</v>
      </c>
      <c r="K130" s="5">
        <v>2372.73</v>
      </c>
      <c r="L130" s="5">
        <v>4745.46</v>
      </c>
      <c r="M130" s="6">
        <v>0</v>
      </c>
      <c r="N130" s="48">
        <v>1495.12</v>
      </c>
      <c r="O130" s="5">
        <v>296.45999999999998</v>
      </c>
      <c r="P130" s="3" t="s">
        <v>25</v>
      </c>
      <c r="Q130" s="3" t="s">
        <v>65</v>
      </c>
      <c r="R130" s="28">
        <f t="shared" si="1"/>
        <v>0.31506323939091258</v>
      </c>
    </row>
    <row r="131" spans="1:18" x14ac:dyDescent="0.3">
      <c r="A131" s="7" t="s">
        <v>392</v>
      </c>
      <c r="B131" s="8">
        <v>45402</v>
      </c>
      <c r="C131" s="7" t="s">
        <v>393</v>
      </c>
      <c r="D131" s="7" t="s">
        <v>19</v>
      </c>
      <c r="E131" s="7" t="s">
        <v>60</v>
      </c>
      <c r="F131" s="7" t="s">
        <v>68</v>
      </c>
      <c r="G131" s="7" t="s">
        <v>32</v>
      </c>
      <c r="H131" s="7" t="s">
        <v>73</v>
      </c>
      <c r="I131" s="7" t="s">
        <v>74</v>
      </c>
      <c r="J131" s="7">
        <v>4</v>
      </c>
      <c r="K131" s="9">
        <v>8687.32</v>
      </c>
      <c r="L131" s="9">
        <v>29536.89</v>
      </c>
      <c r="M131" s="10">
        <v>15</v>
      </c>
      <c r="N131" s="49">
        <v>2224.4299999999998</v>
      </c>
      <c r="O131" s="9">
        <v>317.88</v>
      </c>
      <c r="P131" s="7" t="s">
        <v>64</v>
      </c>
      <c r="Q131" s="7" t="s">
        <v>36</v>
      </c>
      <c r="R131" s="28">
        <f t="shared" ref="R131:R194" si="2">N131/L131</f>
        <v>7.5310230697950925E-2</v>
      </c>
    </row>
    <row r="132" spans="1:18" x14ac:dyDescent="0.3">
      <c r="A132" s="3" t="s">
        <v>394</v>
      </c>
      <c r="B132" s="4">
        <v>45402</v>
      </c>
      <c r="C132" s="3" t="s">
        <v>395</v>
      </c>
      <c r="D132" s="3" t="s">
        <v>39</v>
      </c>
      <c r="E132" s="3" t="s">
        <v>60</v>
      </c>
      <c r="F132" s="3" t="s">
        <v>68</v>
      </c>
      <c r="G132" s="3" t="s">
        <v>134</v>
      </c>
      <c r="H132" s="3" t="s">
        <v>244</v>
      </c>
      <c r="I132" s="3" t="s">
        <v>245</v>
      </c>
      <c r="J132" s="3">
        <v>2</v>
      </c>
      <c r="K132" s="5">
        <v>1636.88</v>
      </c>
      <c r="L132" s="5">
        <v>2455.3200000000002</v>
      </c>
      <c r="M132" s="6">
        <v>25</v>
      </c>
      <c r="N132" s="48">
        <v>291.85000000000002</v>
      </c>
      <c r="O132" s="5">
        <v>201.49</v>
      </c>
      <c r="P132" s="3" t="s">
        <v>35</v>
      </c>
      <c r="Q132" s="3" t="s">
        <v>65</v>
      </c>
      <c r="R132" s="28">
        <f t="shared" si="2"/>
        <v>0.11886434354788786</v>
      </c>
    </row>
    <row r="133" spans="1:18" x14ac:dyDescent="0.3">
      <c r="A133" s="7" t="s">
        <v>396</v>
      </c>
      <c r="B133" s="8">
        <v>45402</v>
      </c>
      <c r="C133" s="7" t="s">
        <v>274</v>
      </c>
      <c r="D133" s="7" t="s">
        <v>39</v>
      </c>
      <c r="E133" s="7" t="s">
        <v>30</v>
      </c>
      <c r="F133" s="7" t="s">
        <v>48</v>
      </c>
      <c r="G133" s="7" t="s">
        <v>117</v>
      </c>
      <c r="H133" s="7" t="s">
        <v>153</v>
      </c>
      <c r="I133" s="7" t="s">
        <v>356</v>
      </c>
      <c r="J133" s="7">
        <v>1</v>
      </c>
      <c r="K133" s="9">
        <v>2074.1</v>
      </c>
      <c r="L133" s="9">
        <v>1970.39</v>
      </c>
      <c r="M133" s="10">
        <v>5</v>
      </c>
      <c r="N133" s="49">
        <v>544.04</v>
      </c>
      <c r="O133" s="9">
        <v>55.64</v>
      </c>
      <c r="P133" s="7" t="s">
        <v>83</v>
      </c>
      <c r="Q133" s="7" t="s">
        <v>36</v>
      </c>
      <c r="R133" s="28">
        <f t="shared" si="2"/>
        <v>0.27610777561802485</v>
      </c>
    </row>
    <row r="134" spans="1:18" x14ac:dyDescent="0.3">
      <c r="A134" s="3" t="s">
        <v>397</v>
      </c>
      <c r="B134" s="4">
        <v>45403</v>
      </c>
      <c r="C134" s="3" t="s">
        <v>398</v>
      </c>
      <c r="D134" s="3" t="s">
        <v>19</v>
      </c>
      <c r="E134" s="3" t="s">
        <v>20</v>
      </c>
      <c r="F134" s="3" t="s">
        <v>129</v>
      </c>
      <c r="G134" s="3" t="s">
        <v>22</v>
      </c>
      <c r="H134" s="3" t="s">
        <v>55</v>
      </c>
      <c r="I134" s="3" t="s">
        <v>399</v>
      </c>
      <c r="J134" s="3">
        <v>4</v>
      </c>
      <c r="K134" s="5">
        <v>53310.53</v>
      </c>
      <c r="L134" s="5">
        <v>213242.12</v>
      </c>
      <c r="M134" s="6">
        <v>0</v>
      </c>
      <c r="N134" s="48">
        <v>16416.830000000002</v>
      </c>
      <c r="O134" s="5">
        <v>363.62</v>
      </c>
      <c r="P134" s="3" t="s">
        <v>64</v>
      </c>
      <c r="Q134" s="3" t="s">
        <v>57</v>
      </c>
      <c r="R134" s="28">
        <f t="shared" si="2"/>
        <v>7.6986807296794843E-2</v>
      </c>
    </row>
    <row r="135" spans="1:18" x14ac:dyDescent="0.3">
      <c r="A135" s="7" t="s">
        <v>400</v>
      </c>
      <c r="B135" s="8">
        <v>45403</v>
      </c>
      <c r="C135" s="7" t="s">
        <v>401</v>
      </c>
      <c r="D135" s="7" t="s">
        <v>39</v>
      </c>
      <c r="E135" s="7" t="s">
        <v>20</v>
      </c>
      <c r="F135" s="7" t="s">
        <v>54</v>
      </c>
      <c r="G135" s="7" t="s">
        <v>42</v>
      </c>
      <c r="H135" s="7" t="s">
        <v>172</v>
      </c>
      <c r="I135" s="7" t="s">
        <v>223</v>
      </c>
      <c r="J135" s="7">
        <v>3</v>
      </c>
      <c r="K135" s="9">
        <v>332.96</v>
      </c>
      <c r="L135" s="9">
        <v>898.99</v>
      </c>
      <c r="M135" s="10">
        <v>10</v>
      </c>
      <c r="N135" s="49">
        <v>73.680000000000007</v>
      </c>
      <c r="O135" s="9">
        <v>374.96</v>
      </c>
      <c r="P135" s="7" t="s">
        <v>25</v>
      </c>
      <c r="Q135" s="7" t="s">
        <v>57</v>
      </c>
      <c r="R135" s="28">
        <f t="shared" si="2"/>
        <v>8.1958642476557028E-2</v>
      </c>
    </row>
    <row r="136" spans="1:18" x14ac:dyDescent="0.3">
      <c r="A136" s="3" t="s">
        <v>402</v>
      </c>
      <c r="B136" s="4">
        <v>45404</v>
      </c>
      <c r="C136" s="3" t="s">
        <v>403</v>
      </c>
      <c r="D136" s="3" t="s">
        <v>39</v>
      </c>
      <c r="E136" s="3" t="s">
        <v>60</v>
      </c>
      <c r="F136" s="3" t="s">
        <v>104</v>
      </c>
      <c r="G136" s="3" t="s">
        <v>134</v>
      </c>
      <c r="H136" s="3" t="s">
        <v>244</v>
      </c>
      <c r="I136" s="3" t="s">
        <v>270</v>
      </c>
      <c r="J136" s="3">
        <v>1</v>
      </c>
      <c r="K136" s="5">
        <v>2236.9</v>
      </c>
      <c r="L136" s="5">
        <v>1677.68</v>
      </c>
      <c r="M136" s="6">
        <v>25</v>
      </c>
      <c r="N136" s="48">
        <v>117.98</v>
      </c>
      <c r="O136" s="5">
        <v>333.74</v>
      </c>
      <c r="P136" s="3" t="s">
        <v>35</v>
      </c>
      <c r="Q136" s="3" t="s">
        <v>65</v>
      </c>
      <c r="R136" s="28">
        <f t="shared" si="2"/>
        <v>7.0323303609746798E-2</v>
      </c>
    </row>
    <row r="137" spans="1:18" x14ac:dyDescent="0.3">
      <c r="A137" s="7" t="s">
        <v>404</v>
      </c>
      <c r="B137" s="8">
        <v>45405</v>
      </c>
      <c r="C137" s="7" t="s">
        <v>97</v>
      </c>
      <c r="D137" s="7" t="s">
        <v>19</v>
      </c>
      <c r="E137" s="7" t="s">
        <v>30</v>
      </c>
      <c r="F137" s="7" t="s">
        <v>31</v>
      </c>
      <c r="G137" s="7" t="s">
        <v>22</v>
      </c>
      <c r="H137" s="7" t="s">
        <v>110</v>
      </c>
      <c r="I137" s="7" t="s">
        <v>359</v>
      </c>
      <c r="J137" s="7">
        <v>4</v>
      </c>
      <c r="K137" s="9">
        <v>41250.160000000003</v>
      </c>
      <c r="L137" s="9">
        <v>156750.60999999999</v>
      </c>
      <c r="M137" s="10">
        <v>5</v>
      </c>
      <c r="N137" s="49">
        <v>12629.85</v>
      </c>
      <c r="O137" s="9">
        <v>282.19</v>
      </c>
      <c r="P137" s="7" t="s">
        <v>25</v>
      </c>
      <c r="Q137" s="7" t="s">
        <v>65</v>
      </c>
      <c r="R137" s="28">
        <f t="shared" si="2"/>
        <v>8.0572892188425949E-2</v>
      </c>
    </row>
    <row r="138" spans="1:18" x14ac:dyDescent="0.3">
      <c r="A138" s="3" t="s">
        <v>405</v>
      </c>
      <c r="B138" s="4">
        <v>45407</v>
      </c>
      <c r="C138" s="3" t="s">
        <v>406</v>
      </c>
      <c r="D138" s="3" t="s">
        <v>29</v>
      </c>
      <c r="E138" s="3" t="s">
        <v>40</v>
      </c>
      <c r="F138" s="3" t="s">
        <v>77</v>
      </c>
      <c r="G138" s="3" t="s">
        <v>22</v>
      </c>
      <c r="H138" s="3" t="s">
        <v>105</v>
      </c>
      <c r="I138" s="3" t="s">
        <v>157</v>
      </c>
      <c r="J138" s="3">
        <v>2</v>
      </c>
      <c r="K138" s="5">
        <v>24027.73</v>
      </c>
      <c r="L138" s="5">
        <v>43249.91</v>
      </c>
      <c r="M138" s="6">
        <v>10</v>
      </c>
      <c r="N138" s="48">
        <v>1811.44</v>
      </c>
      <c r="O138" s="5">
        <v>148.07</v>
      </c>
      <c r="P138" s="3" t="s">
        <v>45</v>
      </c>
      <c r="Q138" s="3" t="s">
        <v>26</v>
      </c>
      <c r="R138" s="28">
        <f t="shared" si="2"/>
        <v>4.1883092935915932E-2</v>
      </c>
    </row>
    <row r="139" spans="1:18" x14ac:dyDescent="0.3">
      <c r="A139" s="7" t="s">
        <v>407</v>
      </c>
      <c r="B139" s="8">
        <v>45408</v>
      </c>
      <c r="C139" s="7" t="s">
        <v>408</v>
      </c>
      <c r="D139" s="7" t="s">
        <v>39</v>
      </c>
      <c r="E139" s="7" t="s">
        <v>20</v>
      </c>
      <c r="F139" s="7" t="s">
        <v>21</v>
      </c>
      <c r="G139" s="7" t="s">
        <v>117</v>
      </c>
      <c r="H139" s="7" t="s">
        <v>153</v>
      </c>
      <c r="I139" s="7" t="s">
        <v>284</v>
      </c>
      <c r="J139" s="7">
        <v>2</v>
      </c>
      <c r="K139" s="9">
        <v>1557.61</v>
      </c>
      <c r="L139" s="9">
        <v>2803.7</v>
      </c>
      <c r="M139" s="10">
        <v>10</v>
      </c>
      <c r="N139" s="49">
        <v>658.37</v>
      </c>
      <c r="O139" s="9">
        <v>92.87</v>
      </c>
      <c r="P139" s="7" t="s">
        <v>35</v>
      </c>
      <c r="Q139" s="7" t="s">
        <v>57</v>
      </c>
      <c r="R139" s="28">
        <f t="shared" si="2"/>
        <v>0.23482184256518174</v>
      </c>
    </row>
    <row r="140" spans="1:18" x14ac:dyDescent="0.3">
      <c r="A140" s="3" t="s">
        <v>409</v>
      </c>
      <c r="B140" s="4">
        <v>45409</v>
      </c>
      <c r="C140" s="3" t="s">
        <v>410</v>
      </c>
      <c r="D140" s="3" t="s">
        <v>39</v>
      </c>
      <c r="E140" s="3" t="s">
        <v>20</v>
      </c>
      <c r="F140" s="3" t="s">
        <v>129</v>
      </c>
      <c r="G140" s="3" t="s">
        <v>134</v>
      </c>
      <c r="H140" s="3" t="s">
        <v>244</v>
      </c>
      <c r="I140" s="3" t="s">
        <v>411</v>
      </c>
      <c r="J140" s="3">
        <v>2</v>
      </c>
      <c r="K140" s="5">
        <v>1572.67</v>
      </c>
      <c r="L140" s="5">
        <v>3145.34</v>
      </c>
      <c r="M140" s="6">
        <v>0</v>
      </c>
      <c r="N140" s="48">
        <v>667.51</v>
      </c>
      <c r="O140" s="5">
        <v>354.3</v>
      </c>
      <c r="P140" s="3" t="s">
        <v>83</v>
      </c>
      <c r="Q140" s="3" t="s">
        <v>36</v>
      </c>
      <c r="R140" s="28">
        <f t="shared" si="2"/>
        <v>0.21222189016131801</v>
      </c>
    </row>
    <row r="141" spans="1:18" x14ac:dyDescent="0.3">
      <c r="A141" s="7" t="s">
        <v>412</v>
      </c>
      <c r="B141" s="8">
        <v>45409</v>
      </c>
      <c r="C141" s="7" t="s">
        <v>413</v>
      </c>
      <c r="D141" s="7" t="s">
        <v>19</v>
      </c>
      <c r="E141" s="7" t="s">
        <v>20</v>
      </c>
      <c r="F141" s="7" t="s">
        <v>129</v>
      </c>
      <c r="G141" s="7" t="s">
        <v>49</v>
      </c>
      <c r="H141" s="7" t="s">
        <v>98</v>
      </c>
      <c r="I141" s="7" t="s">
        <v>299</v>
      </c>
      <c r="J141" s="7">
        <v>3</v>
      </c>
      <c r="K141" s="9">
        <v>2045.56</v>
      </c>
      <c r="L141" s="9">
        <v>6136.68</v>
      </c>
      <c r="M141" s="10">
        <v>0</v>
      </c>
      <c r="N141" s="49">
        <v>1134.9000000000001</v>
      </c>
      <c r="O141" s="9">
        <v>264.12</v>
      </c>
      <c r="P141" s="7" t="s">
        <v>25</v>
      </c>
      <c r="Q141" s="7" t="s">
        <v>65</v>
      </c>
      <c r="R141" s="28">
        <f t="shared" si="2"/>
        <v>0.18493713213007684</v>
      </c>
    </row>
    <row r="142" spans="1:18" x14ac:dyDescent="0.3">
      <c r="A142" s="3" t="s">
        <v>414</v>
      </c>
      <c r="B142" s="4">
        <v>45410</v>
      </c>
      <c r="C142" s="3" t="s">
        <v>415</v>
      </c>
      <c r="D142" s="3" t="s">
        <v>19</v>
      </c>
      <c r="E142" s="3" t="s">
        <v>20</v>
      </c>
      <c r="F142" s="3" t="s">
        <v>54</v>
      </c>
      <c r="G142" s="3" t="s">
        <v>22</v>
      </c>
      <c r="H142" s="3" t="s">
        <v>55</v>
      </c>
      <c r="I142" s="3" t="s">
        <v>416</v>
      </c>
      <c r="J142" s="3">
        <v>1</v>
      </c>
      <c r="K142" s="5">
        <v>3876.49</v>
      </c>
      <c r="L142" s="5">
        <v>3488.84</v>
      </c>
      <c r="M142" s="6">
        <v>10</v>
      </c>
      <c r="N142" s="48">
        <v>95.8</v>
      </c>
      <c r="O142" s="5">
        <v>339.92</v>
      </c>
      <c r="P142" s="3" t="s">
        <v>25</v>
      </c>
      <c r="Q142" s="3" t="s">
        <v>26</v>
      </c>
      <c r="R142" s="28">
        <f t="shared" si="2"/>
        <v>2.7458983501679638E-2</v>
      </c>
    </row>
    <row r="143" spans="1:18" x14ac:dyDescent="0.3">
      <c r="A143" s="7" t="s">
        <v>417</v>
      </c>
      <c r="B143" s="8">
        <v>45411</v>
      </c>
      <c r="C143" s="7" t="s">
        <v>415</v>
      </c>
      <c r="D143" s="7" t="s">
        <v>19</v>
      </c>
      <c r="E143" s="7" t="s">
        <v>60</v>
      </c>
      <c r="F143" s="7" t="s">
        <v>104</v>
      </c>
      <c r="G143" s="7" t="s">
        <v>32</v>
      </c>
      <c r="H143" s="7" t="s">
        <v>143</v>
      </c>
      <c r="I143" s="7" t="s">
        <v>385</v>
      </c>
      <c r="J143" s="7">
        <v>1</v>
      </c>
      <c r="K143" s="9">
        <v>9759.4599999999991</v>
      </c>
      <c r="L143" s="9">
        <v>7807.57</v>
      </c>
      <c r="M143" s="10">
        <v>20</v>
      </c>
      <c r="N143" s="49">
        <v>322.13</v>
      </c>
      <c r="O143" s="9">
        <v>338.05</v>
      </c>
      <c r="P143" s="7" t="s">
        <v>64</v>
      </c>
      <c r="Q143" s="7" t="s">
        <v>65</v>
      </c>
      <c r="R143" s="28">
        <f t="shared" si="2"/>
        <v>4.1258675874824048E-2</v>
      </c>
    </row>
    <row r="144" spans="1:18" x14ac:dyDescent="0.3">
      <c r="A144" s="3" t="s">
        <v>418</v>
      </c>
      <c r="B144" s="4">
        <v>45413</v>
      </c>
      <c r="C144" s="3" t="s">
        <v>419</v>
      </c>
      <c r="D144" s="3" t="s">
        <v>39</v>
      </c>
      <c r="E144" s="3" t="s">
        <v>30</v>
      </c>
      <c r="F144" s="3" t="s">
        <v>226</v>
      </c>
      <c r="G144" s="3" t="s">
        <v>134</v>
      </c>
      <c r="H144" s="3" t="s">
        <v>139</v>
      </c>
      <c r="I144" s="3" t="s">
        <v>220</v>
      </c>
      <c r="J144" s="3">
        <v>1</v>
      </c>
      <c r="K144" s="5">
        <v>910.37</v>
      </c>
      <c r="L144" s="5">
        <v>819.33</v>
      </c>
      <c r="M144" s="6">
        <v>10</v>
      </c>
      <c r="N144" s="48">
        <v>101.28</v>
      </c>
      <c r="O144" s="5">
        <v>52.77</v>
      </c>
      <c r="P144" s="3" t="s">
        <v>64</v>
      </c>
      <c r="Q144" s="3" t="s">
        <v>26</v>
      </c>
      <c r="R144" s="28">
        <f t="shared" si="2"/>
        <v>0.1236131961480722</v>
      </c>
    </row>
    <row r="145" spans="1:18" x14ac:dyDescent="0.3">
      <c r="A145" s="7" t="s">
        <v>420</v>
      </c>
      <c r="B145" s="8">
        <v>45413</v>
      </c>
      <c r="C145" s="7" t="s">
        <v>272</v>
      </c>
      <c r="D145" s="7" t="s">
        <v>29</v>
      </c>
      <c r="E145" s="7" t="s">
        <v>40</v>
      </c>
      <c r="F145" s="7" t="s">
        <v>77</v>
      </c>
      <c r="G145" s="7" t="s">
        <v>134</v>
      </c>
      <c r="H145" s="7" t="s">
        <v>244</v>
      </c>
      <c r="I145" s="7" t="s">
        <v>411</v>
      </c>
      <c r="J145" s="7">
        <v>1</v>
      </c>
      <c r="K145" s="9">
        <v>1769.77</v>
      </c>
      <c r="L145" s="9">
        <v>1681.28</v>
      </c>
      <c r="M145" s="10">
        <v>5</v>
      </c>
      <c r="N145" s="49">
        <v>304.04000000000002</v>
      </c>
      <c r="O145" s="9">
        <v>296.04000000000002</v>
      </c>
      <c r="P145" s="7" t="s">
        <v>25</v>
      </c>
      <c r="Q145" s="7" t="s">
        <v>26</v>
      </c>
      <c r="R145" s="28">
        <f t="shared" si="2"/>
        <v>0.18083840883136659</v>
      </c>
    </row>
    <row r="146" spans="1:18" x14ac:dyDescent="0.3">
      <c r="A146" s="3" t="s">
        <v>421</v>
      </c>
      <c r="B146" s="4">
        <v>45414</v>
      </c>
      <c r="C146" s="3" t="s">
        <v>393</v>
      </c>
      <c r="D146" s="3" t="s">
        <v>39</v>
      </c>
      <c r="E146" s="3" t="s">
        <v>30</v>
      </c>
      <c r="F146" s="3" t="s">
        <v>226</v>
      </c>
      <c r="G146" s="3" t="s">
        <v>32</v>
      </c>
      <c r="H146" s="3" t="s">
        <v>143</v>
      </c>
      <c r="I146" s="3" t="s">
        <v>321</v>
      </c>
      <c r="J146" s="3">
        <v>1</v>
      </c>
      <c r="K146" s="5">
        <v>2295.0500000000002</v>
      </c>
      <c r="L146" s="5">
        <v>2065.5500000000002</v>
      </c>
      <c r="M146" s="6">
        <v>10</v>
      </c>
      <c r="N146" s="48">
        <v>130.03</v>
      </c>
      <c r="O146" s="5">
        <v>89.03</v>
      </c>
      <c r="P146" s="3" t="s">
        <v>45</v>
      </c>
      <c r="Q146" s="3" t="s">
        <v>26</v>
      </c>
      <c r="R146" s="28">
        <f t="shared" si="2"/>
        <v>6.2951756190845046E-2</v>
      </c>
    </row>
    <row r="147" spans="1:18" x14ac:dyDescent="0.3">
      <c r="A147" s="7" t="s">
        <v>422</v>
      </c>
      <c r="B147" s="8">
        <v>45417</v>
      </c>
      <c r="C147" s="7" t="s">
        <v>348</v>
      </c>
      <c r="D147" s="7" t="s">
        <v>19</v>
      </c>
      <c r="E147" s="7" t="s">
        <v>20</v>
      </c>
      <c r="F147" s="7" t="s">
        <v>21</v>
      </c>
      <c r="G147" s="7" t="s">
        <v>22</v>
      </c>
      <c r="H147" s="7" t="s">
        <v>23</v>
      </c>
      <c r="I147" s="7" t="s">
        <v>176</v>
      </c>
      <c r="J147" s="7">
        <v>2</v>
      </c>
      <c r="K147" s="9">
        <v>61925.59</v>
      </c>
      <c r="L147" s="9">
        <v>117658.62</v>
      </c>
      <c r="M147" s="10">
        <v>5</v>
      </c>
      <c r="N147" s="49">
        <v>13626.8</v>
      </c>
      <c r="O147" s="9">
        <v>190.52</v>
      </c>
      <c r="P147" s="7" t="s">
        <v>35</v>
      </c>
      <c r="Q147" s="7" t="s">
        <v>26</v>
      </c>
      <c r="R147" s="28">
        <f t="shared" si="2"/>
        <v>0.11581641872053233</v>
      </c>
    </row>
    <row r="148" spans="1:18" x14ac:dyDescent="0.3">
      <c r="A148" s="3" t="s">
        <v>423</v>
      </c>
      <c r="B148" s="4">
        <v>45417</v>
      </c>
      <c r="C148" s="3" t="s">
        <v>121</v>
      </c>
      <c r="D148" s="3" t="s">
        <v>29</v>
      </c>
      <c r="E148" s="3" t="s">
        <v>40</v>
      </c>
      <c r="F148" s="3" t="s">
        <v>77</v>
      </c>
      <c r="G148" s="3" t="s">
        <v>49</v>
      </c>
      <c r="H148" s="3" t="s">
        <v>62</v>
      </c>
      <c r="I148" s="3" t="s">
        <v>424</v>
      </c>
      <c r="J148" s="3">
        <v>1</v>
      </c>
      <c r="K148" s="5">
        <v>9791.49</v>
      </c>
      <c r="L148" s="5">
        <v>8812.34</v>
      </c>
      <c r="M148" s="6">
        <v>10</v>
      </c>
      <c r="N148" s="48">
        <v>1718.92</v>
      </c>
      <c r="O148" s="5">
        <v>292.33999999999997</v>
      </c>
      <c r="P148" s="3" t="s">
        <v>25</v>
      </c>
      <c r="Q148" s="3" t="s">
        <v>57</v>
      </c>
      <c r="R148" s="28">
        <f t="shared" si="2"/>
        <v>0.19505829325695559</v>
      </c>
    </row>
    <row r="149" spans="1:18" x14ac:dyDescent="0.3">
      <c r="A149" s="7" t="s">
        <v>425</v>
      </c>
      <c r="B149" s="8">
        <v>45418</v>
      </c>
      <c r="C149" s="7" t="s">
        <v>426</v>
      </c>
      <c r="D149" s="7" t="s">
        <v>19</v>
      </c>
      <c r="E149" s="7" t="s">
        <v>30</v>
      </c>
      <c r="F149" s="7" t="s">
        <v>48</v>
      </c>
      <c r="G149" s="7" t="s">
        <v>32</v>
      </c>
      <c r="H149" s="7" t="s">
        <v>86</v>
      </c>
      <c r="I149" s="7" t="s">
        <v>87</v>
      </c>
      <c r="J149" s="7">
        <v>1</v>
      </c>
      <c r="K149" s="9">
        <v>9763.4</v>
      </c>
      <c r="L149" s="9">
        <v>9763.4</v>
      </c>
      <c r="M149" s="10">
        <v>0</v>
      </c>
      <c r="N149" s="49">
        <v>1884.77</v>
      </c>
      <c r="O149" s="9">
        <v>194.07</v>
      </c>
      <c r="P149" s="7" t="s">
        <v>25</v>
      </c>
      <c r="Q149" s="7" t="s">
        <v>26</v>
      </c>
      <c r="R149" s="28">
        <f t="shared" si="2"/>
        <v>0.19304443124321446</v>
      </c>
    </row>
    <row r="150" spans="1:18" x14ac:dyDescent="0.3">
      <c r="A150" s="3" t="s">
        <v>427</v>
      </c>
      <c r="B150" s="4">
        <v>45419</v>
      </c>
      <c r="C150" s="3" t="s">
        <v>428</v>
      </c>
      <c r="D150" s="3" t="s">
        <v>39</v>
      </c>
      <c r="E150" s="3" t="s">
        <v>60</v>
      </c>
      <c r="F150" s="3" t="s">
        <v>72</v>
      </c>
      <c r="G150" s="3" t="s">
        <v>22</v>
      </c>
      <c r="H150" s="3" t="s">
        <v>55</v>
      </c>
      <c r="I150" s="3" t="s">
        <v>323</v>
      </c>
      <c r="J150" s="3">
        <v>2</v>
      </c>
      <c r="K150" s="5">
        <v>43190.6</v>
      </c>
      <c r="L150" s="5">
        <v>82062.14</v>
      </c>
      <c r="M150" s="6">
        <v>5</v>
      </c>
      <c r="N150" s="48">
        <v>4280.6099999999997</v>
      </c>
      <c r="O150" s="5">
        <v>67.430000000000007</v>
      </c>
      <c r="P150" s="3" t="s">
        <v>83</v>
      </c>
      <c r="Q150" s="3" t="s">
        <v>26</v>
      </c>
      <c r="R150" s="28">
        <f t="shared" si="2"/>
        <v>5.216303157582778E-2</v>
      </c>
    </row>
    <row r="151" spans="1:18" x14ac:dyDescent="0.3">
      <c r="A151" s="7" t="s">
        <v>429</v>
      </c>
      <c r="B151" s="8">
        <v>45420</v>
      </c>
      <c r="C151" s="7" t="s">
        <v>430</v>
      </c>
      <c r="D151" s="7" t="s">
        <v>39</v>
      </c>
      <c r="E151" s="7" t="s">
        <v>20</v>
      </c>
      <c r="F151" s="7" t="s">
        <v>129</v>
      </c>
      <c r="G151" s="7" t="s">
        <v>42</v>
      </c>
      <c r="H151" s="7" t="s">
        <v>81</v>
      </c>
      <c r="I151" s="7" t="s">
        <v>431</v>
      </c>
      <c r="J151" s="7">
        <v>4</v>
      </c>
      <c r="K151" s="9">
        <v>612.05999999999995</v>
      </c>
      <c r="L151" s="9">
        <v>2081</v>
      </c>
      <c r="M151" s="10">
        <v>15</v>
      </c>
      <c r="N151" s="49">
        <v>140.21</v>
      </c>
      <c r="O151" s="9">
        <v>268.22000000000003</v>
      </c>
      <c r="P151" s="7" t="s">
        <v>25</v>
      </c>
      <c r="Q151" s="7" t="s">
        <v>57</v>
      </c>
      <c r="R151" s="28">
        <f t="shared" si="2"/>
        <v>6.7376261412782315E-2</v>
      </c>
    </row>
    <row r="152" spans="1:18" x14ac:dyDescent="0.3">
      <c r="A152" s="3" t="s">
        <v>432</v>
      </c>
      <c r="B152" s="4">
        <v>45420</v>
      </c>
      <c r="C152" s="3" t="s">
        <v>433</v>
      </c>
      <c r="D152" s="3" t="s">
        <v>39</v>
      </c>
      <c r="E152" s="3" t="s">
        <v>20</v>
      </c>
      <c r="F152" s="3" t="s">
        <v>21</v>
      </c>
      <c r="G152" s="3" t="s">
        <v>49</v>
      </c>
      <c r="H152" s="3" t="s">
        <v>98</v>
      </c>
      <c r="I152" s="3" t="s">
        <v>99</v>
      </c>
      <c r="J152" s="3">
        <v>1</v>
      </c>
      <c r="K152" s="5">
        <v>839.07</v>
      </c>
      <c r="L152" s="5">
        <v>839.07</v>
      </c>
      <c r="M152" s="6">
        <v>0</v>
      </c>
      <c r="N152" s="48">
        <v>224.71</v>
      </c>
      <c r="O152" s="5">
        <v>292.52</v>
      </c>
      <c r="P152" s="3" t="s">
        <v>45</v>
      </c>
      <c r="Q152" s="3" t="s">
        <v>26</v>
      </c>
      <c r="R152" s="28">
        <f t="shared" si="2"/>
        <v>0.26780840692671648</v>
      </c>
    </row>
    <row r="153" spans="1:18" x14ac:dyDescent="0.3">
      <c r="A153" s="7" t="s">
        <v>434</v>
      </c>
      <c r="B153" s="8">
        <v>45421</v>
      </c>
      <c r="C153" s="7" t="s">
        <v>435</v>
      </c>
      <c r="D153" s="7" t="s">
        <v>39</v>
      </c>
      <c r="E153" s="7" t="s">
        <v>20</v>
      </c>
      <c r="F153" s="7" t="s">
        <v>129</v>
      </c>
      <c r="G153" s="7" t="s">
        <v>42</v>
      </c>
      <c r="H153" s="7" t="s">
        <v>43</v>
      </c>
      <c r="I153" s="7" t="s">
        <v>44</v>
      </c>
      <c r="J153" s="7">
        <v>2</v>
      </c>
      <c r="K153" s="9">
        <v>609.48</v>
      </c>
      <c r="L153" s="9">
        <v>1218.96</v>
      </c>
      <c r="M153" s="10">
        <v>0</v>
      </c>
      <c r="N153" s="49">
        <v>138.31</v>
      </c>
      <c r="O153" s="9">
        <v>126.49</v>
      </c>
      <c r="P153" s="7" t="s">
        <v>64</v>
      </c>
      <c r="Q153" s="7" t="s">
        <v>26</v>
      </c>
      <c r="R153" s="28">
        <f t="shared" si="2"/>
        <v>0.11346557721336221</v>
      </c>
    </row>
    <row r="154" spans="1:18" x14ac:dyDescent="0.3">
      <c r="A154" s="3" t="s">
        <v>436</v>
      </c>
      <c r="B154" s="4">
        <v>45421</v>
      </c>
      <c r="C154" s="3" t="s">
        <v>437</v>
      </c>
      <c r="D154" s="3" t="s">
        <v>19</v>
      </c>
      <c r="E154" s="3" t="s">
        <v>30</v>
      </c>
      <c r="F154" s="3" t="s">
        <v>226</v>
      </c>
      <c r="G154" s="3" t="s">
        <v>117</v>
      </c>
      <c r="H154" s="3" t="s">
        <v>118</v>
      </c>
      <c r="I154" s="3" t="s">
        <v>438</v>
      </c>
      <c r="J154" s="3">
        <v>3</v>
      </c>
      <c r="K154" s="5">
        <v>228.07</v>
      </c>
      <c r="L154" s="5">
        <v>581.58000000000004</v>
      </c>
      <c r="M154" s="6">
        <v>15</v>
      </c>
      <c r="N154" s="48">
        <v>94.43</v>
      </c>
      <c r="O154" s="5">
        <v>251.5</v>
      </c>
      <c r="P154" s="3" t="s">
        <v>35</v>
      </c>
      <c r="Q154" s="3" t="s">
        <v>65</v>
      </c>
      <c r="R154" s="28">
        <f t="shared" si="2"/>
        <v>0.1623680319130644</v>
      </c>
    </row>
    <row r="155" spans="1:18" x14ac:dyDescent="0.3">
      <c r="A155" s="7" t="s">
        <v>439</v>
      </c>
      <c r="B155" s="8">
        <v>45421</v>
      </c>
      <c r="C155" s="7" t="s">
        <v>440</v>
      </c>
      <c r="D155" s="7" t="s">
        <v>19</v>
      </c>
      <c r="E155" s="7" t="s">
        <v>60</v>
      </c>
      <c r="F155" s="7" t="s">
        <v>104</v>
      </c>
      <c r="G155" s="7" t="s">
        <v>49</v>
      </c>
      <c r="H155" s="7" t="s">
        <v>62</v>
      </c>
      <c r="I155" s="7" t="s">
        <v>63</v>
      </c>
      <c r="J155" s="7">
        <v>2</v>
      </c>
      <c r="K155" s="9">
        <v>11671.85</v>
      </c>
      <c r="L155" s="9">
        <v>23343.7</v>
      </c>
      <c r="M155" s="10">
        <v>0</v>
      </c>
      <c r="N155" s="49">
        <v>4082.75</v>
      </c>
      <c r="O155" s="9">
        <v>118.62</v>
      </c>
      <c r="P155" s="7" t="s">
        <v>64</v>
      </c>
      <c r="Q155" s="7" t="s">
        <v>65</v>
      </c>
      <c r="R155" s="28">
        <f t="shared" si="2"/>
        <v>0.17489729563008435</v>
      </c>
    </row>
    <row r="156" spans="1:18" x14ac:dyDescent="0.3">
      <c r="A156" s="3" t="s">
        <v>441</v>
      </c>
      <c r="B156" s="4">
        <v>45422</v>
      </c>
      <c r="C156" s="3" t="s">
        <v>442</v>
      </c>
      <c r="D156" s="3" t="s">
        <v>39</v>
      </c>
      <c r="E156" s="3" t="s">
        <v>40</v>
      </c>
      <c r="F156" s="3" t="s">
        <v>90</v>
      </c>
      <c r="G156" s="3" t="s">
        <v>49</v>
      </c>
      <c r="H156" s="3" t="s">
        <v>62</v>
      </c>
      <c r="I156" s="3" t="s">
        <v>341</v>
      </c>
      <c r="J156" s="3">
        <v>5</v>
      </c>
      <c r="K156" s="5">
        <v>8076.4</v>
      </c>
      <c r="L156" s="5">
        <v>36343.800000000003</v>
      </c>
      <c r="M156" s="6">
        <v>10</v>
      </c>
      <c r="N156" s="48">
        <v>5748.76</v>
      </c>
      <c r="O156" s="5">
        <v>320.19</v>
      </c>
      <c r="P156" s="3" t="s">
        <v>35</v>
      </c>
      <c r="Q156" s="3" t="s">
        <v>26</v>
      </c>
      <c r="R156" s="28">
        <f t="shared" si="2"/>
        <v>0.15817718565477468</v>
      </c>
    </row>
    <row r="157" spans="1:18" x14ac:dyDescent="0.3">
      <c r="A157" s="7" t="s">
        <v>443</v>
      </c>
      <c r="B157" s="8">
        <v>45422</v>
      </c>
      <c r="C157" s="7" t="s">
        <v>444</v>
      </c>
      <c r="D157" s="7" t="s">
        <v>39</v>
      </c>
      <c r="E157" s="7" t="s">
        <v>60</v>
      </c>
      <c r="F157" s="7" t="s">
        <v>104</v>
      </c>
      <c r="G157" s="7" t="s">
        <v>134</v>
      </c>
      <c r="H157" s="7" t="s">
        <v>91</v>
      </c>
      <c r="I157" s="7" t="s">
        <v>188</v>
      </c>
      <c r="J157" s="7">
        <v>1</v>
      </c>
      <c r="K157" s="9">
        <v>3995.25</v>
      </c>
      <c r="L157" s="9">
        <v>3395.96</v>
      </c>
      <c r="M157" s="10">
        <v>15</v>
      </c>
      <c r="N157" s="49">
        <v>625.4</v>
      </c>
      <c r="O157" s="9">
        <v>198.14</v>
      </c>
      <c r="P157" s="7" t="s">
        <v>25</v>
      </c>
      <c r="Q157" s="7" t="s">
        <v>57</v>
      </c>
      <c r="R157" s="28">
        <f t="shared" si="2"/>
        <v>0.18416000188459228</v>
      </c>
    </row>
    <row r="158" spans="1:18" x14ac:dyDescent="0.3">
      <c r="A158" s="3" t="s">
        <v>445</v>
      </c>
      <c r="B158" s="4">
        <v>45423</v>
      </c>
      <c r="C158" s="3" t="s">
        <v>446</v>
      </c>
      <c r="D158" s="3" t="s">
        <v>39</v>
      </c>
      <c r="E158" s="3" t="s">
        <v>30</v>
      </c>
      <c r="F158" s="3" t="s">
        <v>226</v>
      </c>
      <c r="G158" s="3" t="s">
        <v>134</v>
      </c>
      <c r="H158" s="3" t="s">
        <v>244</v>
      </c>
      <c r="I158" s="3" t="s">
        <v>334</v>
      </c>
      <c r="J158" s="3">
        <v>3</v>
      </c>
      <c r="K158" s="5">
        <v>1628.03</v>
      </c>
      <c r="L158" s="5">
        <v>4639.8900000000003</v>
      </c>
      <c r="M158" s="6">
        <v>5</v>
      </c>
      <c r="N158" s="48">
        <v>807.56</v>
      </c>
      <c r="O158" s="5">
        <v>248.26</v>
      </c>
      <c r="P158" s="3" t="s">
        <v>64</v>
      </c>
      <c r="Q158" s="3" t="s">
        <v>57</v>
      </c>
      <c r="R158" s="28">
        <f t="shared" si="2"/>
        <v>0.17404722956794233</v>
      </c>
    </row>
    <row r="159" spans="1:18" x14ac:dyDescent="0.3">
      <c r="A159" s="7" t="s">
        <v>447</v>
      </c>
      <c r="B159" s="8">
        <v>45423</v>
      </c>
      <c r="C159" s="7" t="s">
        <v>448</v>
      </c>
      <c r="D159" s="7" t="s">
        <v>29</v>
      </c>
      <c r="E159" s="7" t="s">
        <v>30</v>
      </c>
      <c r="F159" s="7" t="s">
        <v>226</v>
      </c>
      <c r="G159" s="7" t="s">
        <v>32</v>
      </c>
      <c r="H159" s="7" t="s">
        <v>33</v>
      </c>
      <c r="I159" s="7" t="s">
        <v>449</v>
      </c>
      <c r="J159" s="7">
        <v>3</v>
      </c>
      <c r="K159" s="9">
        <v>4040.99</v>
      </c>
      <c r="L159" s="9">
        <v>10304.52</v>
      </c>
      <c r="M159" s="10">
        <v>15</v>
      </c>
      <c r="N159" s="49">
        <v>1155.79</v>
      </c>
      <c r="O159" s="9">
        <v>281.14</v>
      </c>
      <c r="P159" s="7" t="s">
        <v>35</v>
      </c>
      <c r="Q159" s="7" t="s">
        <v>26</v>
      </c>
      <c r="R159" s="28">
        <f t="shared" si="2"/>
        <v>0.11216340013896814</v>
      </c>
    </row>
    <row r="160" spans="1:18" x14ac:dyDescent="0.3">
      <c r="A160" s="3" t="s">
        <v>450</v>
      </c>
      <c r="B160" s="4">
        <v>45425</v>
      </c>
      <c r="C160" s="3" t="s">
        <v>451</v>
      </c>
      <c r="D160" s="3" t="s">
        <v>19</v>
      </c>
      <c r="E160" s="3" t="s">
        <v>30</v>
      </c>
      <c r="F160" s="3" t="s">
        <v>226</v>
      </c>
      <c r="G160" s="3" t="s">
        <v>22</v>
      </c>
      <c r="H160" s="3" t="s">
        <v>55</v>
      </c>
      <c r="I160" s="3" t="s">
        <v>56</v>
      </c>
      <c r="J160" s="3">
        <v>1</v>
      </c>
      <c r="K160" s="5">
        <v>26774.32</v>
      </c>
      <c r="L160" s="5">
        <v>20080.740000000002</v>
      </c>
      <c r="M160" s="6">
        <v>25</v>
      </c>
      <c r="N160" s="48">
        <v>-644.41999999999996</v>
      </c>
      <c r="O160" s="5">
        <v>177.84</v>
      </c>
      <c r="P160" s="3" t="s">
        <v>25</v>
      </c>
      <c r="Q160" s="3" t="s">
        <v>36</v>
      </c>
      <c r="R160" s="28">
        <f t="shared" si="2"/>
        <v>-3.2091446829150716E-2</v>
      </c>
    </row>
    <row r="161" spans="1:18" x14ac:dyDescent="0.3">
      <c r="A161" s="7" t="s">
        <v>452</v>
      </c>
      <c r="B161" s="8">
        <v>45426</v>
      </c>
      <c r="C161" s="7" t="s">
        <v>28</v>
      </c>
      <c r="D161" s="7" t="s">
        <v>29</v>
      </c>
      <c r="E161" s="7" t="s">
        <v>30</v>
      </c>
      <c r="F161" s="7" t="s">
        <v>31</v>
      </c>
      <c r="G161" s="7" t="s">
        <v>134</v>
      </c>
      <c r="H161" s="7" t="s">
        <v>244</v>
      </c>
      <c r="I161" s="7" t="s">
        <v>270</v>
      </c>
      <c r="J161" s="7">
        <v>3</v>
      </c>
      <c r="K161" s="9">
        <v>535.94000000000005</v>
      </c>
      <c r="L161" s="9">
        <v>1366.65</v>
      </c>
      <c r="M161" s="10">
        <v>15</v>
      </c>
      <c r="N161" s="49">
        <v>231.86</v>
      </c>
      <c r="O161" s="9">
        <v>93.73</v>
      </c>
      <c r="P161" s="7" t="s">
        <v>35</v>
      </c>
      <c r="Q161" s="7" t="s">
        <v>26</v>
      </c>
      <c r="R161" s="28">
        <f t="shared" si="2"/>
        <v>0.16965572750887206</v>
      </c>
    </row>
    <row r="162" spans="1:18" x14ac:dyDescent="0.3">
      <c r="A162" s="3" t="s">
        <v>453</v>
      </c>
      <c r="B162" s="4">
        <v>45428</v>
      </c>
      <c r="C162" s="3" t="s">
        <v>198</v>
      </c>
      <c r="D162" s="3" t="s">
        <v>39</v>
      </c>
      <c r="E162" s="3" t="s">
        <v>60</v>
      </c>
      <c r="F162" s="3" t="s">
        <v>61</v>
      </c>
      <c r="G162" s="3" t="s">
        <v>117</v>
      </c>
      <c r="H162" s="3" t="s">
        <v>125</v>
      </c>
      <c r="I162" s="3" t="s">
        <v>454</v>
      </c>
      <c r="J162" s="3">
        <v>1</v>
      </c>
      <c r="K162" s="5">
        <v>1156.28</v>
      </c>
      <c r="L162" s="5">
        <v>809.4</v>
      </c>
      <c r="M162" s="6">
        <v>30</v>
      </c>
      <c r="N162" s="48">
        <v>135.24</v>
      </c>
      <c r="O162" s="5">
        <v>252.86</v>
      </c>
      <c r="P162" s="3" t="s">
        <v>83</v>
      </c>
      <c r="Q162" s="3" t="s">
        <v>36</v>
      </c>
      <c r="R162" s="28">
        <f t="shared" si="2"/>
        <v>0.16708673091178652</v>
      </c>
    </row>
    <row r="163" spans="1:18" x14ac:dyDescent="0.3">
      <c r="A163" s="7" t="s">
        <v>455</v>
      </c>
      <c r="B163" s="8">
        <v>45428</v>
      </c>
      <c r="C163" s="7" t="s">
        <v>456</v>
      </c>
      <c r="D163" s="7" t="s">
        <v>19</v>
      </c>
      <c r="E163" s="7" t="s">
        <v>30</v>
      </c>
      <c r="F163" s="7" t="s">
        <v>226</v>
      </c>
      <c r="G163" s="7" t="s">
        <v>117</v>
      </c>
      <c r="H163" s="7" t="s">
        <v>125</v>
      </c>
      <c r="I163" s="7" t="s">
        <v>454</v>
      </c>
      <c r="J163" s="7">
        <v>2</v>
      </c>
      <c r="K163" s="9">
        <v>1155.52</v>
      </c>
      <c r="L163" s="9">
        <v>2311.04</v>
      </c>
      <c r="M163" s="10">
        <v>0</v>
      </c>
      <c r="N163" s="49">
        <v>807.29</v>
      </c>
      <c r="O163" s="9">
        <v>52.68</v>
      </c>
      <c r="P163" s="7" t="s">
        <v>25</v>
      </c>
      <c r="Q163" s="7" t="s">
        <v>57</v>
      </c>
      <c r="R163" s="28">
        <f t="shared" si="2"/>
        <v>0.34931892135142617</v>
      </c>
    </row>
    <row r="164" spans="1:18" x14ac:dyDescent="0.3">
      <c r="A164" s="3" t="s">
        <v>457</v>
      </c>
      <c r="B164" s="4">
        <v>45428</v>
      </c>
      <c r="C164" s="3" t="s">
        <v>94</v>
      </c>
      <c r="D164" s="3" t="s">
        <v>19</v>
      </c>
      <c r="E164" s="3" t="s">
        <v>60</v>
      </c>
      <c r="F164" s="3" t="s">
        <v>72</v>
      </c>
      <c r="G164" s="3" t="s">
        <v>49</v>
      </c>
      <c r="H164" s="3" t="s">
        <v>91</v>
      </c>
      <c r="I164" s="3" t="s">
        <v>206</v>
      </c>
      <c r="J164" s="3">
        <v>2</v>
      </c>
      <c r="K164" s="5">
        <v>1610.37</v>
      </c>
      <c r="L164" s="5">
        <v>2898.67</v>
      </c>
      <c r="M164" s="6">
        <v>10</v>
      </c>
      <c r="N164" s="48">
        <v>263.45</v>
      </c>
      <c r="O164" s="5">
        <v>63.25</v>
      </c>
      <c r="P164" s="3" t="s">
        <v>25</v>
      </c>
      <c r="Q164" s="3" t="s">
        <v>26</v>
      </c>
      <c r="R164" s="28">
        <f t="shared" si="2"/>
        <v>9.0886510020112665E-2</v>
      </c>
    </row>
    <row r="165" spans="1:18" x14ac:dyDescent="0.3">
      <c r="A165" s="7" t="s">
        <v>458</v>
      </c>
      <c r="B165" s="8">
        <v>45429</v>
      </c>
      <c r="C165" s="7" t="s">
        <v>459</v>
      </c>
      <c r="D165" s="7" t="s">
        <v>39</v>
      </c>
      <c r="E165" s="7" t="s">
        <v>40</v>
      </c>
      <c r="F165" s="7" t="s">
        <v>77</v>
      </c>
      <c r="G165" s="7" t="s">
        <v>32</v>
      </c>
      <c r="H165" s="7" t="s">
        <v>73</v>
      </c>
      <c r="I165" s="7" t="s">
        <v>230</v>
      </c>
      <c r="J165" s="7">
        <v>1</v>
      </c>
      <c r="K165" s="9">
        <v>11148.42</v>
      </c>
      <c r="L165" s="9">
        <v>10033.58</v>
      </c>
      <c r="M165" s="10">
        <v>10</v>
      </c>
      <c r="N165" s="49">
        <v>349.48</v>
      </c>
      <c r="O165" s="9">
        <v>176.92</v>
      </c>
      <c r="P165" s="7" t="s">
        <v>25</v>
      </c>
      <c r="Q165" s="7" t="s">
        <v>26</v>
      </c>
      <c r="R165" s="28">
        <f t="shared" si="2"/>
        <v>3.4831037376489751E-2</v>
      </c>
    </row>
    <row r="166" spans="1:18" x14ac:dyDescent="0.3">
      <c r="A166" s="3" t="s">
        <v>460</v>
      </c>
      <c r="B166" s="4">
        <v>45430</v>
      </c>
      <c r="C166" s="3" t="s">
        <v>370</v>
      </c>
      <c r="D166" s="3" t="s">
        <v>39</v>
      </c>
      <c r="E166" s="3" t="s">
        <v>40</v>
      </c>
      <c r="F166" s="3" t="s">
        <v>90</v>
      </c>
      <c r="G166" s="3" t="s">
        <v>32</v>
      </c>
      <c r="H166" s="3" t="s">
        <v>73</v>
      </c>
      <c r="I166" s="3" t="s">
        <v>114</v>
      </c>
      <c r="J166" s="3">
        <v>1</v>
      </c>
      <c r="K166" s="5">
        <v>2804.78</v>
      </c>
      <c r="L166" s="5">
        <v>2804.78</v>
      </c>
      <c r="M166" s="6">
        <v>0</v>
      </c>
      <c r="N166" s="48">
        <v>604.48</v>
      </c>
      <c r="O166" s="5">
        <v>126.16</v>
      </c>
      <c r="P166" s="3" t="s">
        <v>64</v>
      </c>
      <c r="Q166" s="3" t="s">
        <v>36</v>
      </c>
      <c r="R166" s="28">
        <f t="shared" si="2"/>
        <v>0.21551779462203807</v>
      </c>
    </row>
    <row r="167" spans="1:18" x14ac:dyDescent="0.3">
      <c r="A167" s="7" t="s">
        <v>461</v>
      </c>
      <c r="B167" s="8">
        <v>45432</v>
      </c>
      <c r="C167" s="7" t="s">
        <v>462</v>
      </c>
      <c r="D167" s="7" t="s">
        <v>39</v>
      </c>
      <c r="E167" s="7" t="s">
        <v>20</v>
      </c>
      <c r="F167" s="7" t="s">
        <v>129</v>
      </c>
      <c r="G167" s="7" t="s">
        <v>49</v>
      </c>
      <c r="H167" s="7" t="s">
        <v>91</v>
      </c>
      <c r="I167" s="7" t="s">
        <v>92</v>
      </c>
      <c r="J167" s="7">
        <v>1</v>
      </c>
      <c r="K167" s="9">
        <v>9163.61</v>
      </c>
      <c r="L167" s="9">
        <v>7789.07</v>
      </c>
      <c r="M167" s="10">
        <v>15</v>
      </c>
      <c r="N167" s="49">
        <v>875.83</v>
      </c>
      <c r="O167" s="9">
        <v>102.99</v>
      </c>
      <c r="P167" s="7" t="s">
        <v>64</v>
      </c>
      <c r="Q167" s="7" t="s">
        <v>65</v>
      </c>
      <c r="R167" s="28">
        <f t="shared" si="2"/>
        <v>0.11244346244160087</v>
      </c>
    </row>
    <row r="168" spans="1:18" x14ac:dyDescent="0.3">
      <c r="A168" s="3" t="s">
        <v>463</v>
      </c>
      <c r="B168" s="4">
        <v>45433</v>
      </c>
      <c r="C168" s="3" t="s">
        <v>464</v>
      </c>
      <c r="D168" s="3" t="s">
        <v>39</v>
      </c>
      <c r="E168" s="3" t="s">
        <v>40</v>
      </c>
      <c r="F168" s="3" t="s">
        <v>77</v>
      </c>
      <c r="G168" s="3" t="s">
        <v>32</v>
      </c>
      <c r="H168" s="3" t="s">
        <v>73</v>
      </c>
      <c r="I168" s="3" t="s">
        <v>74</v>
      </c>
      <c r="J168" s="3">
        <v>1</v>
      </c>
      <c r="K168" s="5">
        <v>8877.52</v>
      </c>
      <c r="L168" s="5">
        <v>6214.26</v>
      </c>
      <c r="M168" s="6">
        <v>30</v>
      </c>
      <c r="N168" s="48">
        <v>-345.02</v>
      </c>
      <c r="O168" s="5">
        <v>210.91</v>
      </c>
      <c r="P168" s="3" t="s">
        <v>35</v>
      </c>
      <c r="Q168" s="3" t="s">
        <v>26</v>
      </c>
      <c r="R168" s="28">
        <f t="shared" si="2"/>
        <v>-5.552068951089912E-2</v>
      </c>
    </row>
    <row r="169" spans="1:18" x14ac:dyDescent="0.3">
      <c r="A169" s="7" t="s">
        <v>465</v>
      </c>
      <c r="B169" s="8">
        <v>45434</v>
      </c>
      <c r="C169" s="7" t="s">
        <v>265</v>
      </c>
      <c r="D169" s="7" t="s">
        <v>39</v>
      </c>
      <c r="E169" s="7" t="s">
        <v>40</v>
      </c>
      <c r="F169" s="7" t="s">
        <v>109</v>
      </c>
      <c r="G169" s="7" t="s">
        <v>32</v>
      </c>
      <c r="H169" s="7" t="s">
        <v>86</v>
      </c>
      <c r="I169" s="7" t="s">
        <v>233</v>
      </c>
      <c r="J169" s="7">
        <v>4</v>
      </c>
      <c r="K169" s="9">
        <v>2183.89</v>
      </c>
      <c r="L169" s="9">
        <v>8735.56</v>
      </c>
      <c r="M169" s="10">
        <v>0</v>
      </c>
      <c r="N169" s="49">
        <v>1437.37</v>
      </c>
      <c r="O169" s="9">
        <v>358.57</v>
      </c>
      <c r="P169" s="7" t="s">
        <v>35</v>
      </c>
      <c r="Q169" s="7" t="s">
        <v>65</v>
      </c>
      <c r="R169" s="28">
        <f t="shared" si="2"/>
        <v>0.16454239911350846</v>
      </c>
    </row>
    <row r="170" spans="1:18" x14ac:dyDescent="0.3">
      <c r="A170" s="3" t="s">
        <v>466</v>
      </c>
      <c r="B170" s="4">
        <v>45435</v>
      </c>
      <c r="C170" s="3" t="s">
        <v>467</v>
      </c>
      <c r="D170" s="3" t="s">
        <v>29</v>
      </c>
      <c r="E170" s="3" t="s">
        <v>30</v>
      </c>
      <c r="F170" s="3" t="s">
        <v>31</v>
      </c>
      <c r="G170" s="3" t="s">
        <v>49</v>
      </c>
      <c r="H170" s="3" t="s">
        <v>62</v>
      </c>
      <c r="I170" s="3" t="s">
        <v>63</v>
      </c>
      <c r="J170" s="3">
        <v>1</v>
      </c>
      <c r="K170" s="5">
        <v>6919.73</v>
      </c>
      <c r="L170" s="5">
        <v>6919.73</v>
      </c>
      <c r="M170" s="6">
        <v>0</v>
      </c>
      <c r="N170" s="48">
        <v>2084.4699999999998</v>
      </c>
      <c r="O170" s="5">
        <v>123.83</v>
      </c>
      <c r="P170" s="3" t="s">
        <v>45</v>
      </c>
      <c r="Q170" s="3" t="s">
        <v>57</v>
      </c>
      <c r="R170" s="28">
        <f t="shared" si="2"/>
        <v>0.30123574185697993</v>
      </c>
    </row>
    <row r="171" spans="1:18" x14ac:dyDescent="0.3">
      <c r="A171" s="7" t="s">
        <v>468</v>
      </c>
      <c r="B171" s="8">
        <v>45435</v>
      </c>
      <c r="C171" s="7" t="s">
        <v>469</v>
      </c>
      <c r="D171" s="7" t="s">
        <v>29</v>
      </c>
      <c r="E171" s="7" t="s">
        <v>30</v>
      </c>
      <c r="F171" s="7" t="s">
        <v>31</v>
      </c>
      <c r="G171" s="7" t="s">
        <v>32</v>
      </c>
      <c r="H171" s="7" t="s">
        <v>33</v>
      </c>
      <c r="I171" s="7" t="s">
        <v>470</v>
      </c>
      <c r="J171" s="7">
        <v>1</v>
      </c>
      <c r="K171" s="9">
        <v>10448.99</v>
      </c>
      <c r="L171" s="9">
        <v>9404.09</v>
      </c>
      <c r="M171" s="10">
        <v>10</v>
      </c>
      <c r="N171" s="49">
        <v>988.47</v>
      </c>
      <c r="O171" s="9">
        <v>34.590000000000003</v>
      </c>
      <c r="P171" s="7" t="s">
        <v>45</v>
      </c>
      <c r="Q171" s="7" t="s">
        <v>65</v>
      </c>
      <c r="R171" s="28">
        <f t="shared" si="2"/>
        <v>0.10511064866457041</v>
      </c>
    </row>
    <row r="172" spans="1:18" x14ac:dyDescent="0.3">
      <c r="A172" s="3" t="s">
        <v>471</v>
      </c>
      <c r="B172" s="4">
        <v>45436</v>
      </c>
      <c r="C172" s="3" t="s">
        <v>379</v>
      </c>
      <c r="D172" s="3" t="s">
        <v>39</v>
      </c>
      <c r="E172" s="3" t="s">
        <v>60</v>
      </c>
      <c r="F172" s="3" t="s">
        <v>68</v>
      </c>
      <c r="G172" s="3" t="s">
        <v>49</v>
      </c>
      <c r="H172" s="3" t="s">
        <v>62</v>
      </c>
      <c r="I172" s="3" t="s">
        <v>341</v>
      </c>
      <c r="J172" s="3">
        <v>1</v>
      </c>
      <c r="K172" s="5">
        <v>3881.89</v>
      </c>
      <c r="L172" s="5">
        <v>3687.8</v>
      </c>
      <c r="M172" s="6">
        <v>5</v>
      </c>
      <c r="N172" s="48">
        <v>684.54</v>
      </c>
      <c r="O172" s="5">
        <v>95.61</v>
      </c>
      <c r="P172" s="3" t="s">
        <v>25</v>
      </c>
      <c r="Q172" s="3" t="s">
        <v>65</v>
      </c>
      <c r="R172" s="28">
        <f t="shared" si="2"/>
        <v>0.1856228645805087</v>
      </c>
    </row>
    <row r="173" spans="1:18" x14ac:dyDescent="0.3">
      <c r="A173" s="7" t="s">
        <v>472</v>
      </c>
      <c r="B173" s="8">
        <v>45436</v>
      </c>
      <c r="C173" s="7" t="s">
        <v>473</v>
      </c>
      <c r="D173" s="7" t="s">
        <v>29</v>
      </c>
      <c r="E173" s="7" t="s">
        <v>60</v>
      </c>
      <c r="F173" s="7" t="s">
        <v>104</v>
      </c>
      <c r="G173" s="7" t="s">
        <v>134</v>
      </c>
      <c r="H173" s="7" t="s">
        <v>91</v>
      </c>
      <c r="I173" s="7" t="s">
        <v>168</v>
      </c>
      <c r="J173" s="7">
        <v>4</v>
      </c>
      <c r="K173" s="9">
        <v>3789.68</v>
      </c>
      <c r="L173" s="9">
        <v>12126.98</v>
      </c>
      <c r="M173" s="10">
        <v>20</v>
      </c>
      <c r="N173" s="49">
        <v>1433.99</v>
      </c>
      <c r="O173" s="9">
        <v>351.67</v>
      </c>
      <c r="P173" s="7" t="s">
        <v>64</v>
      </c>
      <c r="Q173" s="7" t="s">
        <v>65</v>
      </c>
      <c r="R173" s="28">
        <f t="shared" si="2"/>
        <v>0.11824790673358083</v>
      </c>
    </row>
    <row r="174" spans="1:18" x14ac:dyDescent="0.3">
      <c r="A174" s="3" t="s">
        <v>474</v>
      </c>
      <c r="B174" s="4">
        <v>45436</v>
      </c>
      <c r="C174" s="3" t="s">
        <v>475</v>
      </c>
      <c r="D174" s="3" t="s">
        <v>19</v>
      </c>
      <c r="E174" s="3" t="s">
        <v>20</v>
      </c>
      <c r="F174" s="3" t="s">
        <v>21</v>
      </c>
      <c r="G174" s="3" t="s">
        <v>49</v>
      </c>
      <c r="H174" s="3" t="s">
        <v>62</v>
      </c>
      <c r="I174" s="3" t="s">
        <v>122</v>
      </c>
      <c r="J174" s="3">
        <v>1</v>
      </c>
      <c r="K174" s="5">
        <v>5373.88</v>
      </c>
      <c r="L174" s="5">
        <v>5373.88</v>
      </c>
      <c r="M174" s="6">
        <v>0</v>
      </c>
      <c r="N174" s="48">
        <v>784.17</v>
      </c>
      <c r="O174" s="5">
        <v>181.67</v>
      </c>
      <c r="P174" s="3" t="s">
        <v>45</v>
      </c>
      <c r="Q174" s="3" t="s">
        <v>26</v>
      </c>
      <c r="R174" s="28">
        <f t="shared" si="2"/>
        <v>0.14592249919983324</v>
      </c>
    </row>
    <row r="175" spans="1:18" x14ac:dyDescent="0.3">
      <c r="A175" s="7" t="s">
        <v>476</v>
      </c>
      <c r="B175" s="8">
        <v>45437</v>
      </c>
      <c r="C175" s="7" t="s">
        <v>477</v>
      </c>
      <c r="D175" s="7" t="s">
        <v>19</v>
      </c>
      <c r="E175" s="7" t="s">
        <v>20</v>
      </c>
      <c r="F175" s="7" t="s">
        <v>129</v>
      </c>
      <c r="G175" s="7" t="s">
        <v>22</v>
      </c>
      <c r="H175" s="7" t="s">
        <v>23</v>
      </c>
      <c r="I175" s="7" t="s">
        <v>24</v>
      </c>
      <c r="J175" s="7">
        <v>1</v>
      </c>
      <c r="K175" s="9">
        <v>4816.21</v>
      </c>
      <c r="L175" s="9">
        <v>4816.21</v>
      </c>
      <c r="M175" s="10">
        <v>0</v>
      </c>
      <c r="N175" s="49">
        <v>591.41</v>
      </c>
      <c r="O175" s="9">
        <v>41.1</v>
      </c>
      <c r="P175" s="7" t="s">
        <v>64</v>
      </c>
      <c r="Q175" s="7" t="s">
        <v>26</v>
      </c>
      <c r="R175" s="28">
        <f t="shared" si="2"/>
        <v>0.12279572526945461</v>
      </c>
    </row>
    <row r="176" spans="1:18" x14ac:dyDescent="0.3">
      <c r="A176" s="3" t="s">
        <v>478</v>
      </c>
      <c r="B176" s="4">
        <v>45438</v>
      </c>
      <c r="C176" s="3" t="s">
        <v>479</v>
      </c>
      <c r="D176" s="3" t="s">
        <v>29</v>
      </c>
      <c r="E176" s="3" t="s">
        <v>20</v>
      </c>
      <c r="F176" s="3" t="s">
        <v>54</v>
      </c>
      <c r="G176" s="3" t="s">
        <v>22</v>
      </c>
      <c r="H176" s="3" t="s">
        <v>110</v>
      </c>
      <c r="I176" s="3" t="s">
        <v>480</v>
      </c>
      <c r="J176" s="3">
        <v>2</v>
      </c>
      <c r="K176" s="5">
        <v>64522.43</v>
      </c>
      <c r="L176" s="5">
        <v>129044.86</v>
      </c>
      <c r="M176" s="6">
        <v>0</v>
      </c>
      <c r="N176" s="48">
        <v>16148.12</v>
      </c>
      <c r="O176" s="5">
        <v>310.8</v>
      </c>
      <c r="P176" s="3" t="s">
        <v>25</v>
      </c>
      <c r="Q176" s="3" t="s">
        <v>26</v>
      </c>
      <c r="R176" s="28">
        <f t="shared" si="2"/>
        <v>0.12513570862101753</v>
      </c>
    </row>
    <row r="177" spans="1:18" x14ac:dyDescent="0.3">
      <c r="A177" s="7" t="s">
        <v>481</v>
      </c>
      <c r="B177" s="8">
        <v>45438</v>
      </c>
      <c r="C177" s="7" t="s">
        <v>482</v>
      </c>
      <c r="D177" s="7" t="s">
        <v>39</v>
      </c>
      <c r="E177" s="7" t="s">
        <v>20</v>
      </c>
      <c r="F177" s="7" t="s">
        <v>54</v>
      </c>
      <c r="G177" s="7" t="s">
        <v>49</v>
      </c>
      <c r="H177" s="7" t="s">
        <v>98</v>
      </c>
      <c r="I177" s="7" t="s">
        <v>258</v>
      </c>
      <c r="J177" s="7">
        <v>1</v>
      </c>
      <c r="K177" s="9">
        <v>13294.22</v>
      </c>
      <c r="L177" s="9">
        <v>12629.51</v>
      </c>
      <c r="M177" s="10">
        <v>5</v>
      </c>
      <c r="N177" s="49">
        <v>1793.01</v>
      </c>
      <c r="O177" s="9">
        <v>116.6</v>
      </c>
      <c r="P177" s="7" t="s">
        <v>35</v>
      </c>
      <c r="Q177" s="7" t="s">
        <v>57</v>
      </c>
      <c r="R177" s="28">
        <f t="shared" si="2"/>
        <v>0.14196987848301321</v>
      </c>
    </row>
    <row r="178" spans="1:18" x14ac:dyDescent="0.3">
      <c r="A178" s="3" t="s">
        <v>483</v>
      </c>
      <c r="B178" s="4">
        <v>45440</v>
      </c>
      <c r="C178" s="3" t="s">
        <v>484</v>
      </c>
      <c r="D178" s="3" t="s">
        <v>39</v>
      </c>
      <c r="E178" s="3" t="s">
        <v>40</v>
      </c>
      <c r="F178" s="3" t="s">
        <v>90</v>
      </c>
      <c r="G178" s="3" t="s">
        <v>49</v>
      </c>
      <c r="H178" s="3" t="s">
        <v>50</v>
      </c>
      <c r="I178" s="3" t="s">
        <v>485</v>
      </c>
      <c r="J178" s="3">
        <v>2</v>
      </c>
      <c r="K178" s="5">
        <v>2184.67</v>
      </c>
      <c r="L178" s="5">
        <v>4150.87</v>
      </c>
      <c r="M178" s="6">
        <v>5</v>
      </c>
      <c r="N178" s="48">
        <v>495.91</v>
      </c>
      <c r="O178" s="5">
        <v>200.52</v>
      </c>
      <c r="P178" s="3" t="s">
        <v>35</v>
      </c>
      <c r="Q178" s="3" t="s">
        <v>65</v>
      </c>
      <c r="R178" s="28">
        <f t="shared" si="2"/>
        <v>0.11947133974323455</v>
      </c>
    </row>
    <row r="179" spans="1:18" x14ac:dyDescent="0.3">
      <c r="A179" s="7" t="s">
        <v>486</v>
      </c>
      <c r="B179" s="8">
        <v>45443</v>
      </c>
      <c r="C179" s="7" t="s">
        <v>487</v>
      </c>
      <c r="D179" s="7" t="s">
        <v>29</v>
      </c>
      <c r="E179" s="7" t="s">
        <v>20</v>
      </c>
      <c r="F179" s="7" t="s">
        <v>21</v>
      </c>
      <c r="G179" s="7" t="s">
        <v>117</v>
      </c>
      <c r="H179" s="7" t="s">
        <v>125</v>
      </c>
      <c r="I179" s="7" t="s">
        <v>126</v>
      </c>
      <c r="J179" s="7">
        <v>1</v>
      </c>
      <c r="K179" s="9">
        <v>1449.59</v>
      </c>
      <c r="L179" s="9">
        <v>1304.6300000000001</v>
      </c>
      <c r="M179" s="10">
        <v>10</v>
      </c>
      <c r="N179" s="49">
        <v>191.5</v>
      </c>
      <c r="O179" s="9">
        <v>194.48</v>
      </c>
      <c r="P179" s="7" t="s">
        <v>45</v>
      </c>
      <c r="Q179" s="7" t="s">
        <v>26</v>
      </c>
      <c r="R179" s="28">
        <f t="shared" si="2"/>
        <v>0.14678491219732798</v>
      </c>
    </row>
    <row r="180" spans="1:18" x14ac:dyDescent="0.3">
      <c r="A180" s="3" t="s">
        <v>488</v>
      </c>
      <c r="B180" s="4">
        <v>45445</v>
      </c>
      <c r="C180" s="3" t="s">
        <v>489</v>
      </c>
      <c r="D180" s="3" t="s">
        <v>39</v>
      </c>
      <c r="E180" s="3" t="s">
        <v>60</v>
      </c>
      <c r="F180" s="3" t="s">
        <v>104</v>
      </c>
      <c r="G180" s="3" t="s">
        <v>117</v>
      </c>
      <c r="H180" s="3" t="s">
        <v>153</v>
      </c>
      <c r="I180" s="3" t="s">
        <v>356</v>
      </c>
      <c r="J180" s="3">
        <v>5</v>
      </c>
      <c r="K180" s="5">
        <v>787.98</v>
      </c>
      <c r="L180" s="5">
        <v>3939.9</v>
      </c>
      <c r="M180" s="6">
        <v>0</v>
      </c>
      <c r="N180" s="48">
        <v>1313.93</v>
      </c>
      <c r="O180" s="5">
        <v>362.38</v>
      </c>
      <c r="P180" s="3" t="s">
        <v>64</v>
      </c>
      <c r="Q180" s="3" t="s">
        <v>26</v>
      </c>
      <c r="R180" s="28">
        <f t="shared" si="2"/>
        <v>0.3334932358689307</v>
      </c>
    </row>
    <row r="181" spans="1:18" x14ac:dyDescent="0.3">
      <c r="A181" s="7" t="s">
        <v>490</v>
      </c>
      <c r="B181" s="8">
        <v>45445</v>
      </c>
      <c r="C181" s="7" t="s">
        <v>491</v>
      </c>
      <c r="D181" s="7" t="s">
        <v>19</v>
      </c>
      <c r="E181" s="7" t="s">
        <v>40</v>
      </c>
      <c r="F181" s="7" t="s">
        <v>41</v>
      </c>
      <c r="G181" s="7" t="s">
        <v>134</v>
      </c>
      <c r="H181" s="7" t="s">
        <v>139</v>
      </c>
      <c r="I181" s="7" t="s">
        <v>220</v>
      </c>
      <c r="J181" s="7">
        <v>4</v>
      </c>
      <c r="K181" s="9">
        <v>1795.09</v>
      </c>
      <c r="L181" s="9">
        <v>6462.32</v>
      </c>
      <c r="M181" s="10">
        <v>10</v>
      </c>
      <c r="N181" s="49">
        <v>1759.3</v>
      </c>
      <c r="O181" s="9">
        <v>317.51</v>
      </c>
      <c r="P181" s="7" t="s">
        <v>25</v>
      </c>
      <c r="Q181" s="7" t="s">
        <v>65</v>
      </c>
      <c r="R181" s="28">
        <f t="shared" si="2"/>
        <v>0.2722396910088018</v>
      </c>
    </row>
    <row r="182" spans="1:18" x14ac:dyDescent="0.3">
      <c r="A182" s="3" t="s">
        <v>492</v>
      </c>
      <c r="B182" s="4">
        <v>45445</v>
      </c>
      <c r="C182" s="3" t="s">
        <v>493</v>
      </c>
      <c r="D182" s="3" t="s">
        <v>19</v>
      </c>
      <c r="E182" s="3" t="s">
        <v>60</v>
      </c>
      <c r="F182" s="3" t="s">
        <v>104</v>
      </c>
      <c r="G182" s="3" t="s">
        <v>42</v>
      </c>
      <c r="H182" s="3" t="s">
        <v>81</v>
      </c>
      <c r="I182" s="3" t="s">
        <v>82</v>
      </c>
      <c r="J182" s="3">
        <v>2</v>
      </c>
      <c r="K182" s="5">
        <v>1164.56</v>
      </c>
      <c r="L182" s="5">
        <v>2329.12</v>
      </c>
      <c r="M182" s="6">
        <v>0</v>
      </c>
      <c r="N182" s="48">
        <v>239.6</v>
      </c>
      <c r="O182" s="5">
        <v>85.79</v>
      </c>
      <c r="P182" s="3" t="s">
        <v>35</v>
      </c>
      <c r="Q182" s="3" t="s">
        <v>26</v>
      </c>
      <c r="R182" s="28">
        <f t="shared" si="2"/>
        <v>0.10287147077007626</v>
      </c>
    </row>
    <row r="183" spans="1:18" x14ac:dyDescent="0.3">
      <c r="A183" s="7" t="s">
        <v>494</v>
      </c>
      <c r="B183" s="8">
        <v>45447</v>
      </c>
      <c r="C183" s="7" t="s">
        <v>495</v>
      </c>
      <c r="D183" s="7" t="s">
        <v>39</v>
      </c>
      <c r="E183" s="7" t="s">
        <v>40</v>
      </c>
      <c r="F183" s="7" t="s">
        <v>109</v>
      </c>
      <c r="G183" s="7" t="s">
        <v>32</v>
      </c>
      <c r="H183" s="7" t="s">
        <v>86</v>
      </c>
      <c r="I183" s="7" t="s">
        <v>211</v>
      </c>
      <c r="J183" s="7">
        <v>1</v>
      </c>
      <c r="K183" s="9">
        <v>9222.68</v>
      </c>
      <c r="L183" s="9">
        <v>8761.5499999999993</v>
      </c>
      <c r="M183" s="10">
        <v>5</v>
      </c>
      <c r="N183" s="49">
        <v>1393.79</v>
      </c>
      <c r="O183" s="9">
        <v>79.44</v>
      </c>
      <c r="P183" s="7" t="s">
        <v>83</v>
      </c>
      <c r="Q183" s="7" t="s">
        <v>36</v>
      </c>
      <c r="R183" s="28">
        <f t="shared" si="2"/>
        <v>0.15908029971865709</v>
      </c>
    </row>
    <row r="184" spans="1:18" x14ac:dyDescent="0.3">
      <c r="A184" s="3" t="s">
        <v>496</v>
      </c>
      <c r="B184" s="4">
        <v>45447</v>
      </c>
      <c r="C184" s="3" t="s">
        <v>497</v>
      </c>
      <c r="D184" s="3" t="s">
        <v>29</v>
      </c>
      <c r="E184" s="3" t="s">
        <v>60</v>
      </c>
      <c r="F184" s="3" t="s">
        <v>61</v>
      </c>
      <c r="G184" s="3" t="s">
        <v>22</v>
      </c>
      <c r="H184" s="3" t="s">
        <v>110</v>
      </c>
      <c r="I184" s="3" t="s">
        <v>317</v>
      </c>
      <c r="J184" s="3">
        <v>4</v>
      </c>
      <c r="K184" s="5">
        <v>38157.19</v>
      </c>
      <c r="L184" s="5">
        <v>106840.13</v>
      </c>
      <c r="M184" s="6">
        <v>30</v>
      </c>
      <c r="N184" s="48">
        <v>-12847.48</v>
      </c>
      <c r="O184" s="5">
        <v>317.99</v>
      </c>
      <c r="P184" s="3" t="s">
        <v>64</v>
      </c>
      <c r="Q184" s="3" t="s">
        <v>57</v>
      </c>
      <c r="R184" s="28">
        <f t="shared" si="2"/>
        <v>-0.12024957288988697</v>
      </c>
    </row>
    <row r="185" spans="1:18" x14ac:dyDescent="0.3">
      <c r="A185" s="7" t="s">
        <v>498</v>
      </c>
      <c r="B185" s="8">
        <v>45447</v>
      </c>
      <c r="C185" s="7" t="s">
        <v>499</v>
      </c>
      <c r="D185" s="7" t="s">
        <v>39</v>
      </c>
      <c r="E185" s="7" t="s">
        <v>20</v>
      </c>
      <c r="F185" s="7" t="s">
        <v>54</v>
      </c>
      <c r="G185" s="7" t="s">
        <v>32</v>
      </c>
      <c r="H185" s="7" t="s">
        <v>73</v>
      </c>
      <c r="I185" s="7" t="s">
        <v>74</v>
      </c>
      <c r="J185" s="7">
        <v>1</v>
      </c>
      <c r="K185" s="9">
        <v>6654.27</v>
      </c>
      <c r="L185" s="9">
        <v>5656.13</v>
      </c>
      <c r="M185" s="10">
        <v>15</v>
      </c>
      <c r="N185" s="49">
        <v>230.69</v>
      </c>
      <c r="O185" s="9">
        <v>129.62</v>
      </c>
      <c r="P185" s="7" t="s">
        <v>25</v>
      </c>
      <c r="Q185" s="7" t="s">
        <v>57</v>
      </c>
      <c r="R185" s="28">
        <f t="shared" si="2"/>
        <v>4.0785837666390268E-2</v>
      </c>
    </row>
    <row r="186" spans="1:18" x14ac:dyDescent="0.3">
      <c r="A186" s="3" t="s">
        <v>500</v>
      </c>
      <c r="B186" s="4">
        <v>45451</v>
      </c>
      <c r="C186" s="3" t="s">
        <v>501</v>
      </c>
      <c r="D186" s="3" t="s">
        <v>19</v>
      </c>
      <c r="E186" s="3" t="s">
        <v>20</v>
      </c>
      <c r="F186" s="3" t="s">
        <v>21</v>
      </c>
      <c r="G186" s="3" t="s">
        <v>22</v>
      </c>
      <c r="H186" s="3" t="s">
        <v>23</v>
      </c>
      <c r="I186" s="3" t="s">
        <v>78</v>
      </c>
      <c r="J186" s="3">
        <v>2</v>
      </c>
      <c r="K186" s="5">
        <v>35652.76</v>
      </c>
      <c r="L186" s="5">
        <v>60609.69</v>
      </c>
      <c r="M186" s="6">
        <v>15</v>
      </c>
      <c r="N186" s="48">
        <v>1608.82</v>
      </c>
      <c r="O186" s="5">
        <v>215.55</v>
      </c>
      <c r="P186" s="3" t="s">
        <v>35</v>
      </c>
      <c r="Q186" s="3" t="s">
        <v>57</v>
      </c>
      <c r="R186" s="28">
        <f t="shared" si="2"/>
        <v>2.6543940416128179E-2</v>
      </c>
    </row>
    <row r="187" spans="1:18" x14ac:dyDescent="0.3">
      <c r="A187" s="7" t="s">
        <v>502</v>
      </c>
      <c r="B187" s="8">
        <v>45453</v>
      </c>
      <c r="C187" s="7" t="s">
        <v>503</v>
      </c>
      <c r="D187" s="7" t="s">
        <v>39</v>
      </c>
      <c r="E187" s="7" t="s">
        <v>20</v>
      </c>
      <c r="F187" s="7" t="s">
        <v>129</v>
      </c>
      <c r="G187" s="7" t="s">
        <v>117</v>
      </c>
      <c r="H187" s="7" t="s">
        <v>153</v>
      </c>
      <c r="I187" s="7" t="s">
        <v>296</v>
      </c>
      <c r="J187" s="7">
        <v>3</v>
      </c>
      <c r="K187" s="9">
        <v>1140.0899999999999</v>
      </c>
      <c r="L187" s="9">
        <v>2394.19</v>
      </c>
      <c r="M187" s="10">
        <v>30</v>
      </c>
      <c r="N187" s="49">
        <v>351.43</v>
      </c>
      <c r="O187" s="9">
        <v>68.67</v>
      </c>
      <c r="P187" s="7" t="s">
        <v>64</v>
      </c>
      <c r="Q187" s="7" t="s">
        <v>65</v>
      </c>
      <c r="R187" s="28">
        <f t="shared" si="2"/>
        <v>0.14678450749522803</v>
      </c>
    </row>
    <row r="188" spans="1:18" x14ac:dyDescent="0.3">
      <c r="A188" s="3" t="s">
        <v>504</v>
      </c>
      <c r="B188" s="4">
        <v>45457</v>
      </c>
      <c r="C188" s="3" t="s">
        <v>505</v>
      </c>
      <c r="D188" s="3" t="s">
        <v>39</v>
      </c>
      <c r="E188" s="3" t="s">
        <v>30</v>
      </c>
      <c r="F188" s="3" t="s">
        <v>226</v>
      </c>
      <c r="G188" s="3" t="s">
        <v>134</v>
      </c>
      <c r="H188" s="3" t="s">
        <v>135</v>
      </c>
      <c r="I188" s="3" t="s">
        <v>382</v>
      </c>
      <c r="J188" s="3">
        <v>3</v>
      </c>
      <c r="K188" s="5">
        <v>1524.98</v>
      </c>
      <c r="L188" s="5">
        <v>4346.1899999999996</v>
      </c>
      <c r="M188" s="6">
        <v>5</v>
      </c>
      <c r="N188" s="48">
        <v>996.54</v>
      </c>
      <c r="O188" s="5">
        <v>309.55</v>
      </c>
      <c r="P188" s="3" t="s">
        <v>35</v>
      </c>
      <c r="Q188" s="3" t="s">
        <v>65</v>
      </c>
      <c r="R188" s="28">
        <f t="shared" si="2"/>
        <v>0.22929048200837976</v>
      </c>
    </row>
    <row r="189" spans="1:18" x14ac:dyDescent="0.3">
      <c r="A189" s="7" t="s">
        <v>506</v>
      </c>
      <c r="B189" s="8">
        <v>45462</v>
      </c>
      <c r="C189" s="7" t="s">
        <v>368</v>
      </c>
      <c r="D189" s="7" t="s">
        <v>19</v>
      </c>
      <c r="E189" s="7" t="s">
        <v>40</v>
      </c>
      <c r="F189" s="7" t="s">
        <v>77</v>
      </c>
      <c r="G189" s="7" t="s">
        <v>117</v>
      </c>
      <c r="H189" s="7" t="s">
        <v>125</v>
      </c>
      <c r="I189" s="7" t="s">
        <v>126</v>
      </c>
      <c r="J189" s="7">
        <v>2</v>
      </c>
      <c r="K189" s="9">
        <v>803.39</v>
      </c>
      <c r="L189" s="9">
        <v>1526.44</v>
      </c>
      <c r="M189" s="10">
        <v>5</v>
      </c>
      <c r="N189" s="49">
        <v>265.81</v>
      </c>
      <c r="O189" s="9">
        <v>145.18</v>
      </c>
      <c r="P189" s="7" t="s">
        <v>25</v>
      </c>
      <c r="Q189" s="7" t="s">
        <v>26</v>
      </c>
      <c r="R189" s="28">
        <f t="shared" si="2"/>
        <v>0.17413720814444064</v>
      </c>
    </row>
    <row r="190" spans="1:18" x14ac:dyDescent="0.3">
      <c r="A190" s="3" t="s">
        <v>507</v>
      </c>
      <c r="B190" s="4">
        <v>45464</v>
      </c>
      <c r="C190" s="3" t="s">
        <v>377</v>
      </c>
      <c r="D190" s="3" t="s">
        <v>39</v>
      </c>
      <c r="E190" s="3" t="s">
        <v>30</v>
      </c>
      <c r="F190" s="3" t="s">
        <v>48</v>
      </c>
      <c r="G190" s="3" t="s">
        <v>134</v>
      </c>
      <c r="H190" s="3" t="s">
        <v>244</v>
      </c>
      <c r="I190" s="3" t="s">
        <v>411</v>
      </c>
      <c r="J190" s="3">
        <v>2</v>
      </c>
      <c r="K190" s="5">
        <v>930.71</v>
      </c>
      <c r="L190" s="5">
        <v>1768.35</v>
      </c>
      <c r="M190" s="6">
        <v>5</v>
      </c>
      <c r="N190" s="48">
        <v>343.82</v>
      </c>
      <c r="O190" s="5">
        <v>262.67</v>
      </c>
      <c r="P190" s="3" t="s">
        <v>25</v>
      </c>
      <c r="Q190" s="3" t="s">
        <v>57</v>
      </c>
      <c r="R190" s="28">
        <f t="shared" si="2"/>
        <v>0.19442983572256625</v>
      </c>
    </row>
    <row r="191" spans="1:18" x14ac:dyDescent="0.3">
      <c r="A191" s="7" t="s">
        <v>508</v>
      </c>
      <c r="B191" s="8">
        <v>45466</v>
      </c>
      <c r="C191" s="7" t="s">
        <v>509</v>
      </c>
      <c r="D191" s="7" t="s">
        <v>39</v>
      </c>
      <c r="E191" s="7" t="s">
        <v>30</v>
      </c>
      <c r="F191" s="7" t="s">
        <v>48</v>
      </c>
      <c r="G191" s="7" t="s">
        <v>117</v>
      </c>
      <c r="H191" s="7" t="s">
        <v>118</v>
      </c>
      <c r="I191" s="7" t="s">
        <v>279</v>
      </c>
      <c r="J191" s="7">
        <v>2</v>
      </c>
      <c r="K191" s="9">
        <v>1165.6500000000001</v>
      </c>
      <c r="L191" s="9">
        <v>2098.17</v>
      </c>
      <c r="M191" s="10">
        <v>10</v>
      </c>
      <c r="N191" s="49">
        <v>551.02</v>
      </c>
      <c r="O191" s="9">
        <v>293.41000000000003</v>
      </c>
      <c r="P191" s="7" t="s">
        <v>83</v>
      </c>
      <c r="Q191" s="7" t="s">
        <v>57</v>
      </c>
      <c r="R191" s="28">
        <f t="shared" si="2"/>
        <v>0.26261933017820288</v>
      </c>
    </row>
    <row r="192" spans="1:18" x14ac:dyDescent="0.3">
      <c r="A192" s="3" t="s">
        <v>510</v>
      </c>
      <c r="B192" s="4">
        <v>45468</v>
      </c>
      <c r="C192" s="3" t="s">
        <v>511</v>
      </c>
      <c r="D192" s="3" t="s">
        <v>39</v>
      </c>
      <c r="E192" s="3" t="s">
        <v>20</v>
      </c>
      <c r="F192" s="3" t="s">
        <v>54</v>
      </c>
      <c r="G192" s="3" t="s">
        <v>49</v>
      </c>
      <c r="H192" s="3" t="s">
        <v>62</v>
      </c>
      <c r="I192" s="3" t="s">
        <v>424</v>
      </c>
      <c r="J192" s="3">
        <v>3</v>
      </c>
      <c r="K192" s="5">
        <v>2301.12</v>
      </c>
      <c r="L192" s="5">
        <v>6558.19</v>
      </c>
      <c r="M192" s="6">
        <v>5</v>
      </c>
      <c r="N192" s="48">
        <v>940.62</v>
      </c>
      <c r="O192" s="5">
        <v>251.78</v>
      </c>
      <c r="P192" s="3" t="s">
        <v>83</v>
      </c>
      <c r="Q192" s="3" t="s">
        <v>65</v>
      </c>
      <c r="R192" s="28">
        <f t="shared" si="2"/>
        <v>0.14342676866635459</v>
      </c>
    </row>
    <row r="193" spans="1:18" x14ac:dyDescent="0.3">
      <c r="A193" s="7" t="s">
        <v>512</v>
      </c>
      <c r="B193" s="8">
        <v>45469</v>
      </c>
      <c r="C193" s="7" t="s">
        <v>513</v>
      </c>
      <c r="D193" s="7" t="s">
        <v>19</v>
      </c>
      <c r="E193" s="7" t="s">
        <v>30</v>
      </c>
      <c r="F193" s="7" t="s">
        <v>48</v>
      </c>
      <c r="G193" s="7" t="s">
        <v>22</v>
      </c>
      <c r="H193" s="7" t="s">
        <v>55</v>
      </c>
      <c r="I193" s="7" t="s">
        <v>323</v>
      </c>
      <c r="J193" s="7">
        <v>2</v>
      </c>
      <c r="K193" s="9">
        <v>47136.51</v>
      </c>
      <c r="L193" s="9">
        <v>89559.37</v>
      </c>
      <c r="M193" s="10">
        <v>5</v>
      </c>
      <c r="N193" s="49">
        <v>2583.2600000000002</v>
      </c>
      <c r="O193" s="9">
        <v>263.8</v>
      </c>
      <c r="P193" s="7" t="s">
        <v>64</v>
      </c>
      <c r="Q193" s="7" t="s">
        <v>57</v>
      </c>
      <c r="R193" s="28">
        <f t="shared" si="2"/>
        <v>2.8844106429064879E-2</v>
      </c>
    </row>
    <row r="194" spans="1:18" x14ac:dyDescent="0.3">
      <c r="A194" s="3" t="s">
        <v>514</v>
      </c>
      <c r="B194" s="4">
        <v>45470</v>
      </c>
      <c r="C194" s="3" t="s">
        <v>515</v>
      </c>
      <c r="D194" s="3" t="s">
        <v>39</v>
      </c>
      <c r="E194" s="3" t="s">
        <v>20</v>
      </c>
      <c r="F194" s="3" t="s">
        <v>54</v>
      </c>
      <c r="G194" s="3" t="s">
        <v>32</v>
      </c>
      <c r="H194" s="3" t="s">
        <v>143</v>
      </c>
      <c r="I194" s="3" t="s">
        <v>516</v>
      </c>
      <c r="J194" s="3">
        <v>3</v>
      </c>
      <c r="K194" s="5">
        <v>748.3</v>
      </c>
      <c r="L194" s="5">
        <v>2132.66</v>
      </c>
      <c r="M194" s="6">
        <v>5</v>
      </c>
      <c r="N194" s="48">
        <v>266.22000000000003</v>
      </c>
      <c r="O194" s="5">
        <v>347.16</v>
      </c>
      <c r="P194" s="3" t="s">
        <v>45</v>
      </c>
      <c r="Q194" s="3" t="s">
        <v>26</v>
      </c>
      <c r="R194" s="28">
        <f t="shared" si="2"/>
        <v>0.12483002447647541</v>
      </c>
    </row>
    <row r="195" spans="1:18" x14ac:dyDescent="0.3">
      <c r="A195" s="7" t="s">
        <v>517</v>
      </c>
      <c r="B195" s="8">
        <v>45470</v>
      </c>
      <c r="C195" s="7" t="s">
        <v>518</v>
      </c>
      <c r="D195" s="7" t="s">
        <v>39</v>
      </c>
      <c r="E195" s="7" t="s">
        <v>20</v>
      </c>
      <c r="F195" s="7" t="s">
        <v>54</v>
      </c>
      <c r="G195" s="7" t="s">
        <v>32</v>
      </c>
      <c r="H195" s="7" t="s">
        <v>86</v>
      </c>
      <c r="I195" s="7" t="s">
        <v>233</v>
      </c>
      <c r="J195" s="7">
        <v>5</v>
      </c>
      <c r="K195" s="9">
        <v>3279.43</v>
      </c>
      <c r="L195" s="9">
        <v>14757.44</v>
      </c>
      <c r="M195" s="10">
        <v>10</v>
      </c>
      <c r="N195" s="49">
        <v>889.67</v>
      </c>
      <c r="O195" s="9">
        <v>100.84</v>
      </c>
      <c r="P195" s="7" t="s">
        <v>25</v>
      </c>
      <c r="Q195" s="7" t="s">
        <v>65</v>
      </c>
      <c r="R195" s="28">
        <f t="shared" ref="R195:R258" si="3">N195/L195</f>
        <v>6.0286201400784958E-2</v>
      </c>
    </row>
    <row r="196" spans="1:18" x14ac:dyDescent="0.3">
      <c r="A196" s="3" t="s">
        <v>519</v>
      </c>
      <c r="B196" s="4">
        <v>45473</v>
      </c>
      <c r="C196" s="3" t="s">
        <v>520</v>
      </c>
      <c r="D196" s="3" t="s">
        <v>19</v>
      </c>
      <c r="E196" s="3" t="s">
        <v>40</v>
      </c>
      <c r="F196" s="3" t="s">
        <v>109</v>
      </c>
      <c r="G196" s="3" t="s">
        <v>134</v>
      </c>
      <c r="H196" s="3" t="s">
        <v>135</v>
      </c>
      <c r="I196" s="3" t="s">
        <v>136</v>
      </c>
      <c r="J196" s="3">
        <v>1</v>
      </c>
      <c r="K196" s="5">
        <v>1160.93</v>
      </c>
      <c r="L196" s="5">
        <v>812.65</v>
      </c>
      <c r="M196" s="6">
        <v>30</v>
      </c>
      <c r="N196" s="48">
        <v>56.61</v>
      </c>
      <c r="O196" s="5">
        <v>34.159999999999997</v>
      </c>
      <c r="P196" s="3" t="s">
        <v>25</v>
      </c>
      <c r="Q196" s="3" t="s">
        <v>65</v>
      </c>
      <c r="R196" s="28">
        <f t="shared" si="3"/>
        <v>6.9660985664185077E-2</v>
      </c>
    </row>
    <row r="197" spans="1:18" x14ac:dyDescent="0.3">
      <c r="A197" s="7" t="s">
        <v>521</v>
      </c>
      <c r="B197" s="8">
        <v>45474</v>
      </c>
      <c r="C197" s="7" t="s">
        <v>482</v>
      </c>
      <c r="D197" s="7" t="s">
        <v>39</v>
      </c>
      <c r="E197" s="7" t="s">
        <v>20</v>
      </c>
      <c r="F197" s="7" t="s">
        <v>129</v>
      </c>
      <c r="G197" s="7" t="s">
        <v>32</v>
      </c>
      <c r="H197" s="7" t="s">
        <v>86</v>
      </c>
      <c r="I197" s="7" t="s">
        <v>211</v>
      </c>
      <c r="J197" s="7">
        <v>4</v>
      </c>
      <c r="K197" s="9">
        <v>5092.03</v>
      </c>
      <c r="L197" s="9">
        <v>17312.900000000001</v>
      </c>
      <c r="M197" s="10">
        <v>15</v>
      </c>
      <c r="N197" s="49">
        <v>2782.22</v>
      </c>
      <c r="O197" s="9">
        <v>258.18</v>
      </c>
      <c r="P197" s="7" t="s">
        <v>35</v>
      </c>
      <c r="Q197" s="7" t="s">
        <v>36</v>
      </c>
      <c r="R197" s="28">
        <f t="shared" si="3"/>
        <v>0.16070213540192571</v>
      </c>
    </row>
    <row r="198" spans="1:18" x14ac:dyDescent="0.3">
      <c r="A198" s="3" t="s">
        <v>522</v>
      </c>
      <c r="B198" s="4">
        <v>45475</v>
      </c>
      <c r="C198" s="3" t="s">
        <v>523</v>
      </c>
      <c r="D198" s="3" t="s">
        <v>19</v>
      </c>
      <c r="E198" s="3" t="s">
        <v>30</v>
      </c>
      <c r="F198" s="3" t="s">
        <v>48</v>
      </c>
      <c r="G198" s="3" t="s">
        <v>49</v>
      </c>
      <c r="H198" s="3" t="s">
        <v>91</v>
      </c>
      <c r="I198" s="3" t="s">
        <v>168</v>
      </c>
      <c r="J198" s="3">
        <v>2</v>
      </c>
      <c r="K198" s="5">
        <v>5679.81</v>
      </c>
      <c r="L198" s="5">
        <v>8519.7199999999993</v>
      </c>
      <c r="M198" s="6">
        <v>25</v>
      </c>
      <c r="N198" s="48">
        <v>195.96</v>
      </c>
      <c r="O198" s="5">
        <v>220.12</v>
      </c>
      <c r="P198" s="3" t="s">
        <v>83</v>
      </c>
      <c r="Q198" s="3" t="s">
        <v>65</v>
      </c>
      <c r="R198" s="28">
        <f t="shared" si="3"/>
        <v>2.3000755893386172E-2</v>
      </c>
    </row>
    <row r="199" spans="1:18" x14ac:dyDescent="0.3">
      <c r="A199" s="7" t="s">
        <v>524</v>
      </c>
      <c r="B199" s="8">
        <v>45475</v>
      </c>
      <c r="C199" s="7" t="s">
        <v>261</v>
      </c>
      <c r="D199" s="7" t="s">
        <v>39</v>
      </c>
      <c r="E199" s="7" t="s">
        <v>30</v>
      </c>
      <c r="F199" s="7" t="s">
        <v>226</v>
      </c>
      <c r="G199" s="7" t="s">
        <v>49</v>
      </c>
      <c r="H199" s="7" t="s">
        <v>98</v>
      </c>
      <c r="I199" s="7" t="s">
        <v>99</v>
      </c>
      <c r="J199" s="7">
        <v>1</v>
      </c>
      <c r="K199" s="9">
        <v>5002.1000000000004</v>
      </c>
      <c r="L199" s="9">
        <v>4501.8900000000003</v>
      </c>
      <c r="M199" s="10">
        <v>10</v>
      </c>
      <c r="N199" s="49">
        <v>1013.56</v>
      </c>
      <c r="O199" s="9">
        <v>301.39</v>
      </c>
      <c r="P199" s="7" t="s">
        <v>45</v>
      </c>
      <c r="Q199" s="7" t="s">
        <v>65</v>
      </c>
      <c r="R199" s="28">
        <f t="shared" si="3"/>
        <v>0.22514099633709395</v>
      </c>
    </row>
    <row r="200" spans="1:18" x14ac:dyDescent="0.3">
      <c r="A200" s="3" t="s">
        <v>525</v>
      </c>
      <c r="B200" s="4">
        <v>45476</v>
      </c>
      <c r="C200" s="3" t="s">
        <v>526</v>
      </c>
      <c r="D200" s="3" t="s">
        <v>39</v>
      </c>
      <c r="E200" s="3" t="s">
        <v>20</v>
      </c>
      <c r="F200" s="3" t="s">
        <v>21</v>
      </c>
      <c r="G200" s="3" t="s">
        <v>134</v>
      </c>
      <c r="H200" s="3" t="s">
        <v>139</v>
      </c>
      <c r="I200" s="3" t="s">
        <v>147</v>
      </c>
      <c r="J200" s="3">
        <v>1</v>
      </c>
      <c r="K200" s="5">
        <v>3867.67</v>
      </c>
      <c r="L200" s="5">
        <v>3094.14</v>
      </c>
      <c r="M200" s="6">
        <v>20</v>
      </c>
      <c r="N200" s="48">
        <v>265.14</v>
      </c>
      <c r="O200" s="5">
        <v>327.24</v>
      </c>
      <c r="P200" s="3" t="s">
        <v>35</v>
      </c>
      <c r="Q200" s="3" t="s">
        <v>65</v>
      </c>
      <c r="R200" s="28">
        <f t="shared" si="3"/>
        <v>8.5691015920417307E-2</v>
      </c>
    </row>
    <row r="201" spans="1:18" x14ac:dyDescent="0.3">
      <c r="A201" s="7" t="s">
        <v>527</v>
      </c>
      <c r="B201" s="8">
        <v>45476</v>
      </c>
      <c r="C201" s="7" t="s">
        <v>495</v>
      </c>
      <c r="D201" s="7" t="s">
        <v>29</v>
      </c>
      <c r="E201" s="7" t="s">
        <v>30</v>
      </c>
      <c r="F201" s="7" t="s">
        <v>48</v>
      </c>
      <c r="G201" s="7" t="s">
        <v>42</v>
      </c>
      <c r="H201" s="7" t="s">
        <v>164</v>
      </c>
      <c r="I201" s="7" t="s">
        <v>329</v>
      </c>
      <c r="J201" s="7">
        <v>1</v>
      </c>
      <c r="K201" s="9">
        <v>361.15</v>
      </c>
      <c r="L201" s="9">
        <v>361.15</v>
      </c>
      <c r="M201" s="10">
        <v>0</v>
      </c>
      <c r="N201" s="49">
        <v>69.69</v>
      </c>
      <c r="O201" s="9">
        <v>218.87</v>
      </c>
      <c r="P201" s="7" t="s">
        <v>35</v>
      </c>
      <c r="Q201" s="7" t="s">
        <v>57</v>
      </c>
      <c r="R201" s="28">
        <f t="shared" si="3"/>
        <v>0.19296691125571092</v>
      </c>
    </row>
    <row r="202" spans="1:18" x14ac:dyDescent="0.3">
      <c r="A202" s="3" t="s">
        <v>528</v>
      </c>
      <c r="B202" s="4">
        <v>45478</v>
      </c>
      <c r="C202" s="3" t="s">
        <v>529</v>
      </c>
      <c r="D202" s="3" t="s">
        <v>39</v>
      </c>
      <c r="E202" s="3" t="s">
        <v>30</v>
      </c>
      <c r="F202" s="3" t="s">
        <v>31</v>
      </c>
      <c r="G202" s="3" t="s">
        <v>42</v>
      </c>
      <c r="H202" s="3" t="s">
        <v>43</v>
      </c>
      <c r="I202" s="3" t="s">
        <v>44</v>
      </c>
      <c r="J202" s="3">
        <v>1</v>
      </c>
      <c r="K202" s="5">
        <v>180.61</v>
      </c>
      <c r="L202" s="5">
        <v>162.55000000000001</v>
      </c>
      <c r="M202" s="6">
        <v>10</v>
      </c>
      <c r="N202" s="48">
        <v>15.43</v>
      </c>
      <c r="O202" s="5">
        <v>257.24</v>
      </c>
      <c r="P202" s="3" t="s">
        <v>35</v>
      </c>
      <c r="Q202" s="3" t="s">
        <v>26</v>
      </c>
      <c r="R202" s="28">
        <f t="shared" si="3"/>
        <v>9.4924638572746842E-2</v>
      </c>
    </row>
    <row r="203" spans="1:18" x14ac:dyDescent="0.3">
      <c r="A203" s="7" t="s">
        <v>530</v>
      </c>
      <c r="B203" s="8">
        <v>45478</v>
      </c>
      <c r="C203" s="7" t="s">
        <v>286</v>
      </c>
      <c r="D203" s="7" t="s">
        <v>29</v>
      </c>
      <c r="E203" s="7" t="s">
        <v>60</v>
      </c>
      <c r="F203" s="7" t="s">
        <v>68</v>
      </c>
      <c r="G203" s="7" t="s">
        <v>22</v>
      </c>
      <c r="H203" s="7" t="s">
        <v>110</v>
      </c>
      <c r="I203" s="7" t="s">
        <v>111</v>
      </c>
      <c r="J203" s="7">
        <v>1</v>
      </c>
      <c r="K203" s="9">
        <v>49844.12</v>
      </c>
      <c r="L203" s="9">
        <v>42367.5</v>
      </c>
      <c r="M203" s="10">
        <v>15</v>
      </c>
      <c r="N203" s="49">
        <v>-131.97</v>
      </c>
      <c r="O203" s="9">
        <v>70.319999999999993</v>
      </c>
      <c r="P203" s="7" t="s">
        <v>45</v>
      </c>
      <c r="Q203" s="7" t="s">
        <v>57</v>
      </c>
      <c r="R203" s="28">
        <f t="shared" si="3"/>
        <v>-3.114887590724022E-3</v>
      </c>
    </row>
    <row r="204" spans="1:18" x14ac:dyDescent="0.3">
      <c r="A204" s="3" t="s">
        <v>531</v>
      </c>
      <c r="B204" s="4">
        <v>45478</v>
      </c>
      <c r="C204" s="3" t="s">
        <v>532</v>
      </c>
      <c r="D204" s="3" t="s">
        <v>39</v>
      </c>
      <c r="E204" s="3" t="s">
        <v>20</v>
      </c>
      <c r="F204" s="3" t="s">
        <v>54</v>
      </c>
      <c r="G204" s="3" t="s">
        <v>134</v>
      </c>
      <c r="H204" s="3" t="s">
        <v>244</v>
      </c>
      <c r="I204" s="3" t="s">
        <v>270</v>
      </c>
      <c r="J204" s="3">
        <v>2</v>
      </c>
      <c r="K204" s="5">
        <v>893.14</v>
      </c>
      <c r="L204" s="5">
        <v>1607.65</v>
      </c>
      <c r="M204" s="6">
        <v>10</v>
      </c>
      <c r="N204" s="48">
        <v>153.41</v>
      </c>
      <c r="O204" s="5">
        <v>134.16999999999999</v>
      </c>
      <c r="P204" s="3" t="s">
        <v>25</v>
      </c>
      <c r="Q204" s="3" t="s">
        <v>65</v>
      </c>
      <c r="R204" s="28">
        <f t="shared" si="3"/>
        <v>9.5424999222467569E-2</v>
      </c>
    </row>
    <row r="205" spans="1:18" x14ac:dyDescent="0.3">
      <c r="A205" s="7" t="s">
        <v>533</v>
      </c>
      <c r="B205" s="8">
        <v>45478</v>
      </c>
      <c r="C205" s="7" t="s">
        <v>534</v>
      </c>
      <c r="D205" s="7" t="s">
        <v>39</v>
      </c>
      <c r="E205" s="7" t="s">
        <v>30</v>
      </c>
      <c r="F205" s="7" t="s">
        <v>226</v>
      </c>
      <c r="G205" s="7" t="s">
        <v>117</v>
      </c>
      <c r="H205" s="7" t="s">
        <v>153</v>
      </c>
      <c r="I205" s="7" t="s">
        <v>296</v>
      </c>
      <c r="J205" s="7">
        <v>1</v>
      </c>
      <c r="K205" s="9">
        <v>1145.74</v>
      </c>
      <c r="L205" s="9">
        <v>1031.17</v>
      </c>
      <c r="M205" s="10">
        <v>10</v>
      </c>
      <c r="N205" s="49">
        <v>132.19</v>
      </c>
      <c r="O205" s="9">
        <v>210.55</v>
      </c>
      <c r="P205" s="7" t="s">
        <v>64</v>
      </c>
      <c r="Q205" s="7" t="s">
        <v>26</v>
      </c>
      <c r="R205" s="28">
        <f t="shared" si="3"/>
        <v>0.12819418718543013</v>
      </c>
    </row>
    <row r="206" spans="1:18" x14ac:dyDescent="0.3">
      <c r="A206" s="3" t="s">
        <v>535</v>
      </c>
      <c r="B206" s="4">
        <v>45480</v>
      </c>
      <c r="C206" s="3" t="s">
        <v>536</v>
      </c>
      <c r="D206" s="3" t="s">
        <v>39</v>
      </c>
      <c r="E206" s="3" t="s">
        <v>30</v>
      </c>
      <c r="F206" s="3" t="s">
        <v>31</v>
      </c>
      <c r="G206" s="3" t="s">
        <v>32</v>
      </c>
      <c r="H206" s="3" t="s">
        <v>33</v>
      </c>
      <c r="I206" s="3" t="s">
        <v>470</v>
      </c>
      <c r="J206" s="3">
        <v>2</v>
      </c>
      <c r="K206" s="5">
        <v>8227.52</v>
      </c>
      <c r="L206" s="5">
        <v>13986.78</v>
      </c>
      <c r="M206" s="6">
        <v>15</v>
      </c>
      <c r="N206" s="48">
        <v>1759.09</v>
      </c>
      <c r="O206" s="5">
        <v>261.81</v>
      </c>
      <c r="P206" s="3" t="s">
        <v>25</v>
      </c>
      <c r="Q206" s="3" t="s">
        <v>26</v>
      </c>
      <c r="R206" s="28">
        <f t="shared" si="3"/>
        <v>0.12576804668408309</v>
      </c>
    </row>
    <row r="207" spans="1:18" x14ac:dyDescent="0.3">
      <c r="A207" s="7" t="s">
        <v>537</v>
      </c>
      <c r="B207" s="8">
        <v>45484</v>
      </c>
      <c r="C207" s="7" t="s">
        <v>538</v>
      </c>
      <c r="D207" s="7" t="s">
        <v>39</v>
      </c>
      <c r="E207" s="7" t="s">
        <v>60</v>
      </c>
      <c r="F207" s="7" t="s">
        <v>61</v>
      </c>
      <c r="G207" s="7" t="s">
        <v>22</v>
      </c>
      <c r="H207" s="7" t="s">
        <v>23</v>
      </c>
      <c r="I207" s="7" t="s">
        <v>78</v>
      </c>
      <c r="J207" s="7">
        <v>1</v>
      </c>
      <c r="K207" s="9">
        <v>54671.76</v>
      </c>
      <c r="L207" s="9">
        <v>41003.82</v>
      </c>
      <c r="M207" s="10">
        <v>25</v>
      </c>
      <c r="N207" s="49">
        <v>-1741.8</v>
      </c>
      <c r="O207" s="9">
        <v>189.1</v>
      </c>
      <c r="P207" s="7" t="s">
        <v>64</v>
      </c>
      <c r="Q207" s="7" t="s">
        <v>65</v>
      </c>
      <c r="R207" s="28">
        <f t="shared" si="3"/>
        <v>-4.2478969032641346E-2</v>
      </c>
    </row>
    <row r="208" spans="1:18" x14ac:dyDescent="0.3">
      <c r="A208" s="3" t="s">
        <v>539</v>
      </c>
      <c r="B208" s="4">
        <v>45485</v>
      </c>
      <c r="C208" s="3" t="s">
        <v>540</v>
      </c>
      <c r="D208" s="3" t="s">
        <v>39</v>
      </c>
      <c r="E208" s="3" t="s">
        <v>20</v>
      </c>
      <c r="F208" s="3" t="s">
        <v>54</v>
      </c>
      <c r="G208" s="3" t="s">
        <v>42</v>
      </c>
      <c r="H208" s="3" t="s">
        <v>81</v>
      </c>
      <c r="I208" s="3" t="s">
        <v>431</v>
      </c>
      <c r="J208" s="3">
        <v>2</v>
      </c>
      <c r="K208" s="5">
        <v>711.18</v>
      </c>
      <c r="L208" s="5">
        <v>1280.1199999999999</v>
      </c>
      <c r="M208" s="6">
        <v>10</v>
      </c>
      <c r="N208" s="48">
        <v>122.02</v>
      </c>
      <c r="O208" s="5">
        <v>198.95</v>
      </c>
      <c r="P208" s="3" t="s">
        <v>64</v>
      </c>
      <c r="Q208" s="3" t="s">
        <v>65</v>
      </c>
      <c r="R208" s="28">
        <f t="shared" si="3"/>
        <v>9.5319188826047563E-2</v>
      </c>
    </row>
    <row r="209" spans="1:18" x14ac:dyDescent="0.3">
      <c r="A209" s="7" t="s">
        <v>541</v>
      </c>
      <c r="B209" s="8">
        <v>45485</v>
      </c>
      <c r="C209" s="7" t="s">
        <v>379</v>
      </c>
      <c r="D209" s="7" t="s">
        <v>19</v>
      </c>
      <c r="E209" s="7" t="s">
        <v>40</v>
      </c>
      <c r="F209" s="7" t="s">
        <v>77</v>
      </c>
      <c r="G209" s="7" t="s">
        <v>22</v>
      </c>
      <c r="H209" s="7" t="s">
        <v>110</v>
      </c>
      <c r="I209" s="7" t="s">
        <v>542</v>
      </c>
      <c r="J209" s="7">
        <v>3</v>
      </c>
      <c r="K209" s="9">
        <v>7860.98</v>
      </c>
      <c r="L209" s="9">
        <v>18866.349999999999</v>
      </c>
      <c r="M209" s="10">
        <v>20</v>
      </c>
      <c r="N209" s="49">
        <v>1075.01</v>
      </c>
      <c r="O209" s="9">
        <v>149.71</v>
      </c>
      <c r="P209" s="7" t="s">
        <v>64</v>
      </c>
      <c r="Q209" s="7" t="s">
        <v>65</v>
      </c>
      <c r="R209" s="28">
        <f t="shared" si="3"/>
        <v>5.6980285004783651E-2</v>
      </c>
    </row>
    <row r="210" spans="1:18" x14ac:dyDescent="0.3">
      <c r="A210" s="3" t="s">
        <v>543</v>
      </c>
      <c r="B210" s="4">
        <v>45488</v>
      </c>
      <c r="C210" s="3" t="s">
        <v>544</v>
      </c>
      <c r="D210" s="3" t="s">
        <v>39</v>
      </c>
      <c r="E210" s="3" t="s">
        <v>40</v>
      </c>
      <c r="F210" s="3" t="s">
        <v>90</v>
      </c>
      <c r="G210" s="3" t="s">
        <v>117</v>
      </c>
      <c r="H210" s="3" t="s">
        <v>130</v>
      </c>
      <c r="I210" s="3" t="s">
        <v>391</v>
      </c>
      <c r="J210" s="3">
        <v>2</v>
      </c>
      <c r="K210" s="5">
        <v>354.64</v>
      </c>
      <c r="L210" s="5">
        <v>567.41999999999996</v>
      </c>
      <c r="M210" s="6">
        <v>20</v>
      </c>
      <c r="N210" s="48">
        <v>83.74</v>
      </c>
      <c r="O210" s="5">
        <v>235.35</v>
      </c>
      <c r="P210" s="3" t="s">
        <v>35</v>
      </c>
      <c r="Q210" s="3" t="s">
        <v>57</v>
      </c>
      <c r="R210" s="28">
        <f t="shared" si="3"/>
        <v>0.14758027563356949</v>
      </c>
    </row>
    <row r="211" spans="1:18" x14ac:dyDescent="0.3">
      <c r="A211" s="7" t="s">
        <v>545</v>
      </c>
      <c r="B211" s="8">
        <v>45489</v>
      </c>
      <c r="C211" s="7" t="s">
        <v>325</v>
      </c>
      <c r="D211" s="7" t="s">
        <v>39</v>
      </c>
      <c r="E211" s="7" t="s">
        <v>40</v>
      </c>
      <c r="F211" s="7" t="s">
        <v>77</v>
      </c>
      <c r="G211" s="7" t="s">
        <v>49</v>
      </c>
      <c r="H211" s="7" t="s">
        <v>50</v>
      </c>
      <c r="I211" s="7" t="s">
        <v>51</v>
      </c>
      <c r="J211" s="7">
        <v>2</v>
      </c>
      <c r="K211" s="9">
        <v>6192.78</v>
      </c>
      <c r="L211" s="9">
        <v>11766.28</v>
      </c>
      <c r="M211" s="10">
        <v>5</v>
      </c>
      <c r="N211" s="49">
        <v>2301.73</v>
      </c>
      <c r="O211" s="9">
        <v>93.23</v>
      </c>
      <c r="P211" s="7" t="s">
        <v>35</v>
      </c>
      <c r="Q211" s="7" t="s">
        <v>65</v>
      </c>
      <c r="R211" s="28">
        <f t="shared" si="3"/>
        <v>0.195620875926801</v>
      </c>
    </row>
    <row r="212" spans="1:18" x14ac:dyDescent="0.3">
      <c r="A212" s="3" t="s">
        <v>546</v>
      </c>
      <c r="B212" s="4">
        <v>45490</v>
      </c>
      <c r="C212" s="3" t="s">
        <v>336</v>
      </c>
      <c r="D212" s="3" t="s">
        <v>19</v>
      </c>
      <c r="E212" s="3" t="s">
        <v>30</v>
      </c>
      <c r="F212" s="3" t="s">
        <v>226</v>
      </c>
      <c r="G212" s="3" t="s">
        <v>49</v>
      </c>
      <c r="H212" s="3" t="s">
        <v>62</v>
      </c>
      <c r="I212" s="3" t="s">
        <v>424</v>
      </c>
      <c r="J212" s="3">
        <v>2</v>
      </c>
      <c r="K212" s="5">
        <v>13448.48</v>
      </c>
      <c r="L212" s="5">
        <v>25552.11</v>
      </c>
      <c r="M212" s="6">
        <v>5</v>
      </c>
      <c r="N212" s="48">
        <v>6146.63</v>
      </c>
      <c r="O212" s="5">
        <v>197.43</v>
      </c>
      <c r="P212" s="3" t="s">
        <v>35</v>
      </c>
      <c r="Q212" s="3" t="s">
        <v>36</v>
      </c>
      <c r="R212" s="28">
        <f t="shared" si="3"/>
        <v>0.24055273713208028</v>
      </c>
    </row>
    <row r="213" spans="1:18" x14ac:dyDescent="0.3">
      <c r="A213" s="7" t="s">
        <v>547</v>
      </c>
      <c r="B213" s="8">
        <v>45491</v>
      </c>
      <c r="C213" s="7" t="s">
        <v>493</v>
      </c>
      <c r="D213" s="7" t="s">
        <v>19</v>
      </c>
      <c r="E213" s="7" t="s">
        <v>30</v>
      </c>
      <c r="F213" s="7" t="s">
        <v>48</v>
      </c>
      <c r="G213" s="7" t="s">
        <v>32</v>
      </c>
      <c r="H213" s="7" t="s">
        <v>73</v>
      </c>
      <c r="I213" s="7" t="s">
        <v>230</v>
      </c>
      <c r="J213" s="7">
        <v>1</v>
      </c>
      <c r="K213" s="9">
        <v>11576.37</v>
      </c>
      <c r="L213" s="9">
        <v>10997.55</v>
      </c>
      <c r="M213" s="10">
        <v>5</v>
      </c>
      <c r="N213" s="49">
        <v>1619.99</v>
      </c>
      <c r="O213" s="9">
        <v>217.38</v>
      </c>
      <c r="P213" s="7" t="s">
        <v>45</v>
      </c>
      <c r="Q213" s="7" t="s">
        <v>26</v>
      </c>
      <c r="R213" s="28">
        <f t="shared" si="3"/>
        <v>0.14730462693963656</v>
      </c>
    </row>
    <row r="214" spans="1:18" x14ac:dyDescent="0.3">
      <c r="A214" s="3" t="s">
        <v>548</v>
      </c>
      <c r="B214" s="4">
        <v>45491</v>
      </c>
      <c r="C214" s="3" t="s">
        <v>549</v>
      </c>
      <c r="D214" s="3" t="s">
        <v>39</v>
      </c>
      <c r="E214" s="3" t="s">
        <v>40</v>
      </c>
      <c r="F214" s="3" t="s">
        <v>90</v>
      </c>
      <c r="G214" s="3" t="s">
        <v>134</v>
      </c>
      <c r="H214" s="3" t="s">
        <v>139</v>
      </c>
      <c r="I214" s="3" t="s">
        <v>140</v>
      </c>
      <c r="J214" s="3">
        <v>2</v>
      </c>
      <c r="K214" s="5">
        <v>656.13</v>
      </c>
      <c r="L214" s="5">
        <v>1181.03</v>
      </c>
      <c r="M214" s="6">
        <v>10</v>
      </c>
      <c r="N214" s="48">
        <v>290.66000000000003</v>
      </c>
      <c r="O214" s="5">
        <v>274.22000000000003</v>
      </c>
      <c r="P214" s="3" t="s">
        <v>83</v>
      </c>
      <c r="Q214" s="3" t="s">
        <v>65</v>
      </c>
      <c r="R214" s="28">
        <f t="shared" si="3"/>
        <v>0.24610721150182471</v>
      </c>
    </row>
    <row r="215" spans="1:18" x14ac:dyDescent="0.3">
      <c r="A215" s="7" t="s">
        <v>550</v>
      </c>
      <c r="B215" s="8">
        <v>45491</v>
      </c>
      <c r="C215" s="7" t="s">
        <v>551</v>
      </c>
      <c r="D215" s="7" t="s">
        <v>39</v>
      </c>
      <c r="E215" s="7" t="s">
        <v>40</v>
      </c>
      <c r="F215" s="7" t="s">
        <v>90</v>
      </c>
      <c r="G215" s="7" t="s">
        <v>22</v>
      </c>
      <c r="H215" s="7" t="s">
        <v>55</v>
      </c>
      <c r="I215" s="7" t="s">
        <v>399</v>
      </c>
      <c r="J215" s="7">
        <v>2</v>
      </c>
      <c r="K215" s="9">
        <v>15680.35</v>
      </c>
      <c r="L215" s="9">
        <v>26656.6</v>
      </c>
      <c r="M215" s="10">
        <v>15</v>
      </c>
      <c r="N215" s="49">
        <v>1494.57</v>
      </c>
      <c r="O215" s="9">
        <v>329.61</v>
      </c>
      <c r="P215" s="7" t="s">
        <v>45</v>
      </c>
      <c r="Q215" s="7" t="s">
        <v>65</v>
      </c>
      <c r="R215" s="28">
        <f t="shared" si="3"/>
        <v>5.6067540496537442E-2</v>
      </c>
    </row>
    <row r="216" spans="1:18" x14ac:dyDescent="0.3">
      <c r="A216" s="3" t="s">
        <v>552</v>
      </c>
      <c r="B216" s="4">
        <v>45492</v>
      </c>
      <c r="C216" s="3" t="s">
        <v>415</v>
      </c>
      <c r="D216" s="3" t="s">
        <v>39</v>
      </c>
      <c r="E216" s="3" t="s">
        <v>20</v>
      </c>
      <c r="F216" s="3" t="s">
        <v>21</v>
      </c>
      <c r="G216" s="3" t="s">
        <v>117</v>
      </c>
      <c r="H216" s="3" t="s">
        <v>118</v>
      </c>
      <c r="I216" s="3" t="s">
        <v>553</v>
      </c>
      <c r="J216" s="3">
        <v>1</v>
      </c>
      <c r="K216" s="5">
        <v>1962.07</v>
      </c>
      <c r="L216" s="5">
        <v>1863.97</v>
      </c>
      <c r="M216" s="6">
        <v>5</v>
      </c>
      <c r="N216" s="48">
        <v>410.65</v>
      </c>
      <c r="O216" s="5">
        <v>300.69</v>
      </c>
      <c r="P216" s="3" t="s">
        <v>35</v>
      </c>
      <c r="Q216" s="3" t="s">
        <v>65</v>
      </c>
      <c r="R216" s="28">
        <f t="shared" si="3"/>
        <v>0.2203093397425924</v>
      </c>
    </row>
    <row r="217" spans="1:18" x14ac:dyDescent="0.3">
      <c r="A217" s="7" t="s">
        <v>554</v>
      </c>
      <c r="B217" s="8">
        <v>45492</v>
      </c>
      <c r="C217" s="7" t="s">
        <v>555</v>
      </c>
      <c r="D217" s="7" t="s">
        <v>19</v>
      </c>
      <c r="E217" s="7" t="s">
        <v>20</v>
      </c>
      <c r="F217" s="7" t="s">
        <v>21</v>
      </c>
      <c r="G217" s="7" t="s">
        <v>49</v>
      </c>
      <c r="H217" s="7" t="s">
        <v>98</v>
      </c>
      <c r="I217" s="7" t="s">
        <v>99</v>
      </c>
      <c r="J217" s="7">
        <v>1</v>
      </c>
      <c r="K217" s="9">
        <v>7566.14</v>
      </c>
      <c r="L217" s="9">
        <v>5296.3</v>
      </c>
      <c r="M217" s="10">
        <v>30</v>
      </c>
      <c r="N217" s="49">
        <v>12.7</v>
      </c>
      <c r="O217" s="9">
        <v>184.62</v>
      </c>
      <c r="P217" s="7" t="s">
        <v>64</v>
      </c>
      <c r="Q217" s="7" t="s">
        <v>26</v>
      </c>
      <c r="R217" s="28">
        <f t="shared" si="3"/>
        <v>2.3979004210486566E-3</v>
      </c>
    </row>
    <row r="218" spans="1:18" x14ac:dyDescent="0.3">
      <c r="A218" s="3" t="s">
        <v>556</v>
      </c>
      <c r="B218" s="4">
        <v>45492</v>
      </c>
      <c r="C218" s="3" t="s">
        <v>557</v>
      </c>
      <c r="D218" s="3" t="s">
        <v>19</v>
      </c>
      <c r="E218" s="3" t="s">
        <v>30</v>
      </c>
      <c r="F218" s="3" t="s">
        <v>31</v>
      </c>
      <c r="G218" s="3" t="s">
        <v>49</v>
      </c>
      <c r="H218" s="3" t="s">
        <v>62</v>
      </c>
      <c r="I218" s="3" t="s">
        <v>424</v>
      </c>
      <c r="J218" s="3">
        <v>3</v>
      </c>
      <c r="K218" s="5">
        <v>7211.04</v>
      </c>
      <c r="L218" s="5">
        <v>20551.46</v>
      </c>
      <c r="M218" s="6">
        <v>5</v>
      </c>
      <c r="N218" s="48">
        <v>1304.44</v>
      </c>
      <c r="O218" s="5">
        <v>307.54000000000002</v>
      </c>
      <c r="P218" s="3" t="s">
        <v>45</v>
      </c>
      <c r="Q218" s="3" t="s">
        <v>65</v>
      </c>
      <c r="R218" s="28">
        <f t="shared" si="3"/>
        <v>6.3471889588379612E-2</v>
      </c>
    </row>
    <row r="219" spans="1:18" x14ac:dyDescent="0.3">
      <c r="A219" s="7" t="s">
        <v>558</v>
      </c>
      <c r="B219" s="8">
        <v>45493</v>
      </c>
      <c r="C219" s="7" t="s">
        <v>240</v>
      </c>
      <c r="D219" s="7" t="s">
        <v>39</v>
      </c>
      <c r="E219" s="7" t="s">
        <v>40</v>
      </c>
      <c r="F219" s="7" t="s">
        <v>109</v>
      </c>
      <c r="G219" s="7" t="s">
        <v>49</v>
      </c>
      <c r="H219" s="7" t="s">
        <v>62</v>
      </c>
      <c r="I219" s="7" t="s">
        <v>424</v>
      </c>
      <c r="J219" s="7">
        <v>3</v>
      </c>
      <c r="K219" s="9">
        <v>12209.61</v>
      </c>
      <c r="L219" s="9">
        <v>36628.83</v>
      </c>
      <c r="M219" s="10">
        <v>0</v>
      </c>
      <c r="N219" s="49">
        <v>5653.76</v>
      </c>
      <c r="O219" s="9">
        <v>305.33</v>
      </c>
      <c r="P219" s="7" t="s">
        <v>64</v>
      </c>
      <c r="Q219" s="7" t="s">
        <v>57</v>
      </c>
      <c r="R219" s="28">
        <f t="shared" si="3"/>
        <v>0.15435273253336237</v>
      </c>
    </row>
    <row r="220" spans="1:18" x14ac:dyDescent="0.3">
      <c r="A220" s="3" t="s">
        <v>559</v>
      </c>
      <c r="B220" s="4">
        <v>45493</v>
      </c>
      <c r="C220" s="3" t="s">
        <v>560</v>
      </c>
      <c r="D220" s="3" t="s">
        <v>39</v>
      </c>
      <c r="E220" s="3" t="s">
        <v>30</v>
      </c>
      <c r="F220" s="3" t="s">
        <v>226</v>
      </c>
      <c r="G220" s="3" t="s">
        <v>49</v>
      </c>
      <c r="H220" s="3" t="s">
        <v>98</v>
      </c>
      <c r="I220" s="3" t="s">
        <v>299</v>
      </c>
      <c r="J220" s="3">
        <v>1</v>
      </c>
      <c r="K220" s="5">
        <v>8745.07</v>
      </c>
      <c r="L220" s="5">
        <v>8745.07</v>
      </c>
      <c r="M220" s="6">
        <v>0</v>
      </c>
      <c r="N220" s="48">
        <v>1043.8699999999999</v>
      </c>
      <c r="O220" s="5">
        <v>134.07</v>
      </c>
      <c r="P220" s="3" t="s">
        <v>35</v>
      </c>
      <c r="Q220" s="3" t="s">
        <v>65</v>
      </c>
      <c r="R220" s="28">
        <f t="shared" si="3"/>
        <v>0.11936668317120389</v>
      </c>
    </row>
    <row r="221" spans="1:18" x14ac:dyDescent="0.3">
      <c r="A221" s="7" t="s">
        <v>561</v>
      </c>
      <c r="B221" s="8">
        <v>45494</v>
      </c>
      <c r="C221" s="7" t="s">
        <v>89</v>
      </c>
      <c r="D221" s="7" t="s">
        <v>29</v>
      </c>
      <c r="E221" s="7" t="s">
        <v>30</v>
      </c>
      <c r="F221" s="7" t="s">
        <v>226</v>
      </c>
      <c r="G221" s="7" t="s">
        <v>32</v>
      </c>
      <c r="H221" s="7" t="s">
        <v>73</v>
      </c>
      <c r="I221" s="7" t="s">
        <v>214</v>
      </c>
      <c r="J221" s="7">
        <v>1</v>
      </c>
      <c r="K221" s="9">
        <v>11061.74</v>
      </c>
      <c r="L221" s="9">
        <v>10508.65</v>
      </c>
      <c r="M221" s="10">
        <v>5</v>
      </c>
      <c r="N221" s="49">
        <v>2019.54</v>
      </c>
      <c r="O221" s="9">
        <v>54.14</v>
      </c>
      <c r="P221" s="7" t="s">
        <v>64</v>
      </c>
      <c r="Q221" s="7" t="s">
        <v>57</v>
      </c>
      <c r="R221" s="28">
        <f t="shared" si="3"/>
        <v>0.19217882411156523</v>
      </c>
    </row>
    <row r="222" spans="1:18" x14ac:dyDescent="0.3">
      <c r="A222" s="3" t="s">
        <v>562</v>
      </c>
      <c r="B222" s="4">
        <v>45495</v>
      </c>
      <c r="C222" s="3" t="s">
        <v>563</v>
      </c>
      <c r="D222" s="3" t="s">
        <v>39</v>
      </c>
      <c r="E222" s="3" t="s">
        <v>40</v>
      </c>
      <c r="F222" s="3" t="s">
        <v>41</v>
      </c>
      <c r="G222" s="3" t="s">
        <v>32</v>
      </c>
      <c r="H222" s="3" t="s">
        <v>143</v>
      </c>
      <c r="I222" s="3" t="s">
        <v>321</v>
      </c>
      <c r="J222" s="3">
        <v>1</v>
      </c>
      <c r="K222" s="5">
        <v>7042.66</v>
      </c>
      <c r="L222" s="5">
        <v>6690.53</v>
      </c>
      <c r="M222" s="6">
        <v>5</v>
      </c>
      <c r="N222" s="48">
        <v>1478.12</v>
      </c>
      <c r="O222" s="5">
        <v>112.16</v>
      </c>
      <c r="P222" s="3" t="s">
        <v>83</v>
      </c>
      <c r="Q222" s="3" t="s">
        <v>65</v>
      </c>
      <c r="R222" s="28">
        <f t="shared" si="3"/>
        <v>0.22092719111938813</v>
      </c>
    </row>
    <row r="223" spans="1:18" x14ac:dyDescent="0.3">
      <c r="A223" s="7" t="s">
        <v>564</v>
      </c>
      <c r="B223" s="8">
        <v>45496</v>
      </c>
      <c r="C223" s="7" t="s">
        <v>565</v>
      </c>
      <c r="D223" s="7" t="s">
        <v>29</v>
      </c>
      <c r="E223" s="7" t="s">
        <v>40</v>
      </c>
      <c r="F223" s="7" t="s">
        <v>109</v>
      </c>
      <c r="G223" s="7" t="s">
        <v>49</v>
      </c>
      <c r="H223" s="7" t="s">
        <v>91</v>
      </c>
      <c r="I223" s="7" t="s">
        <v>92</v>
      </c>
      <c r="J223" s="7">
        <v>1</v>
      </c>
      <c r="K223" s="9">
        <v>10555.59</v>
      </c>
      <c r="L223" s="9">
        <v>10555.59</v>
      </c>
      <c r="M223" s="10">
        <v>0</v>
      </c>
      <c r="N223" s="49">
        <v>2511</v>
      </c>
      <c r="O223" s="9">
        <v>170.51</v>
      </c>
      <c r="P223" s="7" t="s">
        <v>64</v>
      </c>
      <c r="Q223" s="7" t="s">
        <v>26</v>
      </c>
      <c r="R223" s="28">
        <f t="shared" si="3"/>
        <v>0.23788343427510922</v>
      </c>
    </row>
    <row r="224" spans="1:18" x14ac:dyDescent="0.3">
      <c r="A224" s="3" t="s">
        <v>566</v>
      </c>
      <c r="B224" s="4">
        <v>45496</v>
      </c>
      <c r="C224" s="3" t="s">
        <v>314</v>
      </c>
      <c r="D224" s="3" t="s">
        <v>39</v>
      </c>
      <c r="E224" s="3" t="s">
        <v>30</v>
      </c>
      <c r="F224" s="3" t="s">
        <v>226</v>
      </c>
      <c r="G224" s="3" t="s">
        <v>42</v>
      </c>
      <c r="H224" s="3" t="s">
        <v>172</v>
      </c>
      <c r="I224" s="3" t="s">
        <v>223</v>
      </c>
      <c r="J224" s="3">
        <v>1</v>
      </c>
      <c r="K224" s="5">
        <v>934.82</v>
      </c>
      <c r="L224" s="5">
        <v>934.82</v>
      </c>
      <c r="M224" s="6">
        <v>0</v>
      </c>
      <c r="N224" s="48">
        <v>107.74</v>
      </c>
      <c r="O224" s="5">
        <v>336.49</v>
      </c>
      <c r="P224" s="3" t="s">
        <v>35</v>
      </c>
      <c r="Q224" s="3" t="s">
        <v>65</v>
      </c>
      <c r="R224" s="28">
        <f t="shared" si="3"/>
        <v>0.11525213410068247</v>
      </c>
    </row>
    <row r="225" spans="1:18" x14ac:dyDescent="0.3">
      <c r="A225" s="7" t="s">
        <v>567</v>
      </c>
      <c r="B225" s="8">
        <v>45497</v>
      </c>
      <c r="C225" s="7" t="s">
        <v>568</v>
      </c>
      <c r="D225" s="7" t="s">
        <v>19</v>
      </c>
      <c r="E225" s="7" t="s">
        <v>60</v>
      </c>
      <c r="F225" s="7" t="s">
        <v>104</v>
      </c>
      <c r="G225" s="7" t="s">
        <v>117</v>
      </c>
      <c r="H225" s="7" t="s">
        <v>118</v>
      </c>
      <c r="I225" s="7" t="s">
        <v>438</v>
      </c>
      <c r="J225" s="7">
        <v>2</v>
      </c>
      <c r="K225" s="9">
        <v>471.9</v>
      </c>
      <c r="L225" s="9">
        <v>943.8</v>
      </c>
      <c r="M225" s="10">
        <v>0</v>
      </c>
      <c r="N225" s="49">
        <v>277.81</v>
      </c>
      <c r="O225" s="9">
        <v>45.01</v>
      </c>
      <c r="P225" s="7" t="s">
        <v>64</v>
      </c>
      <c r="Q225" s="7" t="s">
        <v>65</v>
      </c>
      <c r="R225" s="28">
        <f t="shared" si="3"/>
        <v>0.2943526170798898</v>
      </c>
    </row>
    <row r="226" spans="1:18" x14ac:dyDescent="0.3">
      <c r="A226" s="3" t="s">
        <v>569</v>
      </c>
      <c r="B226" s="4">
        <v>45498</v>
      </c>
      <c r="C226" s="3" t="s">
        <v>291</v>
      </c>
      <c r="D226" s="3" t="s">
        <v>39</v>
      </c>
      <c r="E226" s="3" t="s">
        <v>30</v>
      </c>
      <c r="F226" s="3" t="s">
        <v>226</v>
      </c>
      <c r="G226" s="3" t="s">
        <v>32</v>
      </c>
      <c r="H226" s="3" t="s">
        <v>86</v>
      </c>
      <c r="I226" s="3" t="s">
        <v>211</v>
      </c>
      <c r="J226" s="3">
        <v>3</v>
      </c>
      <c r="K226" s="5">
        <v>3419.33</v>
      </c>
      <c r="L226" s="5">
        <v>8719.2900000000009</v>
      </c>
      <c r="M226" s="6">
        <v>15</v>
      </c>
      <c r="N226" s="48">
        <v>903.62</v>
      </c>
      <c r="O226" s="5">
        <v>239.34</v>
      </c>
      <c r="P226" s="3" t="s">
        <v>64</v>
      </c>
      <c r="Q226" s="3" t="s">
        <v>65</v>
      </c>
      <c r="R226" s="28">
        <f t="shared" si="3"/>
        <v>0.10363458492606621</v>
      </c>
    </row>
    <row r="227" spans="1:18" x14ac:dyDescent="0.3">
      <c r="A227" s="7" t="s">
        <v>570</v>
      </c>
      <c r="B227" s="8">
        <v>45499</v>
      </c>
      <c r="C227" s="7" t="s">
        <v>571</v>
      </c>
      <c r="D227" s="7" t="s">
        <v>29</v>
      </c>
      <c r="E227" s="7" t="s">
        <v>60</v>
      </c>
      <c r="F227" s="7" t="s">
        <v>61</v>
      </c>
      <c r="G227" s="7" t="s">
        <v>49</v>
      </c>
      <c r="H227" s="7" t="s">
        <v>62</v>
      </c>
      <c r="I227" s="7" t="s">
        <v>424</v>
      </c>
      <c r="J227" s="7">
        <v>1</v>
      </c>
      <c r="K227" s="9">
        <v>9589.76</v>
      </c>
      <c r="L227" s="9">
        <v>8630.7800000000007</v>
      </c>
      <c r="M227" s="10">
        <v>10</v>
      </c>
      <c r="N227" s="49">
        <v>2016.04</v>
      </c>
      <c r="O227" s="9">
        <v>76.06</v>
      </c>
      <c r="P227" s="7" t="s">
        <v>64</v>
      </c>
      <c r="Q227" s="7" t="s">
        <v>65</v>
      </c>
      <c r="R227" s="28">
        <f t="shared" si="3"/>
        <v>0.23358723081807203</v>
      </c>
    </row>
    <row r="228" spans="1:18" x14ac:dyDescent="0.3">
      <c r="A228" s="3" t="s">
        <v>572</v>
      </c>
      <c r="B228" s="4">
        <v>45499</v>
      </c>
      <c r="C228" s="3" t="s">
        <v>163</v>
      </c>
      <c r="D228" s="3" t="s">
        <v>39</v>
      </c>
      <c r="E228" s="3" t="s">
        <v>60</v>
      </c>
      <c r="F228" s="3" t="s">
        <v>72</v>
      </c>
      <c r="G228" s="3" t="s">
        <v>134</v>
      </c>
      <c r="H228" s="3" t="s">
        <v>135</v>
      </c>
      <c r="I228" s="3" t="s">
        <v>136</v>
      </c>
      <c r="J228" s="3">
        <v>3</v>
      </c>
      <c r="K228" s="5">
        <v>2599.89</v>
      </c>
      <c r="L228" s="5">
        <v>6629.72</v>
      </c>
      <c r="M228" s="6">
        <v>15</v>
      </c>
      <c r="N228" s="48">
        <v>796.24</v>
      </c>
      <c r="O228" s="5">
        <v>265.94</v>
      </c>
      <c r="P228" s="3" t="s">
        <v>45</v>
      </c>
      <c r="Q228" s="3" t="s">
        <v>57</v>
      </c>
      <c r="R228" s="28">
        <f t="shared" si="3"/>
        <v>0.12010160308429314</v>
      </c>
    </row>
    <row r="229" spans="1:18" x14ac:dyDescent="0.3">
      <c r="A229" s="7" t="s">
        <v>573</v>
      </c>
      <c r="B229" s="8">
        <v>45499</v>
      </c>
      <c r="C229" s="7" t="s">
        <v>574</v>
      </c>
      <c r="D229" s="7" t="s">
        <v>19</v>
      </c>
      <c r="E229" s="7" t="s">
        <v>30</v>
      </c>
      <c r="F229" s="7" t="s">
        <v>226</v>
      </c>
      <c r="G229" s="7" t="s">
        <v>22</v>
      </c>
      <c r="H229" s="7" t="s">
        <v>23</v>
      </c>
      <c r="I229" s="7" t="s">
        <v>24</v>
      </c>
      <c r="J229" s="7">
        <v>1</v>
      </c>
      <c r="K229" s="9">
        <v>58435.63</v>
      </c>
      <c r="L229" s="9">
        <v>49670.29</v>
      </c>
      <c r="M229" s="10">
        <v>15</v>
      </c>
      <c r="N229" s="49">
        <v>1118.81</v>
      </c>
      <c r="O229" s="9">
        <v>235.45</v>
      </c>
      <c r="P229" s="7" t="s">
        <v>45</v>
      </c>
      <c r="Q229" s="7" t="s">
        <v>26</v>
      </c>
      <c r="R229" s="28">
        <f t="shared" si="3"/>
        <v>2.2524732591655897E-2</v>
      </c>
    </row>
    <row r="230" spans="1:18" x14ac:dyDescent="0.3">
      <c r="A230" s="3" t="s">
        <v>575</v>
      </c>
      <c r="B230" s="4">
        <v>45500</v>
      </c>
      <c r="C230" s="3" t="s">
        <v>576</v>
      </c>
      <c r="D230" s="3" t="s">
        <v>39</v>
      </c>
      <c r="E230" s="3" t="s">
        <v>40</v>
      </c>
      <c r="F230" s="3" t="s">
        <v>90</v>
      </c>
      <c r="G230" s="3" t="s">
        <v>49</v>
      </c>
      <c r="H230" s="3" t="s">
        <v>91</v>
      </c>
      <c r="I230" s="3" t="s">
        <v>188</v>
      </c>
      <c r="J230" s="3">
        <v>1</v>
      </c>
      <c r="K230" s="5">
        <v>14933.79</v>
      </c>
      <c r="L230" s="5">
        <v>12693.72</v>
      </c>
      <c r="M230" s="6">
        <v>15</v>
      </c>
      <c r="N230" s="48">
        <v>157.96</v>
      </c>
      <c r="O230" s="5">
        <v>215.75</v>
      </c>
      <c r="P230" s="3" t="s">
        <v>64</v>
      </c>
      <c r="Q230" s="3" t="s">
        <v>65</v>
      </c>
      <c r="R230" s="28">
        <f t="shared" si="3"/>
        <v>1.2443948661227758E-2</v>
      </c>
    </row>
    <row r="231" spans="1:18" x14ac:dyDescent="0.3">
      <c r="A231" s="7" t="s">
        <v>577</v>
      </c>
      <c r="B231" s="8">
        <v>45502</v>
      </c>
      <c r="C231" s="7" t="s">
        <v>578</v>
      </c>
      <c r="D231" s="7" t="s">
        <v>39</v>
      </c>
      <c r="E231" s="7" t="s">
        <v>30</v>
      </c>
      <c r="F231" s="7" t="s">
        <v>31</v>
      </c>
      <c r="G231" s="7" t="s">
        <v>32</v>
      </c>
      <c r="H231" s="7" t="s">
        <v>86</v>
      </c>
      <c r="I231" s="7" t="s">
        <v>87</v>
      </c>
      <c r="J231" s="7">
        <v>2</v>
      </c>
      <c r="K231" s="9">
        <v>8033.76</v>
      </c>
      <c r="L231" s="9">
        <v>13657.39</v>
      </c>
      <c r="M231" s="10">
        <v>15</v>
      </c>
      <c r="N231" s="49">
        <v>1369.34</v>
      </c>
      <c r="O231" s="9">
        <v>84.43</v>
      </c>
      <c r="P231" s="7" t="s">
        <v>35</v>
      </c>
      <c r="Q231" s="7" t="s">
        <v>26</v>
      </c>
      <c r="R231" s="28">
        <f t="shared" si="3"/>
        <v>0.10026366677674138</v>
      </c>
    </row>
    <row r="232" spans="1:18" x14ac:dyDescent="0.3">
      <c r="A232" s="3" t="s">
        <v>579</v>
      </c>
      <c r="B232" s="4">
        <v>45502</v>
      </c>
      <c r="C232" s="3" t="s">
        <v>580</v>
      </c>
      <c r="D232" s="3" t="s">
        <v>39</v>
      </c>
      <c r="E232" s="3" t="s">
        <v>30</v>
      </c>
      <c r="F232" s="3" t="s">
        <v>226</v>
      </c>
      <c r="G232" s="3" t="s">
        <v>117</v>
      </c>
      <c r="H232" s="3" t="s">
        <v>118</v>
      </c>
      <c r="I232" s="3" t="s">
        <v>438</v>
      </c>
      <c r="J232" s="3">
        <v>1</v>
      </c>
      <c r="K232" s="5">
        <v>2491.5700000000002</v>
      </c>
      <c r="L232" s="5">
        <v>1868.68</v>
      </c>
      <c r="M232" s="6">
        <v>25</v>
      </c>
      <c r="N232" s="48">
        <v>202.05</v>
      </c>
      <c r="O232" s="5">
        <v>147.86000000000001</v>
      </c>
      <c r="P232" s="3" t="s">
        <v>83</v>
      </c>
      <c r="Q232" s="3" t="s">
        <v>26</v>
      </c>
      <c r="R232" s="28">
        <f t="shared" si="3"/>
        <v>0.10812445148447032</v>
      </c>
    </row>
    <row r="233" spans="1:18" x14ac:dyDescent="0.3">
      <c r="A233" s="7" t="s">
        <v>581</v>
      </c>
      <c r="B233" s="8">
        <v>45503</v>
      </c>
      <c r="C233" s="7" t="s">
        <v>582</v>
      </c>
      <c r="D233" s="7" t="s">
        <v>39</v>
      </c>
      <c r="E233" s="7" t="s">
        <v>60</v>
      </c>
      <c r="F233" s="7" t="s">
        <v>68</v>
      </c>
      <c r="G233" s="7" t="s">
        <v>22</v>
      </c>
      <c r="H233" s="7" t="s">
        <v>55</v>
      </c>
      <c r="I233" s="7" t="s">
        <v>416</v>
      </c>
      <c r="J233" s="7">
        <v>2</v>
      </c>
      <c r="K233" s="9">
        <v>14216.77</v>
      </c>
      <c r="L233" s="9">
        <v>21325.15</v>
      </c>
      <c r="M233" s="10">
        <v>25</v>
      </c>
      <c r="N233" s="49">
        <v>63.42</v>
      </c>
      <c r="O233" s="9">
        <v>61.01</v>
      </c>
      <c r="P233" s="7" t="s">
        <v>35</v>
      </c>
      <c r="Q233" s="7" t="s">
        <v>26</v>
      </c>
      <c r="R233" s="28">
        <f t="shared" si="3"/>
        <v>2.9739532898947953E-3</v>
      </c>
    </row>
    <row r="234" spans="1:18" x14ac:dyDescent="0.3">
      <c r="A234" s="3" t="s">
        <v>583</v>
      </c>
      <c r="B234" s="4">
        <v>45504</v>
      </c>
      <c r="C234" s="3" t="s">
        <v>584</v>
      </c>
      <c r="D234" s="3" t="s">
        <v>39</v>
      </c>
      <c r="E234" s="3" t="s">
        <v>60</v>
      </c>
      <c r="F234" s="3" t="s">
        <v>61</v>
      </c>
      <c r="G234" s="3" t="s">
        <v>49</v>
      </c>
      <c r="H234" s="3" t="s">
        <v>91</v>
      </c>
      <c r="I234" s="3" t="s">
        <v>168</v>
      </c>
      <c r="J234" s="3">
        <v>2</v>
      </c>
      <c r="K234" s="5">
        <v>12187.53</v>
      </c>
      <c r="L234" s="5">
        <v>24375.06</v>
      </c>
      <c r="M234" s="6">
        <v>0</v>
      </c>
      <c r="N234" s="48">
        <v>4662.17</v>
      </c>
      <c r="O234" s="5">
        <v>306.35000000000002</v>
      </c>
      <c r="P234" s="3" t="s">
        <v>45</v>
      </c>
      <c r="Q234" s="3" t="s">
        <v>57</v>
      </c>
      <c r="R234" s="28">
        <f t="shared" si="3"/>
        <v>0.19126804200687095</v>
      </c>
    </row>
    <row r="235" spans="1:18" x14ac:dyDescent="0.3">
      <c r="A235" s="7" t="s">
        <v>585</v>
      </c>
      <c r="B235" s="8">
        <v>45504</v>
      </c>
      <c r="C235" s="7" t="s">
        <v>586</v>
      </c>
      <c r="D235" s="7" t="s">
        <v>19</v>
      </c>
      <c r="E235" s="7" t="s">
        <v>30</v>
      </c>
      <c r="F235" s="7" t="s">
        <v>48</v>
      </c>
      <c r="G235" s="7" t="s">
        <v>134</v>
      </c>
      <c r="H235" s="7" t="s">
        <v>139</v>
      </c>
      <c r="I235" s="7" t="s">
        <v>587</v>
      </c>
      <c r="J235" s="7">
        <v>1</v>
      </c>
      <c r="K235" s="9">
        <v>1135.2</v>
      </c>
      <c r="L235" s="9">
        <v>1078.44</v>
      </c>
      <c r="M235" s="10">
        <v>5</v>
      </c>
      <c r="N235" s="49">
        <v>130.06</v>
      </c>
      <c r="O235" s="9">
        <v>236.75</v>
      </c>
      <c r="P235" s="7" t="s">
        <v>25</v>
      </c>
      <c r="Q235" s="7" t="s">
        <v>57</v>
      </c>
      <c r="R235" s="28">
        <f t="shared" si="3"/>
        <v>0.12060012610808205</v>
      </c>
    </row>
    <row r="236" spans="1:18" x14ac:dyDescent="0.3">
      <c r="A236" s="3" t="s">
        <v>588</v>
      </c>
      <c r="B236" s="4">
        <v>45507</v>
      </c>
      <c r="C236" s="3" t="s">
        <v>589</v>
      </c>
      <c r="D236" s="3" t="s">
        <v>39</v>
      </c>
      <c r="E236" s="3" t="s">
        <v>60</v>
      </c>
      <c r="F236" s="3" t="s">
        <v>61</v>
      </c>
      <c r="G236" s="3" t="s">
        <v>49</v>
      </c>
      <c r="H236" s="3" t="s">
        <v>62</v>
      </c>
      <c r="I236" s="3" t="s">
        <v>424</v>
      </c>
      <c r="J236" s="3">
        <v>1</v>
      </c>
      <c r="K236" s="5">
        <v>13497.44</v>
      </c>
      <c r="L236" s="5">
        <v>12822.57</v>
      </c>
      <c r="M236" s="6">
        <v>5</v>
      </c>
      <c r="N236" s="48">
        <v>1813.92</v>
      </c>
      <c r="O236" s="5">
        <v>178.28</v>
      </c>
      <c r="P236" s="3" t="s">
        <v>64</v>
      </c>
      <c r="Q236" s="3" t="s">
        <v>36</v>
      </c>
      <c r="R236" s="28">
        <f t="shared" si="3"/>
        <v>0.14146306083725807</v>
      </c>
    </row>
    <row r="237" spans="1:18" x14ac:dyDescent="0.3">
      <c r="A237" s="7" t="s">
        <v>590</v>
      </c>
      <c r="B237" s="8">
        <v>45507</v>
      </c>
      <c r="C237" s="7" t="s">
        <v>591</v>
      </c>
      <c r="D237" s="7" t="s">
        <v>29</v>
      </c>
      <c r="E237" s="7" t="s">
        <v>20</v>
      </c>
      <c r="F237" s="7" t="s">
        <v>129</v>
      </c>
      <c r="G237" s="7" t="s">
        <v>32</v>
      </c>
      <c r="H237" s="7" t="s">
        <v>33</v>
      </c>
      <c r="I237" s="7" t="s">
        <v>34</v>
      </c>
      <c r="J237" s="7">
        <v>3</v>
      </c>
      <c r="K237" s="9">
        <v>5518.2</v>
      </c>
      <c r="L237" s="9">
        <v>14899.14</v>
      </c>
      <c r="M237" s="10">
        <v>10</v>
      </c>
      <c r="N237" s="49">
        <v>2340.7199999999998</v>
      </c>
      <c r="O237" s="9">
        <v>175.93</v>
      </c>
      <c r="P237" s="7" t="s">
        <v>35</v>
      </c>
      <c r="Q237" s="7" t="s">
        <v>26</v>
      </c>
      <c r="R237" s="28">
        <f t="shared" si="3"/>
        <v>0.15710436978241696</v>
      </c>
    </row>
    <row r="238" spans="1:18" x14ac:dyDescent="0.3">
      <c r="A238" s="3" t="s">
        <v>592</v>
      </c>
      <c r="B238" s="4">
        <v>45509</v>
      </c>
      <c r="C238" s="3" t="s">
        <v>593</v>
      </c>
      <c r="D238" s="3" t="s">
        <v>39</v>
      </c>
      <c r="E238" s="3" t="s">
        <v>30</v>
      </c>
      <c r="F238" s="3" t="s">
        <v>31</v>
      </c>
      <c r="G238" s="3" t="s">
        <v>49</v>
      </c>
      <c r="H238" s="3" t="s">
        <v>62</v>
      </c>
      <c r="I238" s="3" t="s">
        <v>63</v>
      </c>
      <c r="J238" s="3">
        <v>2</v>
      </c>
      <c r="K238" s="5">
        <v>3807.18</v>
      </c>
      <c r="L238" s="5">
        <v>5710.77</v>
      </c>
      <c r="M238" s="6">
        <v>25</v>
      </c>
      <c r="N238" s="48">
        <v>101.33</v>
      </c>
      <c r="O238" s="5">
        <v>126.94</v>
      </c>
      <c r="P238" s="3" t="s">
        <v>35</v>
      </c>
      <c r="Q238" s="3" t="s">
        <v>26</v>
      </c>
      <c r="R238" s="28">
        <f t="shared" si="3"/>
        <v>1.7743666790993158E-2</v>
      </c>
    </row>
    <row r="239" spans="1:18" x14ac:dyDescent="0.3">
      <c r="A239" s="7" t="s">
        <v>594</v>
      </c>
      <c r="B239" s="8">
        <v>45509</v>
      </c>
      <c r="C239" s="7" t="s">
        <v>595</v>
      </c>
      <c r="D239" s="7" t="s">
        <v>29</v>
      </c>
      <c r="E239" s="7" t="s">
        <v>30</v>
      </c>
      <c r="F239" s="7" t="s">
        <v>48</v>
      </c>
      <c r="G239" s="7" t="s">
        <v>22</v>
      </c>
      <c r="H239" s="7" t="s">
        <v>55</v>
      </c>
      <c r="I239" s="7" t="s">
        <v>323</v>
      </c>
      <c r="J239" s="7">
        <v>2</v>
      </c>
      <c r="K239" s="9">
        <v>3543.5</v>
      </c>
      <c r="L239" s="9">
        <v>7087</v>
      </c>
      <c r="M239" s="10">
        <v>0</v>
      </c>
      <c r="N239" s="49">
        <v>734.91</v>
      </c>
      <c r="O239" s="9">
        <v>351.33</v>
      </c>
      <c r="P239" s="7" t="s">
        <v>83</v>
      </c>
      <c r="Q239" s="7" t="s">
        <v>65</v>
      </c>
      <c r="R239" s="28">
        <f t="shared" si="3"/>
        <v>0.10369832086919711</v>
      </c>
    </row>
    <row r="240" spans="1:18" x14ac:dyDescent="0.3">
      <c r="A240" s="3" t="s">
        <v>596</v>
      </c>
      <c r="B240" s="4">
        <v>45509</v>
      </c>
      <c r="C240" s="3" t="s">
        <v>597</v>
      </c>
      <c r="D240" s="3" t="s">
        <v>39</v>
      </c>
      <c r="E240" s="3" t="s">
        <v>60</v>
      </c>
      <c r="F240" s="3" t="s">
        <v>61</v>
      </c>
      <c r="G240" s="3" t="s">
        <v>42</v>
      </c>
      <c r="H240" s="3" t="s">
        <v>43</v>
      </c>
      <c r="I240" s="3" t="s">
        <v>208</v>
      </c>
      <c r="J240" s="3">
        <v>1</v>
      </c>
      <c r="K240" s="5">
        <v>742.86</v>
      </c>
      <c r="L240" s="5">
        <v>705.72</v>
      </c>
      <c r="M240" s="6">
        <v>5</v>
      </c>
      <c r="N240" s="48">
        <v>54.96</v>
      </c>
      <c r="O240" s="5">
        <v>111.35</v>
      </c>
      <c r="P240" s="3" t="s">
        <v>45</v>
      </c>
      <c r="Q240" s="3" t="s">
        <v>65</v>
      </c>
      <c r="R240" s="28">
        <f t="shared" si="3"/>
        <v>7.7877911919741541E-2</v>
      </c>
    </row>
    <row r="241" spans="1:18" x14ac:dyDescent="0.3">
      <c r="A241" s="7" t="s">
        <v>598</v>
      </c>
      <c r="B241" s="8">
        <v>45511</v>
      </c>
      <c r="C241" s="7" t="s">
        <v>599</v>
      </c>
      <c r="D241" s="7" t="s">
        <v>39</v>
      </c>
      <c r="E241" s="7" t="s">
        <v>30</v>
      </c>
      <c r="F241" s="7" t="s">
        <v>48</v>
      </c>
      <c r="G241" s="7" t="s">
        <v>22</v>
      </c>
      <c r="H241" s="7" t="s">
        <v>110</v>
      </c>
      <c r="I241" s="7" t="s">
        <v>480</v>
      </c>
      <c r="J241" s="7">
        <v>2</v>
      </c>
      <c r="K241" s="9">
        <v>58549.87</v>
      </c>
      <c r="L241" s="9">
        <v>105389.77</v>
      </c>
      <c r="M241" s="10">
        <v>10</v>
      </c>
      <c r="N241" s="49">
        <v>8004.11</v>
      </c>
      <c r="O241" s="9">
        <v>295.39999999999998</v>
      </c>
      <c r="P241" s="7" t="s">
        <v>35</v>
      </c>
      <c r="Q241" s="7" t="s">
        <v>57</v>
      </c>
      <c r="R241" s="28">
        <f t="shared" si="3"/>
        <v>7.5947693974472083E-2</v>
      </c>
    </row>
    <row r="242" spans="1:18" x14ac:dyDescent="0.3">
      <c r="A242" s="3" t="s">
        <v>600</v>
      </c>
      <c r="B242" s="4">
        <v>45511</v>
      </c>
      <c r="C242" s="3" t="s">
        <v>601</v>
      </c>
      <c r="D242" s="3" t="s">
        <v>19</v>
      </c>
      <c r="E242" s="3" t="s">
        <v>60</v>
      </c>
      <c r="F242" s="3" t="s">
        <v>72</v>
      </c>
      <c r="G242" s="3" t="s">
        <v>117</v>
      </c>
      <c r="H242" s="3" t="s">
        <v>125</v>
      </c>
      <c r="I242" s="3" t="s">
        <v>196</v>
      </c>
      <c r="J242" s="3">
        <v>3</v>
      </c>
      <c r="K242" s="5">
        <v>1514.39</v>
      </c>
      <c r="L242" s="5">
        <v>3861.69</v>
      </c>
      <c r="M242" s="6">
        <v>15</v>
      </c>
      <c r="N242" s="48">
        <v>898.22</v>
      </c>
      <c r="O242" s="5">
        <v>323.29000000000002</v>
      </c>
      <c r="P242" s="3" t="s">
        <v>64</v>
      </c>
      <c r="Q242" s="3" t="s">
        <v>65</v>
      </c>
      <c r="R242" s="28">
        <f t="shared" si="3"/>
        <v>0.23259764507249417</v>
      </c>
    </row>
    <row r="243" spans="1:18" x14ac:dyDescent="0.3">
      <c r="A243" s="7" t="s">
        <v>602</v>
      </c>
      <c r="B243" s="8">
        <v>45513</v>
      </c>
      <c r="C243" s="7" t="s">
        <v>491</v>
      </c>
      <c r="D243" s="7" t="s">
        <v>39</v>
      </c>
      <c r="E243" s="7" t="s">
        <v>30</v>
      </c>
      <c r="F243" s="7" t="s">
        <v>31</v>
      </c>
      <c r="G243" s="7" t="s">
        <v>134</v>
      </c>
      <c r="H243" s="7" t="s">
        <v>244</v>
      </c>
      <c r="I243" s="7" t="s">
        <v>270</v>
      </c>
      <c r="J243" s="7">
        <v>1</v>
      </c>
      <c r="K243" s="9">
        <v>2650.49</v>
      </c>
      <c r="L243" s="9">
        <v>2650.49</v>
      </c>
      <c r="M243" s="10">
        <v>0</v>
      </c>
      <c r="N243" s="49">
        <v>537.69000000000005</v>
      </c>
      <c r="O243" s="9">
        <v>305.77</v>
      </c>
      <c r="P243" s="7" t="s">
        <v>25</v>
      </c>
      <c r="Q243" s="7" t="s">
        <v>26</v>
      </c>
      <c r="R243" s="28">
        <f t="shared" si="3"/>
        <v>0.20286437602103766</v>
      </c>
    </row>
    <row r="244" spans="1:18" x14ac:dyDescent="0.3">
      <c r="A244" s="3" t="s">
        <v>603</v>
      </c>
      <c r="B244" s="4">
        <v>45514</v>
      </c>
      <c r="C244" s="3" t="s">
        <v>604</v>
      </c>
      <c r="D244" s="3" t="s">
        <v>29</v>
      </c>
      <c r="E244" s="3" t="s">
        <v>20</v>
      </c>
      <c r="F244" s="3" t="s">
        <v>54</v>
      </c>
      <c r="G244" s="3" t="s">
        <v>49</v>
      </c>
      <c r="H244" s="3" t="s">
        <v>91</v>
      </c>
      <c r="I244" s="3" t="s">
        <v>168</v>
      </c>
      <c r="J244" s="3">
        <v>4</v>
      </c>
      <c r="K244" s="5">
        <v>14610.06</v>
      </c>
      <c r="L244" s="5">
        <v>52596.22</v>
      </c>
      <c r="M244" s="6">
        <v>10</v>
      </c>
      <c r="N244" s="48">
        <v>10499.51</v>
      </c>
      <c r="O244" s="5">
        <v>94.97</v>
      </c>
      <c r="P244" s="3" t="s">
        <v>35</v>
      </c>
      <c r="Q244" s="3" t="s">
        <v>65</v>
      </c>
      <c r="R244" s="28">
        <f t="shared" si="3"/>
        <v>0.1996248019344356</v>
      </c>
    </row>
    <row r="245" spans="1:18" x14ac:dyDescent="0.3">
      <c r="A245" s="7" t="s">
        <v>605</v>
      </c>
      <c r="B245" s="8">
        <v>45514</v>
      </c>
      <c r="C245" s="7" t="s">
        <v>606</v>
      </c>
      <c r="D245" s="7" t="s">
        <v>19</v>
      </c>
      <c r="E245" s="7" t="s">
        <v>30</v>
      </c>
      <c r="F245" s="7" t="s">
        <v>48</v>
      </c>
      <c r="G245" s="7" t="s">
        <v>32</v>
      </c>
      <c r="H245" s="7" t="s">
        <v>33</v>
      </c>
      <c r="I245" s="7" t="s">
        <v>470</v>
      </c>
      <c r="J245" s="7">
        <v>3</v>
      </c>
      <c r="K245" s="9">
        <v>577.53</v>
      </c>
      <c r="L245" s="9">
        <v>1299.44</v>
      </c>
      <c r="M245" s="10">
        <v>25</v>
      </c>
      <c r="N245" s="49">
        <v>39.1</v>
      </c>
      <c r="O245" s="9">
        <v>232.6</v>
      </c>
      <c r="P245" s="7" t="s">
        <v>35</v>
      </c>
      <c r="Q245" s="7" t="s">
        <v>26</v>
      </c>
      <c r="R245" s="28">
        <f t="shared" si="3"/>
        <v>3.0089884873483963E-2</v>
      </c>
    </row>
    <row r="246" spans="1:18" x14ac:dyDescent="0.3">
      <c r="A246" s="3" t="s">
        <v>607</v>
      </c>
      <c r="B246" s="4">
        <v>45516</v>
      </c>
      <c r="C246" s="3" t="s">
        <v>608</v>
      </c>
      <c r="D246" s="3" t="s">
        <v>39</v>
      </c>
      <c r="E246" s="3" t="s">
        <v>30</v>
      </c>
      <c r="F246" s="3" t="s">
        <v>48</v>
      </c>
      <c r="G246" s="3" t="s">
        <v>42</v>
      </c>
      <c r="H246" s="3" t="s">
        <v>164</v>
      </c>
      <c r="I246" s="3" t="s">
        <v>329</v>
      </c>
      <c r="J246" s="3">
        <v>1</v>
      </c>
      <c r="K246" s="5">
        <v>666.84</v>
      </c>
      <c r="L246" s="5">
        <v>466.79</v>
      </c>
      <c r="M246" s="6">
        <v>30</v>
      </c>
      <c r="N246" s="48">
        <v>42.69</v>
      </c>
      <c r="O246" s="5">
        <v>92.4</v>
      </c>
      <c r="P246" s="3" t="s">
        <v>64</v>
      </c>
      <c r="Q246" s="3" t="s">
        <v>26</v>
      </c>
      <c r="R246" s="28">
        <f t="shared" si="3"/>
        <v>9.1454401336789559E-2</v>
      </c>
    </row>
    <row r="247" spans="1:18" x14ac:dyDescent="0.3">
      <c r="A247" s="7" t="s">
        <v>609</v>
      </c>
      <c r="B247" s="8">
        <v>45517</v>
      </c>
      <c r="C247" s="7" t="s">
        <v>610</v>
      </c>
      <c r="D247" s="7" t="s">
        <v>29</v>
      </c>
      <c r="E247" s="7" t="s">
        <v>20</v>
      </c>
      <c r="F247" s="7" t="s">
        <v>129</v>
      </c>
      <c r="G247" s="7" t="s">
        <v>117</v>
      </c>
      <c r="H247" s="7" t="s">
        <v>118</v>
      </c>
      <c r="I247" s="7" t="s">
        <v>279</v>
      </c>
      <c r="J247" s="7">
        <v>3</v>
      </c>
      <c r="K247" s="9">
        <v>2180.46</v>
      </c>
      <c r="L247" s="9">
        <v>6541.38</v>
      </c>
      <c r="M247" s="10">
        <v>0</v>
      </c>
      <c r="N247" s="49">
        <v>1715.47</v>
      </c>
      <c r="O247" s="9">
        <v>241.05</v>
      </c>
      <c r="P247" s="7" t="s">
        <v>64</v>
      </c>
      <c r="Q247" s="7" t="s">
        <v>57</v>
      </c>
      <c r="R247" s="28">
        <f t="shared" si="3"/>
        <v>0.26224894441234115</v>
      </c>
    </row>
    <row r="248" spans="1:18" x14ac:dyDescent="0.3">
      <c r="A248" s="3" t="s">
        <v>611</v>
      </c>
      <c r="B248" s="4">
        <v>45518</v>
      </c>
      <c r="C248" s="3" t="s">
        <v>612</v>
      </c>
      <c r="D248" s="3" t="s">
        <v>29</v>
      </c>
      <c r="E248" s="3" t="s">
        <v>40</v>
      </c>
      <c r="F248" s="3" t="s">
        <v>77</v>
      </c>
      <c r="G248" s="3" t="s">
        <v>117</v>
      </c>
      <c r="H248" s="3" t="s">
        <v>153</v>
      </c>
      <c r="I248" s="3" t="s">
        <v>154</v>
      </c>
      <c r="J248" s="3">
        <v>4</v>
      </c>
      <c r="K248" s="5">
        <v>1162.74</v>
      </c>
      <c r="L248" s="5">
        <v>3255.67</v>
      </c>
      <c r="M248" s="6">
        <v>30</v>
      </c>
      <c r="N248" s="48">
        <v>192.34</v>
      </c>
      <c r="O248" s="5">
        <v>168.61</v>
      </c>
      <c r="P248" s="3" t="s">
        <v>64</v>
      </c>
      <c r="Q248" s="3" t="s">
        <v>36</v>
      </c>
      <c r="R248" s="28">
        <f t="shared" si="3"/>
        <v>5.9078469255176354E-2</v>
      </c>
    </row>
    <row r="249" spans="1:18" x14ac:dyDescent="0.3">
      <c r="A249" s="7" t="s">
        <v>613</v>
      </c>
      <c r="B249" s="8">
        <v>45518</v>
      </c>
      <c r="C249" s="7" t="s">
        <v>614</v>
      </c>
      <c r="D249" s="7" t="s">
        <v>39</v>
      </c>
      <c r="E249" s="7" t="s">
        <v>20</v>
      </c>
      <c r="F249" s="7" t="s">
        <v>129</v>
      </c>
      <c r="G249" s="7" t="s">
        <v>49</v>
      </c>
      <c r="H249" s="7" t="s">
        <v>62</v>
      </c>
      <c r="I249" s="7" t="s">
        <v>63</v>
      </c>
      <c r="J249" s="7">
        <v>4</v>
      </c>
      <c r="K249" s="9">
        <v>11530.23</v>
      </c>
      <c r="L249" s="9">
        <v>41508.83</v>
      </c>
      <c r="M249" s="10">
        <v>10</v>
      </c>
      <c r="N249" s="49">
        <v>8837.14</v>
      </c>
      <c r="O249" s="9">
        <v>364.15</v>
      </c>
      <c r="P249" s="7" t="s">
        <v>83</v>
      </c>
      <c r="Q249" s="7" t="s">
        <v>26</v>
      </c>
      <c r="R249" s="28">
        <f t="shared" si="3"/>
        <v>0.21289783402712142</v>
      </c>
    </row>
    <row r="250" spans="1:18" x14ac:dyDescent="0.3">
      <c r="A250" s="3" t="s">
        <v>615</v>
      </c>
      <c r="B250" s="4">
        <v>45519</v>
      </c>
      <c r="C250" s="3" t="s">
        <v>616</v>
      </c>
      <c r="D250" s="3" t="s">
        <v>39</v>
      </c>
      <c r="E250" s="3" t="s">
        <v>40</v>
      </c>
      <c r="F250" s="3" t="s">
        <v>77</v>
      </c>
      <c r="G250" s="3" t="s">
        <v>117</v>
      </c>
      <c r="H250" s="3" t="s">
        <v>125</v>
      </c>
      <c r="I250" s="3" t="s">
        <v>454</v>
      </c>
      <c r="J250" s="3">
        <v>4</v>
      </c>
      <c r="K250" s="5">
        <v>1795.75</v>
      </c>
      <c r="L250" s="5">
        <v>6464.7</v>
      </c>
      <c r="M250" s="6">
        <v>10</v>
      </c>
      <c r="N250" s="48">
        <v>1301.08</v>
      </c>
      <c r="O250" s="5">
        <v>251.88</v>
      </c>
      <c r="P250" s="3" t="s">
        <v>35</v>
      </c>
      <c r="Q250" s="3" t="s">
        <v>57</v>
      </c>
      <c r="R250" s="28">
        <f t="shared" si="3"/>
        <v>0.20125914582269866</v>
      </c>
    </row>
    <row r="251" spans="1:18" x14ac:dyDescent="0.3">
      <c r="A251" s="7" t="s">
        <v>617</v>
      </c>
      <c r="B251" s="8">
        <v>45519</v>
      </c>
      <c r="C251" s="7" t="s">
        <v>618</v>
      </c>
      <c r="D251" s="7" t="s">
        <v>39</v>
      </c>
      <c r="E251" s="7" t="s">
        <v>60</v>
      </c>
      <c r="F251" s="7" t="s">
        <v>72</v>
      </c>
      <c r="G251" s="7" t="s">
        <v>32</v>
      </c>
      <c r="H251" s="7" t="s">
        <v>143</v>
      </c>
      <c r="I251" s="7" t="s">
        <v>516</v>
      </c>
      <c r="J251" s="7">
        <v>1</v>
      </c>
      <c r="K251" s="9">
        <v>3715.09</v>
      </c>
      <c r="L251" s="9">
        <v>3529.34</v>
      </c>
      <c r="M251" s="10">
        <v>5</v>
      </c>
      <c r="N251" s="49">
        <v>819.08</v>
      </c>
      <c r="O251" s="9">
        <v>95.03</v>
      </c>
      <c r="P251" s="7" t="s">
        <v>64</v>
      </c>
      <c r="Q251" s="7" t="s">
        <v>26</v>
      </c>
      <c r="R251" s="28">
        <f t="shared" si="3"/>
        <v>0.23207738557350666</v>
      </c>
    </row>
    <row r="252" spans="1:18" x14ac:dyDescent="0.3">
      <c r="A252" s="3" t="s">
        <v>619</v>
      </c>
      <c r="B252" s="4">
        <v>45519</v>
      </c>
      <c r="C252" s="3" t="s">
        <v>620</v>
      </c>
      <c r="D252" s="3" t="s">
        <v>39</v>
      </c>
      <c r="E252" s="3" t="s">
        <v>30</v>
      </c>
      <c r="F252" s="3" t="s">
        <v>31</v>
      </c>
      <c r="G252" s="3" t="s">
        <v>42</v>
      </c>
      <c r="H252" s="3" t="s">
        <v>81</v>
      </c>
      <c r="I252" s="3" t="s">
        <v>621</v>
      </c>
      <c r="J252" s="3">
        <v>1</v>
      </c>
      <c r="K252" s="5">
        <v>629.85</v>
      </c>
      <c r="L252" s="5">
        <v>535.37</v>
      </c>
      <c r="M252" s="6">
        <v>15</v>
      </c>
      <c r="N252" s="48">
        <v>39.1</v>
      </c>
      <c r="O252" s="5">
        <v>223.27</v>
      </c>
      <c r="P252" s="3" t="s">
        <v>64</v>
      </c>
      <c r="Q252" s="3" t="s">
        <v>26</v>
      </c>
      <c r="R252" s="28">
        <f t="shared" si="3"/>
        <v>7.3033602928815583E-2</v>
      </c>
    </row>
    <row r="253" spans="1:18" x14ac:dyDescent="0.3">
      <c r="A253" s="7" t="s">
        <v>622</v>
      </c>
      <c r="B253" s="8">
        <v>45520</v>
      </c>
      <c r="C253" s="7" t="s">
        <v>623</v>
      </c>
      <c r="D253" s="7" t="s">
        <v>39</v>
      </c>
      <c r="E253" s="7" t="s">
        <v>60</v>
      </c>
      <c r="F253" s="7" t="s">
        <v>72</v>
      </c>
      <c r="G253" s="7" t="s">
        <v>22</v>
      </c>
      <c r="H253" s="7" t="s">
        <v>624</v>
      </c>
      <c r="I253" s="7" t="s">
        <v>625</v>
      </c>
      <c r="J253" s="7">
        <v>2</v>
      </c>
      <c r="K253" s="9">
        <v>1776.14</v>
      </c>
      <c r="L253" s="9">
        <v>3552.28</v>
      </c>
      <c r="M253" s="10">
        <v>0</v>
      </c>
      <c r="N253" s="49">
        <v>660.15</v>
      </c>
      <c r="O253" s="9">
        <v>171.93</v>
      </c>
      <c r="P253" s="7" t="s">
        <v>25</v>
      </c>
      <c r="Q253" s="7" t="s">
        <v>26</v>
      </c>
      <c r="R253" s="28">
        <f t="shared" si="3"/>
        <v>0.18583839111781728</v>
      </c>
    </row>
    <row r="254" spans="1:18" x14ac:dyDescent="0.3">
      <c r="A254" s="3" t="s">
        <v>626</v>
      </c>
      <c r="B254" s="4">
        <v>45520</v>
      </c>
      <c r="C254" s="3" t="s">
        <v>532</v>
      </c>
      <c r="D254" s="3" t="s">
        <v>29</v>
      </c>
      <c r="E254" s="3" t="s">
        <v>40</v>
      </c>
      <c r="F254" s="3" t="s">
        <v>77</v>
      </c>
      <c r="G254" s="3" t="s">
        <v>32</v>
      </c>
      <c r="H254" s="3" t="s">
        <v>143</v>
      </c>
      <c r="I254" s="3" t="s">
        <v>385</v>
      </c>
      <c r="J254" s="3">
        <v>4</v>
      </c>
      <c r="K254" s="5">
        <v>2738.88</v>
      </c>
      <c r="L254" s="5">
        <v>9859.9699999999993</v>
      </c>
      <c r="M254" s="6">
        <v>10</v>
      </c>
      <c r="N254" s="48">
        <v>1026.19</v>
      </c>
      <c r="O254" s="5">
        <v>335.66</v>
      </c>
      <c r="P254" s="3" t="s">
        <v>25</v>
      </c>
      <c r="Q254" s="3" t="s">
        <v>65</v>
      </c>
      <c r="R254" s="28">
        <f t="shared" si="3"/>
        <v>0.1040763815711407</v>
      </c>
    </row>
    <row r="255" spans="1:18" x14ac:dyDescent="0.3">
      <c r="A255" s="7" t="s">
        <v>627</v>
      </c>
      <c r="B255" s="8">
        <v>45521</v>
      </c>
      <c r="C255" s="7" t="s">
        <v>628</v>
      </c>
      <c r="D255" s="7" t="s">
        <v>29</v>
      </c>
      <c r="E255" s="7" t="s">
        <v>40</v>
      </c>
      <c r="F255" s="7" t="s">
        <v>109</v>
      </c>
      <c r="G255" s="7" t="s">
        <v>22</v>
      </c>
      <c r="H255" s="7" t="s">
        <v>105</v>
      </c>
      <c r="I255" s="7" t="s">
        <v>629</v>
      </c>
      <c r="J255" s="7">
        <v>3</v>
      </c>
      <c r="K255" s="9">
        <v>7218.09</v>
      </c>
      <c r="L255" s="9">
        <v>18406.13</v>
      </c>
      <c r="M255" s="10">
        <v>15</v>
      </c>
      <c r="N255" s="49">
        <v>-84.91</v>
      </c>
      <c r="O255" s="9">
        <v>299.36</v>
      </c>
      <c r="P255" s="7" t="s">
        <v>64</v>
      </c>
      <c r="Q255" s="7" t="s">
        <v>65</v>
      </c>
      <c r="R255" s="28">
        <f t="shared" si="3"/>
        <v>-4.6131370364112384E-3</v>
      </c>
    </row>
    <row r="256" spans="1:18" x14ac:dyDescent="0.3">
      <c r="A256" s="3" t="s">
        <v>630</v>
      </c>
      <c r="B256" s="4">
        <v>45521</v>
      </c>
      <c r="C256" s="3" t="s">
        <v>631</v>
      </c>
      <c r="D256" s="3" t="s">
        <v>19</v>
      </c>
      <c r="E256" s="3" t="s">
        <v>60</v>
      </c>
      <c r="F256" s="3" t="s">
        <v>68</v>
      </c>
      <c r="G256" s="3" t="s">
        <v>32</v>
      </c>
      <c r="H256" s="3" t="s">
        <v>86</v>
      </c>
      <c r="I256" s="3" t="s">
        <v>87</v>
      </c>
      <c r="J256" s="3">
        <v>2</v>
      </c>
      <c r="K256" s="5">
        <v>1375.64</v>
      </c>
      <c r="L256" s="5">
        <v>2751.28</v>
      </c>
      <c r="M256" s="6">
        <v>0</v>
      </c>
      <c r="N256" s="48">
        <v>435.62</v>
      </c>
      <c r="O256" s="5">
        <v>308</v>
      </c>
      <c r="P256" s="3" t="s">
        <v>83</v>
      </c>
      <c r="Q256" s="3" t="s">
        <v>65</v>
      </c>
      <c r="R256" s="28">
        <f t="shared" si="3"/>
        <v>0.15833357564479078</v>
      </c>
    </row>
    <row r="257" spans="1:18" x14ac:dyDescent="0.3">
      <c r="A257" s="7" t="s">
        <v>632</v>
      </c>
      <c r="B257" s="8">
        <v>45521</v>
      </c>
      <c r="C257" s="7" t="s">
        <v>555</v>
      </c>
      <c r="D257" s="7" t="s">
        <v>29</v>
      </c>
      <c r="E257" s="7" t="s">
        <v>20</v>
      </c>
      <c r="F257" s="7" t="s">
        <v>21</v>
      </c>
      <c r="G257" s="7" t="s">
        <v>134</v>
      </c>
      <c r="H257" s="7" t="s">
        <v>135</v>
      </c>
      <c r="I257" s="7" t="s">
        <v>136</v>
      </c>
      <c r="J257" s="7">
        <v>4</v>
      </c>
      <c r="K257" s="9">
        <v>2531.4299999999998</v>
      </c>
      <c r="L257" s="9">
        <v>9113.15</v>
      </c>
      <c r="M257" s="10">
        <v>10</v>
      </c>
      <c r="N257" s="49">
        <v>1773.75</v>
      </c>
      <c r="O257" s="9">
        <v>291.77999999999997</v>
      </c>
      <c r="P257" s="7" t="s">
        <v>35</v>
      </c>
      <c r="Q257" s="7" t="s">
        <v>26</v>
      </c>
      <c r="R257" s="28">
        <f t="shared" si="3"/>
        <v>0.1946363222376456</v>
      </c>
    </row>
    <row r="258" spans="1:18" x14ac:dyDescent="0.3">
      <c r="A258" s="3" t="s">
        <v>633</v>
      </c>
      <c r="B258" s="4">
        <v>45523</v>
      </c>
      <c r="C258" s="3" t="s">
        <v>634</v>
      </c>
      <c r="D258" s="3" t="s">
        <v>39</v>
      </c>
      <c r="E258" s="3" t="s">
        <v>20</v>
      </c>
      <c r="F258" s="3" t="s">
        <v>54</v>
      </c>
      <c r="G258" s="3" t="s">
        <v>49</v>
      </c>
      <c r="H258" s="3" t="s">
        <v>62</v>
      </c>
      <c r="I258" s="3" t="s">
        <v>63</v>
      </c>
      <c r="J258" s="3">
        <v>1</v>
      </c>
      <c r="K258" s="5">
        <v>3277.67</v>
      </c>
      <c r="L258" s="5">
        <v>3113.79</v>
      </c>
      <c r="M258" s="6">
        <v>5</v>
      </c>
      <c r="N258" s="48">
        <v>544.78</v>
      </c>
      <c r="O258" s="5">
        <v>238.49</v>
      </c>
      <c r="P258" s="3" t="s">
        <v>64</v>
      </c>
      <c r="Q258" s="3" t="s">
        <v>26</v>
      </c>
      <c r="R258" s="28">
        <f t="shared" si="3"/>
        <v>0.17495720649112495</v>
      </c>
    </row>
    <row r="259" spans="1:18" x14ac:dyDescent="0.3">
      <c r="A259" s="7" t="s">
        <v>635</v>
      </c>
      <c r="B259" s="8">
        <v>45524</v>
      </c>
      <c r="C259" s="7" t="s">
        <v>636</v>
      </c>
      <c r="D259" s="7" t="s">
        <v>19</v>
      </c>
      <c r="E259" s="7" t="s">
        <v>60</v>
      </c>
      <c r="F259" s="7" t="s">
        <v>72</v>
      </c>
      <c r="G259" s="7" t="s">
        <v>22</v>
      </c>
      <c r="H259" s="7" t="s">
        <v>105</v>
      </c>
      <c r="I259" s="7" t="s">
        <v>157</v>
      </c>
      <c r="J259" s="7">
        <v>1</v>
      </c>
      <c r="K259" s="9">
        <v>41439.769999999997</v>
      </c>
      <c r="L259" s="9">
        <v>41439.769999999997</v>
      </c>
      <c r="M259" s="10">
        <v>0</v>
      </c>
      <c r="N259" s="49">
        <v>3422.32</v>
      </c>
      <c r="O259" s="9">
        <v>266.7</v>
      </c>
      <c r="P259" s="7" t="s">
        <v>45</v>
      </c>
      <c r="Q259" s="7" t="s">
        <v>26</v>
      </c>
      <c r="R259" s="28">
        <f t="shared" ref="R259:R322" si="4">N259/L259</f>
        <v>8.2585400449857724E-2</v>
      </c>
    </row>
    <row r="260" spans="1:18" x14ac:dyDescent="0.3">
      <c r="A260" s="3" t="s">
        <v>637</v>
      </c>
      <c r="B260" s="4">
        <v>45524</v>
      </c>
      <c r="C260" s="3" t="s">
        <v>133</v>
      </c>
      <c r="D260" s="3" t="s">
        <v>39</v>
      </c>
      <c r="E260" s="3" t="s">
        <v>20</v>
      </c>
      <c r="F260" s="3" t="s">
        <v>129</v>
      </c>
      <c r="G260" s="3" t="s">
        <v>49</v>
      </c>
      <c r="H260" s="3" t="s">
        <v>91</v>
      </c>
      <c r="I260" s="3" t="s">
        <v>188</v>
      </c>
      <c r="J260" s="3">
        <v>1</v>
      </c>
      <c r="K260" s="5">
        <v>3252.1</v>
      </c>
      <c r="L260" s="5">
        <v>2764.28</v>
      </c>
      <c r="M260" s="6">
        <v>15</v>
      </c>
      <c r="N260" s="48">
        <v>454.41</v>
      </c>
      <c r="O260" s="5">
        <v>51.02</v>
      </c>
      <c r="P260" s="3" t="s">
        <v>64</v>
      </c>
      <c r="Q260" s="3" t="s">
        <v>57</v>
      </c>
      <c r="R260" s="28">
        <f t="shared" si="4"/>
        <v>0.16438638632844718</v>
      </c>
    </row>
    <row r="261" spans="1:18" x14ac:dyDescent="0.3">
      <c r="A261" s="7" t="s">
        <v>638</v>
      </c>
      <c r="B261" s="8">
        <v>45524</v>
      </c>
      <c r="C261" s="7" t="s">
        <v>639</v>
      </c>
      <c r="D261" s="7" t="s">
        <v>39</v>
      </c>
      <c r="E261" s="7" t="s">
        <v>60</v>
      </c>
      <c r="F261" s="7" t="s">
        <v>72</v>
      </c>
      <c r="G261" s="7" t="s">
        <v>22</v>
      </c>
      <c r="H261" s="7" t="s">
        <v>624</v>
      </c>
      <c r="I261" s="7" t="s">
        <v>640</v>
      </c>
      <c r="J261" s="7">
        <v>1</v>
      </c>
      <c r="K261" s="9">
        <v>15032.42</v>
      </c>
      <c r="L261" s="9">
        <v>11274.32</v>
      </c>
      <c r="M261" s="10">
        <v>25</v>
      </c>
      <c r="N261" s="49">
        <v>-1164.82</v>
      </c>
      <c r="O261" s="9">
        <v>124.24</v>
      </c>
      <c r="P261" s="7" t="s">
        <v>35</v>
      </c>
      <c r="Q261" s="7" t="s">
        <v>65</v>
      </c>
      <c r="R261" s="28">
        <f t="shared" si="4"/>
        <v>-0.10331620887113369</v>
      </c>
    </row>
    <row r="262" spans="1:18" x14ac:dyDescent="0.3">
      <c r="A262" s="3" t="s">
        <v>641</v>
      </c>
      <c r="B262" s="4">
        <v>45526</v>
      </c>
      <c r="C262" s="3" t="s">
        <v>175</v>
      </c>
      <c r="D262" s="3" t="s">
        <v>39</v>
      </c>
      <c r="E262" s="3" t="s">
        <v>20</v>
      </c>
      <c r="F262" s="3" t="s">
        <v>21</v>
      </c>
      <c r="G262" s="3" t="s">
        <v>134</v>
      </c>
      <c r="H262" s="3" t="s">
        <v>139</v>
      </c>
      <c r="I262" s="3" t="s">
        <v>147</v>
      </c>
      <c r="J262" s="3">
        <v>4</v>
      </c>
      <c r="K262" s="5">
        <v>3098.82</v>
      </c>
      <c r="L262" s="5">
        <v>10535.99</v>
      </c>
      <c r="M262" s="6">
        <v>15</v>
      </c>
      <c r="N262" s="48">
        <v>1585.92</v>
      </c>
      <c r="O262" s="5">
        <v>384.14</v>
      </c>
      <c r="P262" s="3" t="s">
        <v>35</v>
      </c>
      <c r="Q262" s="3" t="s">
        <v>26</v>
      </c>
      <c r="R262" s="28">
        <f t="shared" si="4"/>
        <v>0.1505240608618649</v>
      </c>
    </row>
    <row r="263" spans="1:18" x14ac:dyDescent="0.3">
      <c r="A263" s="7" t="s">
        <v>642</v>
      </c>
      <c r="B263" s="8">
        <v>45526</v>
      </c>
      <c r="C263" s="7" t="s">
        <v>643</v>
      </c>
      <c r="D263" s="7" t="s">
        <v>39</v>
      </c>
      <c r="E263" s="7" t="s">
        <v>30</v>
      </c>
      <c r="F263" s="7" t="s">
        <v>226</v>
      </c>
      <c r="G263" s="7" t="s">
        <v>49</v>
      </c>
      <c r="H263" s="7" t="s">
        <v>50</v>
      </c>
      <c r="I263" s="7" t="s">
        <v>51</v>
      </c>
      <c r="J263" s="7">
        <v>1</v>
      </c>
      <c r="K263" s="9">
        <v>428.32</v>
      </c>
      <c r="L263" s="9">
        <v>428.32</v>
      </c>
      <c r="M263" s="10">
        <v>0</v>
      </c>
      <c r="N263" s="49">
        <v>109.51</v>
      </c>
      <c r="O263" s="9">
        <v>330.29</v>
      </c>
      <c r="P263" s="7" t="s">
        <v>64</v>
      </c>
      <c r="Q263" s="7" t="s">
        <v>57</v>
      </c>
      <c r="R263" s="28">
        <f t="shared" si="4"/>
        <v>0.25567332835263357</v>
      </c>
    </row>
    <row r="264" spans="1:18" x14ac:dyDescent="0.3">
      <c r="A264" s="3" t="s">
        <v>644</v>
      </c>
      <c r="B264" s="4">
        <v>45526</v>
      </c>
      <c r="C264" s="3" t="s">
        <v>645</v>
      </c>
      <c r="D264" s="3" t="s">
        <v>29</v>
      </c>
      <c r="E264" s="3" t="s">
        <v>30</v>
      </c>
      <c r="F264" s="3" t="s">
        <v>48</v>
      </c>
      <c r="G264" s="3" t="s">
        <v>49</v>
      </c>
      <c r="H264" s="3" t="s">
        <v>98</v>
      </c>
      <c r="I264" s="3" t="s">
        <v>299</v>
      </c>
      <c r="J264" s="3">
        <v>1</v>
      </c>
      <c r="K264" s="5">
        <v>6527.96</v>
      </c>
      <c r="L264" s="5">
        <v>5548.77</v>
      </c>
      <c r="M264" s="6">
        <v>15</v>
      </c>
      <c r="N264" s="48">
        <v>916.39</v>
      </c>
      <c r="O264" s="5">
        <v>293.23</v>
      </c>
      <c r="P264" s="3" t="s">
        <v>83</v>
      </c>
      <c r="Q264" s="3" t="s">
        <v>26</v>
      </c>
      <c r="R264" s="28">
        <f t="shared" si="4"/>
        <v>0.16515191655087522</v>
      </c>
    </row>
    <row r="265" spans="1:18" x14ac:dyDescent="0.3">
      <c r="A265" s="7" t="s">
        <v>646</v>
      </c>
      <c r="B265" s="8">
        <v>45528</v>
      </c>
      <c r="C265" s="7" t="s">
        <v>647</v>
      </c>
      <c r="D265" s="7" t="s">
        <v>39</v>
      </c>
      <c r="E265" s="7" t="s">
        <v>30</v>
      </c>
      <c r="F265" s="7" t="s">
        <v>226</v>
      </c>
      <c r="G265" s="7" t="s">
        <v>22</v>
      </c>
      <c r="H265" s="7" t="s">
        <v>110</v>
      </c>
      <c r="I265" s="7" t="s">
        <v>111</v>
      </c>
      <c r="J265" s="7">
        <v>3</v>
      </c>
      <c r="K265" s="9">
        <v>6027.18</v>
      </c>
      <c r="L265" s="9">
        <v>17177.46</v>
      </c>
      <c r="M265" s="10">
        <v>5</v>
      </c>
      <c r="N265" s="49">
        <v>574.12</v>
      </c>
      <c r="O265" s="9">
        <v>247.23</v>
      </c>
      <c r="P265" s="7" t="s">
        <v>25</v>
      </c>
      <c r="Q265" s="7" t="s">
        <v>65</v>
      </c>
      <c r="R265" s="28">
        <f t="shared" si="4"/>
        <v>3.3422869271708393E-2</v>
      </c>
    </row>
    <row r="266" spans="1:18" x14ac:dyDescent="0.3">
      <c r="A266" s="3" t="s">
        <v>648</v>
      </c>
      <c r="B266" s="4">
        <v>45528</v>
      </c>
      <c r="C266" s="3" t="s">
        <v>649</v>
      </c>
      <c r="D266" s="3" t="s">
        <v>39</v>
      </c>
      <c r="E266" s="3" t="s">
        <v>40</v>
      </c>
      <c r="F266" s="3" t="s">
        <v>41</v>
      </c>
      <c r="G266" s="3" t="s">
        <v>134</v>
      </c>
      <c r="H266" s="3" t="s">
        <v>91</v>
      </c>
      <c r="I266" s="3" t="s">
        <v>188</v>
      </c>
      <c r="J266" s="3">
        <v>2</v>
      </c>
      <c r="K266" s="5">
        <v>2674.76</v>
      </c>
      <c r="L266" s="5">
        <v>4814.57</v>
      </c>
      <c r="M266" s="6">
        <v>10</v>
      </c>
      <c r="N266" s="48">
        <v>768.8</v>
      </c>
      <c r="O266" s="5">
        <v>186.52</v>
      </c>
      <c r="P266" s="3" t="s">
        <v>64</v>
      </c>
      <c r="Q266" s="3" t="s">
        <v>26</v>
      </c>
      <c r="R266" s="28">
        <f t="shared" si="4"/>
        <v>0.15968196536762369</v>
      </c>
    </row>
    <row r="267" spans="1:18" x14ac:dyDescent="0.3">
      <c r="A267" s="7" t="s">
        <v>650</v>
      </c>
      <c r="B267" s="8">
        <v>45530</v>
      </c>
      <c r="C267" s="7" t="s">
        <v>651</v>
      </c>
      <c r="D267" s="7" t="s">
        <v>39</v>
      </c>
      <c r="E267" s="7" t="s">
        <v>20</v>
      </c>
      <c r="F267" s="7" t="s">
        <v>54</v>
      </c>
      <c r="G267" s="7" t="s">
        <v>32</v>
      </c>
      <c r="H267" s="7" t="s">
        <v>33</v>
      </c>
      <c r="I267" s="7" t="s">
        <v>470</v>
      </c>
      <c r="J267" s="7">
        <v>2</v>
      </c>
      <c r="K267" s="9">
        <v>8328.06</v>
      </c>
      <c r="L267" s="9">
        <v>16656.12</v>
      </c>
      <c r="M267" s="10">
        <v>0</v>
      </c>
      <c r="N267" s="49">
        <v>4008.15</v>
      </c>
      <c r="O267" s="9">
        <v>328.07</v>
      </c>
      <c r="P267" s="7" t="s">
        <v>25</v>
      </c>
      <c r="Q267" s="7" t="s">
        <v>65</v>
      </c>
      <c r="R267" s="28">
        <f t="shared" si="4"/>
        <v>0.24064127780059225</v>
      </c>
    </row>
    <row r="268" spans="1:18" x14ac:dyDescent="0.3">
      <c r="A268" s="3" t="s">
        <v>652</v>
      </c>
      <c r="B268" s="4">
        <v>45532</v>
      </c>
      <c r="C268" s="3" t="s">
        <v>210</v>
      </c>
      <c r="D268" s="3" t="s">
        <v>39</v>
      </c>
      <c r="E268" s="3" t="s">
        <v>40</v>
      </c>
      <c r="F268" s="3" t="s">
        <v>109</v>
      </c>
      <c r="G268" s="3" t="s">
        <v>32</v>
      </c>
      <c r="H268" s="3" t="s">
        <v>73</v>
      </c>
      <c r="I268" s="3" t="s">
        <v>230</v>
      </c>
      <c r="J268" s="3">
        <v>1</v>
      </c>
      <c r="K268" s="5">
        <v>4595.1099999999997</v>
      </c>
      <c r="L268" s="5">
        <v>4135.6000000000004</v>
      </c>
      <c r="M268" s="6">
        <v>10</v>
      </c>
      <c r="N268" s="48">
        <v>421.26</v>
      </c>
      <c r="O268" s="5">
        <v>235.47</v>
      </c>
      <c r="P268" s="3" t="s">
        <v>64</v>
      </c>
      <c r="Q268" s="3" t="s">
        <v>26</v>
      </c>
      <c r="R268" s="28">
        <f t="shared" si="4"/>
        <v>0.10186188219363573</v>
      </c>
    </row>
    <row r="269" spans="1:18" x14ac:dyDescent="0.3">
      <c r="A269" s="7" t="s">
        <v>653</v>
      </c>
      <c r="B269" s="8">
        <v>45533</v>
      </c>
      <c r="C269" s="7" t="s">
        <v>654</v>
      </c>
      <c r="D269" s="7" t="s">
        <v>39</v>
      </c>
      <c r="E269" s="7" t="s">
        <v>60</v>
      </c>
      <c r="F269" s="7" t="s">
        <v>104</v>
      </c>
      <c r="G269" s="7" t="s">
        <v>134</v>
      </c>
      <c r="H269" s="7" t="s">
        <v>91</v>
      </c>
      <c r="I269" s="7" t="s">
        <v>206</v>
      </c>
      <c r="J269" s="7">
        <v>1</v>
      </c>
      <c r="K269" s="9">
        <v>1671.14</v>
      </c>
      <c r="L269" s="9">
        <v>1253.3599999999999</v>
      </c>
      <c r="M269" s="10">
        <v>25</v>
      </c>
      <c r="N269" s="49">
        <v>32.82</v>
      </c>
      <c r="O269" s="9">
        <v>142.19999999999999</v>
      </c>
      <c r="P269" s="7" t="s">
        <v>83</v>
      </c>
      <c r="Q269" s="7" t="s">
        <v>65</v>
      </c>
      <c r="R269" s="28">
        <f t="shared" si="4"/>
        <v>2.6185613072062301E-2</v>
      </c>
    </row>
    <row r="270" spans="1:18" x14ac:dyDescent="0.3">
      <c r="A270" s="3" t="s">
        <v>655</v>
      </c>
      <c r="B270" s="4">
        <v>45533</v>
      </c>
      <c r="C270" s="3" t="s">
        <v>656</v>
      </c>
      <c r="D270" s="3" t="s">
        <v>39</v>
      </c>
      <c r="E270" s="3" t="s">
        <v>60</v>
      </c>
      <c r="F270" s="3" t="s">
        <v>68</v>
      </c>
      <c r="G270" s="3" t="s">
        <v>117</v>
      </c>
      <c r="H270" s="3" t="s">
        <v>118</v>
      </c>
      <c r="I270" s="3" t="s">
        <v>279</v>
      </c>
      <c r="J270" s="3">
        <v>1</v>
      </c>
      <c r="K270" s="5">
        <v>288.38</v>
      </c>
      <c r="L270" s="5">
        <v>259.54000000000002</v>
      </c>
      <c r="M270" s="6">
        <v>10</v>
      </c>
      <c r="N270" s="48">
        <v>55.95</v>
      </c>
      <c r="O270" s="5">
        <v>233.9</v>
      </c>
      <c r="P270" s="3" t="s">
        <v>64</v>
      </c>
      <c r="Q270" s="3" t="s">
        <v>26</v>
      </c>
      <c r="R270" s="28">
        <f t="shared" si="4"/>
        <v>0.21557370732835016</v>
      </c>
    </row>
    <row r="271" spans="1:18" x14ac:dyDescent="0.3">
      <c r="A271" s="7" t="s">
        <v>657</v>
      </c>
      <c r="B271" s="8">
        <v>45537</v>
      </c>
      <c r="C271" s="7" t="s">
        <v>658</v>
      </c>
      <c r="D271" s="7" t="s">
        <v>39</v>
      </c>
      <c r="E271" s="7" t="s">
        <v>60</v>
      </c>
      <c r="F271" s="7" t="s">
        <v>104</v>
      </c>
      <c r="G271" s="7" t="s">
        <v>42</v>
      </c>
      <c r="H271" s="7" t="s">
        <v>81</v>
      </c>
      <c r="I271" s="7" t="s">
        <v>431</v>
      </c>
      <c r="J271" s="7">
        <v>3</v>
      </c>
      <c r="K271" s="9">
        <v>830.65</v>
      </c>
      <c r="L271" s="9">
        <v>2491.9499999999998</v>
      </c>
      <c r="M271" s="10">
        <v>0</v>
      </c>
      <c r="N271" s="49">
        <v>370.01</v>
      </c>
      <c r="O271" s="9">
        <v>79.66</v>
      </c>
      <c r="P271" s="7" t="s">
        <v>35</v>
      </c>
      <c r="Q271" s="7" t="s">
        <v>65</v>
      </c>
      <c r="R271" s="28">
        <f t="shared" si="4"/>
        <v>0.14848211240193424</v>
      </c>
    </row>
    <row r="272" spans="1:18" x14ac:dyDescent="0.3">
      <c r="A272" s="3" t="s">
        <v>659</v>
      </c>
      <c r="B272" s="4">
        <v>45538</v>
      </c>
      <c r="C272" s="3" t="s">
        <v>444</v>
      </c>
      <c r="D272" s="3" t="s">
        <v>29</v>
      </c>
      <c r="E272" s="3" t="s">
        <v>60</v>
      </c>
      <c r="F272" s="3" t="s">
        <v>61</v>
      </c>
      <c r="G272" s="3" t="s">
        <v>32</v>
      </c>
      <c r="H272" s="3" t="s">
        <v>33</v>
      </c>
      <c r="I272" s="3" t="s">
        <v>470</v>
      </c>
      <c r="J272" s="3">
        <v>4</v>
      </c>
      <c r="K272" s="5">
        <v>7026.62</v>
      </c>
      <c r="L272" s="5">
        <v>25295.83</v>
      </c>
      <c r="M272" s="6">
        <v>10</v>
      </c>
      <c r="N272" s="48">
        <v>2592.8000000000002</v>
      </c>
      <c r="O272" s="5">
        <v>330.27</v>
      </c>
      <c r="P272" s="3" t="s">
        <v>35</v>
      </c>
      <c r="Q272" s="3" t="s">
        <v>57</v>
      </c>
      <c r="R272" s="28">
        <f t="shared" si="4"/>
        <v>0.10249910756041608</v>
      </c>
    </row>
    <row r="273" spans="1:18" x14ac:dyDescent="0.3">
      <c r="A273" s="7" t="s">
        <v>660</v>
      </c>
      <c r="B273" s="8">
        <v>45538</v>
      </c>
      <c r="C273" s="7" t="s">
        <v>656</v>
      </c>
      <c r="D273" s="7" t="s">
        <v>39</v>
      </c>
      <c r="E273" s="7" t="s">
        <v>40</v>
      </c>
      <c r="F273" s="7" t="s">
        <v>77</v>
      </c>
      <c r="G273" s="7" t="s">
        <v>117</v>
      </c>
      <c r="H273" s="7" t="s">
        <v>118</v>
      </c>
      <c r="I273" s="7" t="s">
        <v>438</v>
      </c>
      <c r="J273" s="7">
        <v>3</v>
      </c>
      <c r="K273" s="9">
        <v>1723.91</v>
      </c>
      <c r="L273" s="9">
        <v>5171.7299999999996</v>
      </c>
      <c r="M273" s="10">
        <v>0</v>
      </c>
      <c r="N273" s="49">
        <v>1494.06</v>
      </c>
      <c r="O273" s="9">
        <v>321.14999999999998</v>
      </c>
      <c r="P273" s="7" t="s">
        <v>45</v>
      </c>
      <c r="Q273" s="7" t="s">
        <v>26</v>
      </c>
      <c r="R273" s="28">
        <f t="shared" si="4"/>
        <v>0.28888979123040065</v>
      </c>
    </row>
    <row r="274" spans="1:18" x14ac:dyDescent="0.3">
      <c r="A274" s="3" t="s">
        <v>661</v>
      </c>
      <c r="B274" s="4">
        <v>45538</v>
      </c>
      <c r="C274" s="3" t="s">
        <v>442</v>
      </c>
      <c r="D274" s="3" t="s">
        <v>39</v>
      </c>
      <c r="E274" s="3" t="s">
        <v>30</v>
      </c>
      <c r="F274" s="3" t="s">
        <v>48</v>
      </c>
      <c r="G274" s="3" t="s">
        <v>117</v>
      </c>
      <c r="H274" s="3" t="s">
        <v>153</v>
      </c>
      <c r="I274" s="3" t="s">
        <v>356</v>
      </c>
      <c r="J274" s="3">
        <v>1</v>
      </c>
      <c r="K274" s="5">
        <v>2314.92</v>
      </c>
      <c r="L274" s="5">
        <v>2199.17</v>
      </c>
      <c r="M274" s="6">
        <v>5</v>
      </c>
      <c r="N274" s="48">
        <v>478.39</v>
      </c>
      <c r="O274" s="5">
        <v>155.59</v>
      </c>
      <c r="P274" s="3" t="s">
        <v>64</v>
      </c>
      <c r="Q274" s="3" t="s">
        <v>26</v>
      </c>
      <c r="R274" s="28">
        <f t="shared" si="4"/>
        <v>0.21753206891690954</v>
      </c>
    </row>
    <row r="275" spans="1:18" x14ac:dyDescent="0.3">
      <c r="A275" s="7" t="s">
        <v>662</v>
      </c>
      <c r="B275" s="8">
        <v>45541</v>
      </c>
      <c r="C275" s="7" t="s">
        <v>663</v>
      </c>
      <c r="D275" s="7" t="s">
        <v>39</v>
      </c>
      <c r="E275" s="7" t="s">
        <v>60</v>
      </c>
      <c r="F275" s="7" t="s">
        <v>68</v>
      </c>
      <c r="G275" s="7" t="s">
        <v>49</v>
      </c>
      <c r="H275" s="7" t="s">
        <v>50</v>
      </c>
      <c r="I275" s="7" t="s">
        <v>95</v>
      </c>
      <c r="J275" s="7">
        <v>3</v>
      </c>
      <c r="K275" s="9">
        <v>10975.02</v>
      </c>
      <c r="L275" s="9">
        <v>26340.05</v>
      </c>
      <c r="M275" s="10">
        <v>20</v>
      </c>
      <c r="N275" s="49">
        <v>3527.83</v>
      </c>
      <c r="O275" s="9">
        <v>348.22</v>
      </c>
      <c r="P275" s="7" t="s">
        <v>64</v>
      </c>
      <c r="Q275" s="7" t="s">
        <v>65</v>
      </c>
      <c r="R275" s="28">
        <f t="shared" si="4"/>
        <v>0.13393406618438461</v>
      </c>
    </row>
    <row r="276" spans="1:18" x14ac:dyDescent="0.3">
      <c r="A276" s="3" t="s">
        <v>664</v>
      </c>
      <c r="B276" s="4">
        <v>45541</v>
      </c>
      <c r="C276" s="3" t="s">
        <v>665</v>
      </c>
      <c r="D276" s="3" t="s">
        <v>39</v>
      </c>
      <c r="E276" s="3" t="s">
        <v>20</v>
      </c>
      <c r="F276" s="3" t="s">
        <v>54</v>
      </c>
      <c r="G276" s="3" t="s">
        <v>117</v>
      </c>
      <c r="H276" s="3" t="s">
        <v>125</v>
      </c>
      <c r="I276" s="3" t="s">
        <v>196</v>
      </c>
      <c r="J276" s="3">
        <v>1</v>
      </c>
      <c r="K276" s="5">
        <v>211.56</v>
      </c>
      <c r="L276" s="5">
        <v>211.56</v>
      </c>
      <c r="M276" s="6">
        <v>0</v>
      </c>
      <c r="N276" s="48">
        <v>64.37</v>
      </c>
      <c r="O276" s="5">
        <v>49.23</v>
      </c>
      <c r="P276" s="3" t="s">
        <v>83</v>
      </c>
      <c r="Q276" s="3" t="s">
        <v>57</v>
      </c>
      <c r="R276" s="28">
        <f t="shared" si="4"/>
        <v>0.30426356589147291</v>
      </c>
    </row>
    <row r="277" spans="1:18" x14ac:dyDescent="0.3">
      <c r="A277" s="7" t="s">
        <v>666</v>
      </c>
      <c r="B277" s="8">
        <v>45542</v>
      </c>
      <c r="C277" s="7" t="s">
        <v>584</v>
      </c>
      <c r="D277" s="7" t="s">
        <v>39</v>
      </c>
      <c r="E277" s="7" t="s">
        <v>20</v>
      </c>
      <c r="F277" s="7" t="s">
        <v>21</v>
      </c>
      <c r="G277" s="7" t="s">
        <v>117</v>
      </c>
      <c r="H277" s="7" t="s">
        <v>118</v>
      </c>
      <c r="I277" s="7" t="s">
        <v>438</v>
      </c>
      <c r="J277" s="7">
        <v>1</v>
      </c>
      <c r="K277" s="9">
        <v>2211.81</v>
      </c>
      <c r="L277" s="9">
        <v>2211.81</v>
      </c>
      <c r="M277" s="10">
        <v>0</v>
      </c>
      <c r="N277" s="49">
        <v>597.6</v>
      </c>
      <c r="O277" s="9">
        <v>199.26</v>
      </c>
      <c r="P277" s="7" t="s">
        <v>35</v>
      </c>
      <c r="Q277" s="7" t="s">
        <v>65</v>
      </c>
      <c r="R277" s="28">
        <f t="shared" si="4"/>
        <v>0.27018595629823539</v>
      </c>
    </row>
    <row r="278" spans="1:18" x14ac:dyDescent="0.3">
      <c r="A278" s="3" t="s">
        <v>667</v>
      </c>
      <c r="B278" s="4">
        <v>45542</v>
      </c>
      <c r="C278" s="3" t="s">
        <v>331</v>
      </c>
      <c r="D278" s="3" t="s">
        <v>39</v>
      </c>
      <c r="E278" s="3" t="s">
        <v>60</v>
      </c>
      <c r="F278" s="3" t="s">
        <v>104</v>
      </c>
      <c r="G278" s="3" t="s">
        <v>32</v>
      </c>
      <c r="H278" s="3" t="s">
        <v>86</v>
      </c>
      <c r="I278" s="3" t="s">
        <v>227</v>
      </c>
      <c r="J278" s="3">
        <v>1</v>
      </c>
      <c r="K278" s="5">
        <v>5901.36</v>
      </c>
      <c r="L278" s="5">
        <v>5901.36</v>
      </c>
      <c r="M278" s="6">
        <v>0</v>
      </c>
      <c r="N278" s="48">
        <v>1455.97</v>
      </c>
      <c r="O278" s="5">
        <v>209.42</v>
      </c>
      <c r="P278" s="3" t="s">
        <v>35</v>
      </c>
      <c r="Q278" s="3" t="s">
        <v>57</v>
      </c>
      <c r="R278" s="28">
        <f t="shared" si="4"/>
        <v>0.24671770574918325</v>
      </c>
    </row>
    <row r="279" spans="1:18" x14ac:dyDescent="0.3">
      <c r="A279" s="7" t="s">
        <v>668</v>
      </c>
      <c r="B279" s="8">
        <v>45546</v>
      </c>
      <c r="C279" s="7" t="s">
        <v>669</v>
      </c>
      <c r="D279" s="7" t="s">
        <v>19</v>
      </c>
      <c r="E279" s="7" t="s">
        <v>30</v>
      </c>
      <c r="F279" s="7" t="s">
        <v>31</v>
      </c>
      <c r="G279" s="7" t="s">
        <v>49</v>
      </c>
      <c r="H279" s="7" t="s">
        <v>98</v>
      </c>
      <c r="I279" s="7" t="s">
        <v>258</v>
      </c>
      <c r="J279" s="7">
        <v>2</v>
      </c>
      <c r="K279" s="9">
        <v>5296.56</v>
      </c>
      <c r="L279" s="9">
        <v>10063.459999999999</v>
      </c>
      <c r="M279" s="10">
        <v>5</v>
      </c>
      <c r="N279" s="49">
        <v>1778.92</v>
      </c>
      <c r="O279" s="9">
        <v>212.02</v>
      </c>
      <c r="P279" s="7" t="s">
        <v>25</v>
      </c>
      <c r="Q279" s="7" t="s">
        <v>26</v>
      </c>
      <c r="R279" s="28">
        <f t="shared" si="4"/>
        <v>0.17677021620794442</v>
      </c>
    </row>
    <row r="280" spans="1:18" x14ac:dyDescent="0.3">
      <c r="A280" s="3" t="s">
        <v>670</v>
      </c>
      <c r="B280" s="4">
        <v>45547</v>
      </c>
      <c r="C280" s="3" t="s">
        <v>671</v>
      </c>
      <c r="D280" s="3" t="s">
        <v>29</v>
      </c>
      <c r="E280" s="3" t="s">
        <v>30</v>
      </c>
      <c r="F280" s="3" t="s">
        <v>48</v>
      </c>
      <c r="G280" s="3" t="s">
        <v>32</v>
      </c>
      <c r="H280" s="3" t="s">
        <v>86</v>
      </c>
      <c r="I280" s="3" t="s">
        <v>211</v>
      </c>
      <c r="J280" s="3">
        <v>1</v>
      </c>
      <c r="K280" s="5">
        <v>7141.49</v>
      </c>
      <c r="L280" s="5">
        <v>6784.42</v>
      </c>
      <c r="M280" s="6">
        <v>5</v>
      </c>
      <c r="N280" s="48">
        <v>1065.8499999999999</v>
      </c>
      <c r="O280" s="5">
        <v>82.75</v>
      </c>
      <c r="P280" s="3" t="s">
        <v>25</v>
      </c>
      <c r="Q280" s="3" t="s">
        <v>57</v>
      </c>
      <c r="R280" s="28">
        <f t="shared" si="4"/>
        <v>0.15710259683215366</v>
      </c>
    </row>
    <row r="281" spans="1:18" x14ac:dyDescent="0.3">
      <c r="A281" s="7" t="s">
        <v>672</v>
      </c>
      <c r="B281" s="8">
        <v>45549</v>
      </c>
      <c r="C281" s="7" t="s">
        <v>593</v>
      </c>
      <c r="D281" s="7" t="s">
        <v>39</v>
      </c>
      <c r="E281" s="7" t="s">
        <v>40</v>
      </c>
      <c r="F281" s="7" t="s">
        <v>109</v>
      </c>
      <c r="G281" s="7" t="s">
        <v>42</v>
      </c>
      <c r="H281" s="7" t="s">
        <v>172</v>
      </c>
      <c r="I281" s="7" t="s">
        <v>223</v>
      </c>
      <c r="J281" s="7">
        <v>3</v>
      </c>
      <c r="K281" s="9">
        <v>177.84</v>
      </c>
      <c r="L281" s="9">
        <v>533.52</v>
      </c>
      <c r="M281" s="10">
        <v>0</v>
      </c>
      <c r="N281" s="49">
        <v>97.29</v>
      </c>
      <c r="O281" s="9">
        <v>244.15</v>
      </c>
      <c r="P281" s="7" t="s">
        <v>25</v>
      </c>
      <c r="Q281" s="7" t="s">
        <v>26</v>
      </c>
      <c r="R281" s="28">
        <f t="shared" si="4"/>
        <v>0.18235492577597842</v>
      </c>
    </row>
    <row r="282" spans="1:18" x14ac:dyDescent="0.3">
      <c r="A282" s="3" t="s">
        <v>673</v>
      </c>
      <c r="B282" s="4">
        <v>45549</v>
      </c>
      <c r="C282" s="3" t="s">
        <v>674</v>
      </c>
      <c r="D282" s="3" t="s">
        <v>29</v>
      </c>
      <c r="E282" s="3" t="s">
        <v>20</v>
      </c>
      <c r="F282" s="3" t="s">
        <v>21</v>
      </c>
      <c r="G282" s="3" t="s">
        <v>42</v>
      </c>
      <c r="H282" s="3" t="s">
        <v>81</v>
      </c>
      <c r="I282" s="3" t="s">
        <v>82</v>
      </c>
      <c r="J282" s="3">
        <v>4</v>
      </c>
      <c r="K282" s="5">
        <v>1122.79</v>
      </c>
      <c r="L282" s="5">
        <v>3143.81</v>
      </c>
      <c r="M282" s="6">
        <v>30</v>
      </c>
      <c r="N282" s="48">
        <v>-187.67</v>
      </c>
      <c r="O282" s="5">
        <v>87.61</v>
      </c>
      <c r="P282" s="3" t="s">
        <v>45</v>
      </c>
      <c r="Q282" s="3" t="s">
        <v>26</v>
      </c>
      <c r="R282" s="28">
        <f t="shared" si="4"/>
        <v>-5.9695083354273953E-2</v>
      </c>
    </row>
    <row r="283" spans="1:18" x14ac:dyDescent="0.3">
      <c r="A283" s="7" t="s">
        <v>675</v>
      </c>
      <c r="B283" s="8">
        <v>45550</v>
      </c>
      <c r="C283" s="7" t="s">
        <v>419</v>
      </c>
      <c r="D283" s="7" t="s">
        <v>39</v>
      </c>
      <c r="E283" s="7" t="s">
        <v>30</v>
      </c>
      <c r="F283" s="7" t="s">
        <v>48</v>
      </c>
      <c r="G283" s="7" t="s">
        <v>49</v>
      </c>
      <c r="H283" s="7" t="s">
        <v>62</v>
      </c>
      <c r="I283" s="7" t="s">
        <v>341</v>
      </c>
      <c r="J283" s="7">
        <v>2</v>
      </c>
      <c r="K283" s="9">
        <v>3123.01</v>
      </c>
      <c r="L283" s="9">
        <v>5309.12</v>
      </c>
      <c r="M283" s="10">
        <v>15</v>
      </c>
      <c r="N283" s="49">
        <v>1013.61</v>
      </c>
      <c r="O283" s="9">
        <v>334.77</v>
      </c>
      <c r="P283" s="7" t="s">
        <v>64</v>
      </c>
      <c r="Q283" s="7" t="s">
        <v>26</v>
      </c>
      <c r="R283" s="28">
        <f t="shared" si="4"/>
        <v>0.19091864565125671</v>
      </c>
    </row>
    <row r="284" spans="1:18" x14ac:dyDescent="0.3">
      <c r="A284" s="3" t="s">
        <v>676</v>
      </c>
      <c r="B284" s="4">
        <v>45551</v>
      </c>
      <c r="C284" s="3" t="s">
        <v>663</v>
      </c>
      <c r="D284" s="3" t="s">
        <v>39</v>
      </c>
      <c r="E284" s="3" t="s">
        <v>40</v>
      </c>
      <c r="F284" s="3" t="s">
        <v>77</v>
      </c>
      <c r="G284" s="3" t="s">
        <v>32</v>
      </c>
      <c r="H284" s="3" t="s">
        <v>143</v>
      </c>
      <c r="I284" s="3" t="s">
        <v>144</v>
      </c>
      <c r="J284" s="3">
        <v>1</v>
      </c>
      <c r="K284" s="5">
        <v>2057.36</v>
      </c>
      <c r="L284" s="5">
        <v>1851.62</v>
      </c>
      <c r="M284" s="6">
        <v>10</v>
      </c>
      <c r="N284" s="48">
        <v>153.80000000000001</v>
      </c>
      <c r="O284" s="5">
        <v>188.94</v>
      </c>
      <c r="P284" s="3" t="s">
        <v>35</v>
      </c>
      <c r="Q284" s="3" t="s">
        <v>65</v>
      </c>
      <c r="R284" s="28">
        <f t="shared" si="4"/>
        <v>8.3062399412406437E-2</v>
      </c>
    </row>
    <row r="285" spans="1:18" x14ac:dyDescent="0.3">
      <c r="A285" s="7" t="s">
        <v>677</v>
      </c>
      <c r="B285" s="8">
        <v>45552</v>
      </c>
      <c r="C285" s="7" t="s">
        <v>551</v>
      </c>
      <c r="D285" s="7" t="s">
        <v>39</v>
      </c>
      <c r="E285" s="7" t="s">
        <v>30</v>
      </c>
      <c r="F285" s="7" t="s">
        <v>226</v>
      </c>
      <c r="G285" s="7" t="s">
        <v>22</v>
      </c>
      <c r="H285" s="7" t="s">
        <v>105</v>
      </c>
      <c r="I285" s="7" t="s">
        <v>251</v>
      </c>
      <c r="J285" s="7">
        <v>5</v>
      </c>
      <c r="K285" s="9">
        <v>5243.32</v>
      </c>
      <c r="L285" s="9">
        <v>24905.77</v>
      </c>
      <c r="M285" s="10">
        <v>5</v>
      </c>
      <c r="N285" s="49">
        <v>993.78</v>
      </c>
      <c r="O285" s="9">
        <v>308.08</v>
      </c>
      <c r="P285" s="7" t="s">
        <v>35</v>
      </c>
      <c r="Q285" s="7" t="s">
        <v>36</v>
      </c>
      <c r="R285" s="28">
        <f t="shared" si="4"/>
        <v>3.9901597099788522E-2</v>
      </c>
    </row>
    <row r="286" spans="1:18" x14ac:dyDescent="0.3">
      <c r="A286" s="3" t="s">
        <v>678</v>
      </c>
      <c r="B286" s="4">
        <v>45553</v>
      </c>
      <c r="C286" s="3" t="s">
        <v>679</v>
      </c>
      <c r="D286" s="3" t="s">
        <v>39</v>
      </c>
      <c r="E286" s="3" t="s">
        <v>60</v>
      </c>
      <c r="F286" s="3" t="s">
        <v>104</v>
      </c>
      <c r="G286" s="3" t="s">
        <v>32</v>
      </c>
      <c r="H286" s="3" t="s">
        <v>86</v>
      </c>
      <c r="I286" s="3" t="s">
        <v>227</v>
      </c>
      <c r="J286" s="3">
        <v>2</v>
      </c>
      <c r="K286" s="5">
        <v>8115.7</v>
      </c>
      <c r="L286" s="5">
        <v>14608.26</v>
      </c>
      <c r="M286" s="6">
        <v>10</v>
      </c>
      <c r="N286" s="48">
        <v>2147.4299999999998</v>
      </c>
      <c r="O286" s="5">
        <v>95.34</v>
      </c>
      <c r="P286" s="3" t="s">
        <v>35</v>
      </c>
      <c r="Q286" s="3" t="s">
        <v>65</v>
      </c>
      <c r="R286" s="28">
        <f t="shared" si="4"/>
        <v>0.14700108021078484</v>
      </c>
    </row>
    <row r="287" spans="1:18" x14ac:dyDescent="0.3">
      <c r="A287" s="7" t="s">
        <v>680</v>
      </c>
      <c r="B287" s="8">
        <v>45553</v>
      </c>
      <c r="C287" s="7" t="s">
        <v>681</v>
      </c>
      <c r="D287" s="7" t="s">
        <v>39</v>
      </c>
      <c r="E287" s="7" t="s">
        <v>60</v>
      </c>
      <c r="F287" s="7" t="s">
        <v>68</v>
      </c>
      <c r="G287" s="7" t="s">
        <v>134</v>
      </c>
      <c r="H287" s="7" t="s">
        <v>139</v>
      </c>
      <c r="I287" s="7" t="s">
        <v>147</v>
      </c>
      <c r="J287" s="7">
        <v>2</v>
      </c>
      <c r="K287" s="9">
        <v>3582.79</v>
      </c>
      <c r="L287" s="9">
        <v>6090.74</v>
      </c>
      <c r="M287" s="10">
        <v>15</v>
      </c>
      <c r="N287" s="49">
        <v>457.09</v>
      </c>
      <c r="O287" s="9">
        <v>268.27</v>
      </c>
      <c r="P287" s="7" t="s">
        <v>35</v>
      </c>
      <c r="Q287" s="7" t="s">
        <v>26</v>
      </c>
      <c r="R287" s="28">
        <f t="shared" si="4"/>
        <v>7.504671025195625E-2</v>
      </c>
    </row>
    <row r="288" spans="1:18" x14ac:dyDescent="0.3">
      <c r="A288" s="3" t="s">
        <v>682</v>
      </c>
      <c r="B288" s="4">
        <v>45553</v>
      </c>
      <c r="C288" s="3" t="s">
        <v>683</v>
      </c>
      <c r="D288" s="3" t="s">
        <v>19</v>
      </c>
      <c r="E288" s="3" t="s">
        <v>60</v>
      </c>
      <c r="F288" s="3" t="s">
        <v>68</v>
      </c>
      <c r="G288" s="3" t="s">
        <v>42</v>
      </c>
      <c r="H288" s="3" t="s">
        <v>164</v>
      </c>
      <c r="I288" s="3" t="s">
        <v>329</v>
      </c>
      <c r="J288" s="3">
        <v>3</v>
      </c>
      <c r="K288" s="5">
        <v>697.32</v>
      </c>
      <c r="L288" s="5">
        <v>1673.57</v>
      </c>
      <c r="M288" s="6">
        <v>20</v>
      </c>
      <c r="N288" s="48">
        <v>18.55</v>
      </c>
      <c r="O288" s="5">
        <v>110.35</v>
      </c>
      <c r="P288" s="3" t="s">
        <v>64</v>
      </c>
      <c r="Q288" s="3" t="s">
        <v>26</v>
      </c>
      <c r="R288" s="28">
        <f t="shared" si="4"/>
        <v>1.1084089700460693E-2</v>
      </c>
    </row>
    <row r="289" spans="1:18" x14ac:dyDescent="0.3">
      <c r="A289" s="7" t="s">
        <v>684</v>
      </c>
      <c r="B289" s="8">
        <v>45553</v>
      </c>
      <c r="C289" s="7" t="s">
        <v>240</v>
      </c>
      <c r="D289" s="7" t="s">
        <v>39</v>
      </c>
      <c r="E289" s="7" t="s">
        <v>40</v>
      </c>
      <c r="F289" s="7" t="s">
        <v>109</v>
      </c>
      <c r="G289" s="7" t="s">
        <v>42</v>
      </c>
      <c r="H289" s="7" t="s">
        <v>172</v>
      </c>
      <c r="I289" s="7" t="s">
        <v>223</v>
      </c>
      <c r="J289" s="7">
        <v>2</v>
      </c>
      <c r="K289" s="9">
        <v>944.02</v>
      </c>
      <c r="L289" s="9">
        <v>1793.64</v>
      </c>
      <c r="M289" s="10">
        <v>5</v>
      </c>
      <c r="N289" s="49">
        <v>182.05</v>
      </c>
      <c r="O289" s="9">
        <v>191.73</v>
      </c>
      <c r="P289" s="7" t="s">
        <v>83</v>
      </c>
      <c r="Q289" s="7" t="s">
        <v>26</v>
      </c>
      <c r="R289" s="28">
        <f t="shared" si="4"/>
        <v>0.10149751343636404</v>
      </c>
    </row>
    <row r="290" spans="1:18" x14ac:dyDescent="0.3">
      <c r="A290" s="3" t="s">
        <v>685</v>
      </c>
      <c r="B290" s="4">
        <v>45554</v>
      </c>
      <c r="C290" s="3" t="s">
        <v>686</v>
      </c>
      <c r="D290" s="3" t="s">
        <v>19</v>
      </c>
      <c r="E290" s="3" t="s">
        <v>30</v>
      </c>
      <c r="F290" s="3" t="s">
        <v>226</v>
      </c>
      <c r="G290" s="3" t="s">
        <v>134</v>
      </c>
      <c r="H290" s="3" t="s">
        <v>244</v>
      </c>
      <c r="I290" s="3" t="s">
        <v>334</v>
      </c>
      <c r="J290" s="3">
        <v>2</v>
      </c>
      <c r="K290" s="5">
        <v>3160.69</v>
      </c>
      <c r="L290" s="5">
        <v>6005.31</v>
      </c>
      <c r="M290" s="6">
        <v>5</v>
      </c>
      <c r="N290" s="48">
        <v>1121.07</v>
      </c>
      <c r="O290" s="5">
        <v>103.06</v>
      </c>
      <c r="P290" s="3" t="s">
        <v>64</v>
      </c>
      <c r="Q290" s="3" t="s">
        <v>26</v>
      </c>
      <c r="R290" s="28">
        <f t="shared" si="4"/>
        <v>0.18667978838727722</v>
      </c>
    </row>
    <row r="291" spans="1:18" x14ac:dyDescent="0.3">
      <c r="A291" s="7" t="s">
        <v>687</v>
      </c>
      <c r="B291" s="8">
        <v>45556</v>
      </c>
      <c r="C291" s="7" t="s">
        <v>435</v>
      </c>
      <c r="D291" s="7" t="s">
        <v>39</v>
      </c>
      <c r="E291" s="7" t="s">
        <v>60</v>
      </c>
      <c r="F291" s="7" t="s">
        <v>72</v>
      </c>
      <c r="G291" s="7" t="s">
        <v>117</v>
      </c>
      <c r="H291" s="7" t="s">
        <v>130</v>
      </c>
      <c r="I291" s="7" t="s">
        <v>310</v>
      </c>
      <c r="J291" s="7">
        <v>3</v>
      </c>
      <c r="K291" s="9">
        <v>972.82</v>
      </c>
      <c r="L291" s="9">
        <v>2772.54</v>
      </c>
      <c r="M291" s="10">
        <v>5</v>
      </c>
      <c r="N291" s="49">
        <v>905.5</v>
      </c>
      <c r="O291" s="9">
        <v>352.79</v>
      </c>
      <c r="P291" s="7" t="s">
        <v>64</v>
      </c>
      <c r="Q291" s="7" t="s">
        <v>26</v>
      </c>
      <c r="R291" s="28">
        <f t="shared" si="4"/>
        <v>0.32659582909534218</v>
      </c>
    </row>
    <row r="292" spans="1:18" x14ac:dyDescent="0.3">
      <c r="A292" s="3" t="s">
        <v>688</v>
      </c>
      <c r="B292" s="4">
        <v>45557</v>
      </c>
      <c r="C292" s="3" t="s">
        <v>614</v>
      </c>
      <c r="D292" s="3" t="s">
        <v>19</v>
      </c>
      <c r="E292" s="3" t="s">
        <v>40</v>
      </c>
      <c r="F292" s="3" t="s">
        <v>109</v>
      </c>
      <c r="G292" s="3" t="s">
        <v>42</v>
      </c>
      <c r="H292" s="3" t="s">
        <v>164</v>
      </c>
      <c r="I292" s="3" t="s">
        <v>199</v>
      </c>
      <c r="J292" s="3">
        <v>5</v>
      </c>
      <c r="K292" s="5">
        <v>1031.81</v>
      </c>
      <c r="L292" s="5">
        <v>5159.05</v>
      </c>
      <c r="M292" s="6">
        <v>0</v>
      </c>
      <c r="N292" s="48">
        <v>566.47</v>
      </c>
      <c r="O292" s="5">
        <v>396.02</v>
      </c>
      <c r="P292" s="3" t="s">
        <v>45</v>
      </c>
      <c r="Q292" s="3" t="s">
        <v>65</v>
      </c>
      <c r="R292" s="28">
        <f t="shared" si="4"/>
        <v>0.10980122309339899</v>
      </c>
    </row>
    <row r="293" spans="1:18" x14ac:dyDescent="0.3">
      <c r="A293" s="7" t="s">
        <v>689</v>
      </c>
      <c r="B293" s="8">
        <v>45557</v>
      </c>
      <c r="C293" s="7" t="s">
        <v>415</v>
      </c>
      <c r="D293" s="7" t="s">
        <v>19</v>
      </c>
      <c r="E293" s="7" t="s">
        <v>30</v>
      </c>
      <c r="F293" s="7" t="s">
        <v>226</v>
      </c>
      <c r="G293" s="7" t="s">
        <v>134</v>
      </c>
      <c r="H293" s="7" t="s">
        <v>135</v>
      </c>
      <c r="I293" s="7" t="s">
        <v>136</v>
      </c>
      <c r="J293" s="7">
        <v>1</v>
      </c>
      <c r="K293" s="9">
        <v>2423.14</v>
      </c>
      <c r="L293" s="9">
        <v>2301.98</v>
      </c>
      <c r="M293" s="10">
        <v>5</v>
      </c>
      <c r="N293" s="49">
        <v>479.31</v>
      </c>
      <c r="O293" s="9">
        <v>76.11</v>
      </c>
      <c r="P293" s="7" t="s">
        <v>64</v>
      </c>
      <c r="Q293" s="7" t="s">
        <v>57</v>
      </c>
      <c r="R293" s="28">
        <f t="shared" si="4"/>
        <v>0.20821640500786279</v>
      </c>
    </row>
    <row r="294" spans="1:18" x14ac:dyDescent="0.3">
      <c r="A294" s="3" t="s">
        <v>690</v>
      </c>
      <c r="B294" s="4">
        <v>45559</v>
      </c>
      <c r="C294" s="3" t="s">
        <v>442</v>
      </c>
      <c r="D294" s="3" t="s">
        <v>39</v>
      </c>
      <c r="E294" s="3" t="s">
        <v>30</v>
      </c>
      <c r="F294" s="3" t="s">
        <v>48</v>
      </c>
      <c r="G294" s="3" t="s">
        <v>22</v>
      </c>
      <c r="H294" s="3" t="s">
        <v>105</v>
      </c>
      <c r="I294" s="3" t="s">
        <v>629</v>
      </c>
      <c r="J294" s="3">
        <v>1</v>
      </c>
      <c r="K294" s="5">
        <v>54068.06</v>
      </c>
      <c r="L294" s="5">
        <v>37847.64</v>
      </c>
      <c r="M294" s="6">
        <v>30</v>
      </c>
      <c r="N294" s="48">
        <v>-4365.21</v>
      </c>
      <c r="O294" s="5">
        <v>331.08</v>
      </c>
      <c r="P294" s="3" t="s">
        <v>35</v>
      </c>
      <c r="Q294" s="3" t="s">
        <v>57</v>
      </c>
      <c r="R294" s="28">
        <f t="shared" si="4"/>
        <v>-0.11533638557120074</v>
      </c>
    </row>
    <row r="295" spans="1:18" x14ac:dyDescent="0.3">
      <c r="A295" s="7" t="s">
        <v>691</v>
      </c>
      <c r="B295" s="8">
        <v>45559</v>
      </c>
      <c r="C295" s="7" t="s">
        <v>671</v>
      </c>
      <c r="D295" s="7" t="s">
        <v>39</v>
      </c>
      <c r="E295" s="7" t="s">
        <v>20</v>
      </c>
      <c r="F295" s="7" t="s">
        <v>54</v>
      </c>
      <c r="G295" s="7" t="s">
        <v>134</v>
      </c>
      <c r="H295" s="7" t="s">
        <v>244</v>
      </c>
      <c r="I295" s="7" t="s">
        <v>411</v>
      </c>
      <c r="J295" s="7">
        <v>1</v>
      </c>
      <c r="K295" s="9">
        <v>1357.49</v>
      </c>
      <c r="L295" s="9">
        <v>950.24</v>
      </c>
      <c r="M295" s="10">
        <v>30</v>
      </c>
      <c r="N295" s="49">
        <v>-53.16</v>
      </c>
      <c r="O295" s="9">
        <v>121.15</v>
      </c>
      <c r="P295" s="7" t="s">
        <v>64</v>
      </c>
      <c r="Q295" s="7" t="s">
        <v>57</v>
      </c>
      <c r="R295" s="28">
        <f t="shared" si="4"/>
        <v>-5.5943761576022898E-2</v>
      </c>
    </row>
    <row r="296" spans="1:18" x14ac:dyDescent="0.3">
      <c r="A296" s="3" t="s">
        <v>692</v>
      </c>
      <c r="B296" s="4">
        <v>45559</v>
      </c>
      <c r="C296" s="3" t="s">
        <v>293</v>
      </c>
      <c r="D296" s="3" t="s">
        <v>39</v>
      </c>
      <c r="E296" s="3" t="s">
        <v>30</v>
      </c>
      <c r="F296" s="3" t="s">
        <v>48</v>
      </c>
      <c r="G296" s="3" t="s">
        <v>134</v>
      </c>
      <c r="H296" s="3" t="s">
        <v>91</v>
      </c>
      <c r="I296" s="3" t="s">
        <v>188</v>
      </c>
      <c r="J296" s="3">
        <v>1</v>
      </c>
      <c r="K296" s="5">
        <v>3731.29</v>
      </c>
      <c r="L296" s="5">
        <v>3544.73</v>
      </c>
      <c r="M296" s="6">
        <v>5</v>
      </c>
      <c r="N296" s="48">
        <v>637.01</v>
      </c>
      <c r="O296" s="5">
        <v>52.73</v>
      </c>
      <c r="P296" s="3" t="s">
        <v>25</v>
      </c>
      <c r="Q296" s="3" t="s">
        <v>26</v>
      </c>
      <c r="R296" s="28">
        <f t="shared" si="4"/>
        <v>0.1797062117566077</v>
      </c>
    </row>
    <row r="297" spans="1:18" x14ac:dyDescent="0.3">
      <c r="A297" s="7" t="s">
        <v>693</v>
      </c>
      <c r="B297" s="8">
        <v>45561</v>
      </c>
      <c r="C297" s="7" t="s">
        <v>286</v>
      </c>
      <c r="D297" s="7" t="s">
        <v>39</v>
      </c>
      <c r="E297" s="7" t="s">
        <v>40</v>
      </c>
      <c r="F297" s="7" t="s">
        <v>109</v>
      </c>
      <c r="G297" s="7" t="s">
        <v>22</v>
      </c>
      <c r="H297" s="7" t="s">
        <v>110</v>
      </c>
      <c r="I297" s="7" t="s">
        <v>359</v>
      </c>
      <c r="J297" s="7">
        <v>1</v>
      </c>
      <c r="K297" s="9">
        <v>47599.95</v>
      </c>
      <c r="L297" s="9">
        <v>47599.95</v>
      </c>
      <c r="M297" s="10">
        <v>0</v>
      </c>
      <c r="N297" s="49">
        <v>6535.14</v>
      </c>
      <c r="O297" s="9">
        <v>196.67</v>
      </c>
      <c r="P297" s="7" t="s">
        <v>64</v>
      </c>
      <c r="Q297" s="7" t="s">
        <v>26</v>
      </c>
      <c r="R297" s="28">
        <f t="shared" si="4"/>
        <v>0.13729300135819472</v>
      </c>
    </row>
    <row r="298" spans="1:18" x14ac:dyDescent="0.3">
      <c r="A298" s="3" t="s">
        <v>694</v>
      </c>
      <c r="B298" s="4">
        <v>45562</v>
      </c>
      <c r="C298" s="3" t="s">
        <v>695</v>
      </c>
      <c r="D298" s="3" t="s">
        <v>39</v>
      </c>
      <c r="E298" s="3" t="s">
        <v>60</v>
      </c>
      <c r="F298" s="3" t="s">
        <v>104</v>
      </c>
      <c r="G298" s="3" t="s">
        <v>42</v>
      </c>
      <c r="H298" s="3" t="s">
        <v>81</v>
      </c>
      <c r="I298" s="3" t="s">
        <v>82</v>
      </c>
      <c r="J298" s="3">
        <v>1</v>
      </c>
      <c r="K298" s="5">
        <v>1073.47</v>
      </c>
      <c r="L298" s="5">
        <v>912.45</v>
      </c>
      <c r="M298" s="6">
        <v>15</v>
      </c>
      <c r="N298" s="48">
        <v>58.69</v>
      </c>
      <c r="O298" s="5">
        <v>177.2</v>
      </c>
      <c r="P298" s="3" t="s">
        <v>64</v>
      </c>
      <c r="Q298" s="3" t="s">
        <v>65</v>
      </c>
      <c r="R298" s="28">
        <f t="shared" si="4"/>
        <v>6.4321332675763052E-2</v>
      </c>
    </row>
    <row r="299" spans="1:18" x14ac:dyDescent="0.3">
      <c r="A299" s="7" t="s">
        <v>696</v>
      </c>
      <c r="B299" s="8">
        <v>45564</v>
      </c>
      <c r="C299" s="7" t="s">
        <v>515</v>
      </c>
      <c r="D299" s="7" t="s">
        <v>29</v>
      </c>
      <c r="E299" s="7" t="s">
        <v>30</v>
      </c>
      <c r="F299" s="7" t="s">
        <v>226</v>
      </c>
      <c r="G299" s="7" t="s">
        <v>49</v>
      </c>
      <c r="H299" s="7" t="s">
        <v>98</v>
      </c>
      <c r="I299" s="7" t="s">
        <v>299</v>
      </c>
      <c r="J299" s="7">
        <v>1</v>
      </c>
      <c r="K299" s="9">
        <v>4656.3500000000004</v>
      </c>
      <c r="L299" s="9">
        <v>3957.9</v>
      </c>
      <c r="M299" s="10">
        <v>15</v>
      </c>
      <c r="N299" s="49">
        <v>261.94</v>
      </c>
      <c r="O299" s="9">
        <v>105.87</v>
      </c>
      <c r="P299" s="7" t="s">
        <v>83</v>
      </c>
      <c r="Q299" s="7" t="s">
        <v>57</v>
      </c>
      <c r="R299" s="28">
        <f t="shared" si="4"/>
        <v>6.6181560928775363E-2</v>
      </c>
    </row>
    <row r="300" spans="1:18" x14ac:dyDescent="0.3">
      <c r="A300" s="3" t="s">
        <v>697</v>
      </c>
      <c r="B300" s="4">
        <v>45564</v>
      </c>
      <c r="C300" s="3" t="s">
        <v>698</v>
      </c>
      <c r="D300" s="3" t="s">
        <v>39</v>
      </c>
      <c r="E300" s="3" t="s">
        <v>60</v>
      </c>
      <c r="F300" s="3" t="s">
        <v>61</v>
      </c>
      <c r="G300" s="3" t="s">
        <v>49</v>
      </c>
      <c r="H300" s="3" t="s">
        <v>62</v>
      </c>
      <c r="I300" s="3" t="s">
        <v>122</v>
      </c>
      <c r="J300" s="3">
        <v>2</v>
      </c>
      <c r="K300" s="5">
        <v>14415.99</v>
      </c>
      <c r="L300" s="5">
        <v>23065.58</v>
      </c>
      <c r="M300" s="6">
        <v>20</v>
      </c>
      <c r="N300" s="48">
        <v>2721.03</v>
      </c>
      <c r="O300" s="5">
        <v>211.87</v>
      </c>
      <c r="P300" s="3" t="s">
        <v>64</v>
      </c>
      <c r="Q300" s="3" t="s">
        <v>65</v>
      </c>
      <c r="R300" s="28">
        <f t="shared" si="4"/>
        <v>0.11796928583629807</v>
      </c>
    </row>
    <row r="301" spans="1:18" x14ac:dyDescent="0.3">
      <c r="A301" s="7" t="s">
        <v>699</v>
      </c>
      <c r="B301" s="8">
        <v>45565</v>
      </c>
      <c r="C301" s="7" t="s">
        <v>614</v>
      </c>
      <c r="D301" s="7" t="s">
        <v>19</v>
      </c>
      <c r="E301" s="7" t="s">
        <v>40</v>
      </c>
      <c r="F301" s="7" t="s">
        <v>41</v>
      </c>
      <c r="G301" s="7" t="s">
        <v>117</v>
      </c>
      <c r="H301" s="7" t="s">
        <v>130</v>
      </c>
      <c r="I301" s="7" t="s">
        <v>391</v>
      </c>
      <c r="J301" s="7">
        <v>2</v>
      </c>
      <c r="K301" s="9">
        <v>1229.05</v>
      </c>
      <c r="L301" s="9">
        <v>2212.29</v>
      </c>
      <c r="M301" s="10">
        <v>10</v>
      </c>
      <c r="N301" s="49">
        <v>377.42</v>
      </c>
      <c r="O301" s="9">
        <v>215.44</v>
      </c>
      <c r="P301" s="7" t="s">
        <v>64</v>
      </c>
      <c r="Q301" s="7" t="s">
        <v>65</v>
      </c>
      <c r="R301" s="28">
        <f t="shared" si="4"/>
        <v>0.17060150341953362</v>
      </c>
    </row>
    <row r="302" spans="1:18" x14ac:dyDescent="0.3">
      <c r="A302" s="3" t="s">
        <v>700</v>
      </c>
      <c r="B302" s="4">
        <v>45565</v>
      </c>
      <c r="C302" s="3" t="s">
        <v>487</v>
      </c>
      <c r="D302" s="3" t="s">
        <v>29</v>
      </c>
      <c r="E302" s="3" t="s">
        <v>30</v>
      </c>
      <c r="F302" s="3" t="s">
        <v>48</v>
      </c>
      <c r="G302" s="3" t="s">
        <v>22</v>
      </c>
      <c r="H302" s="3" t="s">
        <v>55</v>
      </c>
      <c r="I302" s="3" t="s">
        <v>150</v>
      </c>
      <c r="J302" s="3">
        <v>1</v>
      </c>
      <c r="K302" s="5">
        <v>48226.76</v>
      </c>
      <c r="L302" s="5">
        <v>43404.08</v>
      </c>
      <c r="M302" s="6">
        <v>10</v>
      </c>
      <c r="N302" s="48">
        <v>3511.15</v>
      </c>
      <c r="O302" s="5">
        <v>341.87</v>
      </c>
      <c r="P302" s="3" t="s">
        <v>25</v>
      </c>
      <c r="Q302" s="3" t="s">
        <v>57</v>
      </c>
      <c r="R302" s="28">
        <f t="shared" si="4"/>
        <v>8.0894468907070485E-2</v>
      </c>
    </row>
    <row r="303" spans="1:18" x14ac:dyDescent="0.3">
      <c r="A303" s="7" t="s">
        <v>701</v>
      </c>
      <c r="B303" s="8">
        <v>45565</v>
      </c>
      <c r="C303" s="7" t="s">
        <v>702</v>
      </c>
      <c r="D303" s="7" t="s">
        <v>39</v>
      </c>
      <c r="E303" s="7" t="s">
        <v>30</v>
      </c>
      <c r="F303" s="7" t="s">
        <v>226</v>
      </c>
      <c r="G303" s="7" t="s">
        <v>42</v>
      </c>
      <c r="H303" s="7" t="s">
        <v>172</v>
      </c>
      <c r="I303" s="7" t="s">
        <v>302</v>
      </c>
      <c r="J303" s="7">
        <v>1</v>
      </c>
      <c r="K303" s="9">
        <v>447.45</v>
      </c>
      <c r="L303" s="9">
        <v>380.33</v>
      </c>
      <c r="M303" s="10">
        <v>15</v>
      </c>
      <c r="N303" s="49">
        <v>37.07</v>
      </c>
      <c r="O303" s="9">
        <v>158.1</v>
      </c>
      <c r="P303" s="7" t="s">
        <v>35</v>
      </c>
      <c r="Q303" s="7" t="s">
        <v>65</v>
      </c>
      <c r="R303" s="28">
        <f t="shared" si="4"/>
        <v>9.7467988325927485E-2</v>
      </c>
    </row>
    <row r="304" spans="1:18" x14ac:dyDescent="0.3">
      <c r="A304" s="3" t="s">
        <v>703</v>
      </c>
      <c r="B304" s="4">
        <v>45567</v>
      </c>
      <c r="C304" s="3" t="s">
        <v>544</v>
      </c>
      <c r="D304" s="3" t="s">
        <v>29</v>
      </c>
      <c r="E304" s="3" t="s">
        <v>40</v>
      </c>
      <c r="F304" s="3" t="s">
        <v>41</v>
      </c>
      <c r="G304" s="3" t="s">
        <v>134</v>
      </c>
      <c r="H304" s="3" t="s">
        <v>244</v>
      </c>
      <c r="I304" s="3" t="s">
        <v>411</v>
      </c>
      <c r="J304" s="3">
        <v>3</v>
      </c>
      <c r="K304" s="5">
        <v>531.92999999999995</v>
      </c>
      <c r="L304" s="5">
        <v>1595.79</v>
      </c>
      <c r="M304" s="6">
        <v>0</v>
      </c>
      <c r="N304" s="48">
        <v>291.5</v>
      </c>
      <c r="O304" s="5">
        <v>361.56</v>
      </c>
      <c r="P304" s="3" t="s">
        <v>83</v>
      </c>
      <c r="Q304" s="3" t="s">
        <v>26</v>
      </c>
      <c r="R304" s="28">
        <f t="shared" si="4"/>
        <v>0.18266814555799948</v>
      </c>
    </row>
    <row r="305" spans="1:18" x14ac:dyDescent="0.3">
      <c r="A305" s="7" t="s">
        <v>704</v>
      </c>
      <c r="B305" s="8">
        <v>45567</v>
      </c>
      <c r="C305" s="7" t="s">
        <v>705</v>
      </c>
      <c r="D305" s="7" t="s">
        <v>29</v>
      </c>
      <c r="E305" s="7" t="s">
        <v>40</v>
      </c>
      <c r="F305" s="7" t="s">
        <v>109</v>
      </c>
      <c r="G305" s="7" t="s">
        <v>32</v>
      </c>
      <c r="H305" s="7" t="s">
        <v>33</v>
      </c>
      <c r="I305" s="7" t="s">
        <v>69</v>
      </c>
      <c r="J305" s="7">
        <v>2</v>
      </c>
      <c r="K305" s="9">
        <v>7219.46</v>
      </c>
      <c r="L305" s="9">
        <v>11551.14</v>
      </c>
      <c r="M305" s="10">
        <v>20</v>
      </c>
      <c r="N305" s="49">
        <v>839.87</v>
      </c>
      <c r="O305" s="9">
        <v>348.55</v>
      </c>
      <c r="P305" s="7" t="s">
        <v>64</v>
      </c>
      <c r="Q305" s="7" t="s">
        <v>57</v>
      </c>
      <c r="R305" s="28">
        <f t="shared" si="4"/>
        <v>7.2708840858997467E-2</v>
      </c>
    </row>
    <row r="306" spans="1:18" x14ac:dyDescent="0.3">
      <c r="A306" s="3" t="s">
        <v>706</v>
      </c>
      <c r="B306" s="4">
        <v>45567</v>
      </c>
      <c r="C306" s="3" t="s">
        <v>707</v>
      </c>
      <c r="D306" s="3" t="s">
        <v>39</v>
      </c>
      <c r="E306" s="3" t="s">
        <v>40</v>
      </c>
      <c r="F306" s="3" t="s">
        <v>109</v>
      </c>
      <c r="G306" s="3" t="s">
        <v>32</v>
      </c>
      <c r="H306" s="3" t="s">
        <v>86</v>
      </c>
      <c r="I306" s="3" t="s">
        <v>233</v>
      </c>
      <c r="J306" s="3">
        <v>1</v>
      </c>
      <c r="K306" s="5">
        <v>4431.08</v>
      </c>
      <c r="L306" s="5">
        <v>3987.97</v>
      </c>
      <c r="M306" s="6">
        <v>10</v>
      </c>
      <c r="N306" s="48">
        <v>454.61</v>
      </c>
      <c r="O306" s="5">
        <v>169.33</v>
      </c>
      <c r="P306" s="3" t="s">
        <v>64</v>
      </c>
      <c r="Q306" s="3" t="s">
        <v>65</v>
      </c>
      <c r="R306" s="28">
        <f t="shared" si="4"/>
        <v>0.11399534098802148</v>
      </c>
    </row>
    <row r="307" spans="1:18" x14ac:dyDescent="0.3">
      <c r="A307" s="7" t="s">
        <v>708</v>
      </c>
      <c r="B307" s="8">
        <v>45567</v>
      </c>
      <c r="C307" s="7" t="s">
        <v>709</v>
      </c>
      <c r="D307" s="7" t="s">
        <v>39</v>
      </c>
      <c r="E307" s="7" t="s">
        <v>60</v>
      </c>
      <c r="F307" s="7" t="s">
        <v>68</v>
      </c>
      <c r="G307" s="7" t="s">
        <v>22</v>
      </c>
      <c r="H307" s="7" t="s">
        <v>55</v>
      </c>
      <c r="I307" s="7" t="s">
        <v>416</v>
      </c>
      <c r="J307" s="7">
        <v>1</v>
      </c>
      <c r="K307" s="9">
        <v>25222.63</v>
      </c>
      <c r="L307" s="9">
        <v>23961.5</v>
      </c>
      <c r="M307" s="10">
        <v>5</v>
      </c>
      <c r="N307" s="49">
        <v>757.88</v>
      </c>
      <c r="O307" s="9">
        <v>207.39</v>
      </c>
      <c r="P307" s="7" t="s">
        <v>64</v>
      </c>
      <c r="Q307" s="7" t="s">
        <v>26</v>
      </c>
      <c r="R307" s="28">
        <f t="shared" si="4"/>
        <v>3.1629071635749011E-2</v>
      </c>
    </row>
    <row r="308" spans="1:18" x14ac:dyDescent="0.3">
      <c r="A308" s="3" t="s">
        <v>710</v>
      </c>
      <c r="B308" s="4">
        <v>45568</v>
      </c>
      <c r="C308" s="3" t="s">
        <v>509</v>
      </c>
      <c r="D308" s="3" t="s">
        <v>29</v>
      </c>
      <c r="E308" s="3" t="s">
        <v>30</v>
      </c>
      <c r="F308" s="3" t="s">
        <v>226</v>
      </c>
      <c r="G308" s="3" t="s">
        <v>22</v>
      </c>
      <c r="H308" s="3" t="s">
        <v>110</v>
      </c>
      <c r="I308" s="3" t="s">
        <v>480</v>
      </c>
      <c r="J308" s="3">
        <v>3</v>
      </c>
      <c r="K308" s="5">
        <v>8405.7800000000007</v>
      </c>
      <c r="L308" s="5">
        <v>25217.34</v>
      </c>
      <c r="M308" s="6">
        <v>0</v>
      </c>
      <c r="N308" s="48">
        <v>2828.92</v>
      </c>
      <c r="O308" s="5">
        <v>194.44</v>
      </c>
      <c r="P308" s="3" t="s">
        <v>64</v>
      </c>
      <c r="Q308" s="3" t="s">
        <v>65</v>
      </c>
      <c r="R308" s="28">
        <f t="shared" si="4"/>
        <v>0.11218153857623366</v>
      </c>
    </row>
    <row r="309" spans="1:18" x14ac:dyDescent="0.3">
      <c r="A309" s="7" t="s">
        <v>711</v>
      </c>
      <c r="B309" s="8">
        <v>45568</v>
      </c>
      <c r="C309" s="7" t="s">
        <v>712</v>
      </c>
      <c r="D309" s="7" t="s">
        <v>39</v>
      </c>
      <c r="E309" s="7" t="s">
        <v>30</v>
      </c>
      <c r="F309" s="7" t="s">
        <v>31</v>
      </c>
      <c r="G309" s="7" t="s">
        <v>117</v>
      </c>
      <c r="H309" s="7" t="s">
        <v>130</v>
      </c>
      <c r="I309" s="7" t="s">
        <v>326</v>
      </c>
      <c r="J309" s="7">
        <v>1</v>
      </c>
      <c r="K309" s="9">
        <v>611.29</v>
      </c>
      <c r="L309" s="9">
        <v>611.29</v>
      </c>
      <c r="M309" s="10">
        <v>0</v>
      </c>
      <c r="N309" s="49">
        <v>212.21</v>
      </c>
      <c r="O309" s="9">
        <v>260.7</v>
      </c>
      <c r="P309" s="7" t="s">
        <v>35</v>
      </c>
      <c r="Q309" s="7" t="s">
        <v>26</v>
      </c>
      <c r="R309" s="28">
        <f t="shared" si="4"/>
        <v>0.34715110667604576</v>
      </c>
    </row>
    <row r="310" spans="1:18" x14ac:dyDescent="0.3">
      <c r="A310" s="3" t="s">
        <v>713</v>
      </c>
      <c r="B310" s="4">
        <v>45568</v>
      </c>
      <c r="C310" s="3" t="s">
        <v>714</v>
      </c>
      <c r="D310" s="3" t="s">
        <v>39</v>
      </c>
      <c r="E310" s="3" t="s">
        <v>20</v>
      </c>
      <c r="F310" s="3" t="s">
        <v>129</v>
      </c>
      <c r="G310" s="3" t="s">
        <v>42</v>
      </c>
      <c r="H310" s="3" t="s">
        <v>172</v>
      </c>
      <c r="I310" s="3" t="s">
        <v>223</v>
      </c>
      <c r="J310" s="3">
        <v>3</v>
      </c>
      <c r="K310" s="5">
        <v>677.77</v>
      </c>
      <c r="L310" s="5">
        <v>2033.31</v>
      </c>
      <c r="M310" s="6">
        <v>0</v>
      </c>
      <c r="N310" s="48">
        <v>280.64</v>
      </c>
      <c r="O310" s="5">
        <v>244.61</v>
      </c>
      <c r="P310" s="3" t="s">
        <v>35</v>
      </c>
      <c r="Q310" s="3" t="s">
        <v>65</v>
      </c>
      <c r="R310" s="28">
        <f t="shared" si="4"/>
        <v>0.13802125598162601</v>
      </c>
    </row>
    <row r="311" spans="1:18" x14ac:dyDescent="0.3">
      <c r="A311" s="7" t="s">
        <v>715</v>
      </c>
      <c r="B311" s="8">
        <v>45568</v>
      </c>
      <c r="C311" s="7" t="s">
        <v>384</v>
      </c>
      <c r="D311" s="7" t="s">
        <v>39</v>
      </c>
      <c r="E311" s="7" t="s">
        <v>40</v>
      </c>
      <c r="F311" s="7" t="s">
        <v>77</v>
      </c>
      <c r="G311" s="7" t="s">
        <v>42</v>
      </c>
      <c r="H311" s="7" t="s">
        <v>164</v>
      </c>
      <c r="I311" s="7" t="s">
        <v>329</v>
      </c>
      <c r="J311" s="7">
        <v>2</v>
      </c>
      <c r="K311" s="9">
        <v>1165.96</v>
      </c>
      <c r="L311" s="9">
        <v>2215.3200000000002</v>
      </c>
      <c r="M311" s="10">
        <v>5</v>
      </c>
      <c r="N311" s="49">
        <v>20.3</v>
      </c>
      <c r="O311" s="9">
        <v>226.93</v>
      </c>
      <c r="P311" s="7" t="s">
        <v>25</v>
      </c>
      <c r="Q311" s="7" t="s">
        <v>26</v>
      </c>
      <c r="R311" s="28">
        <f t="shared" si="4"/>
        <v>9.1634617120777122E-3</v>
      </c>
    </row>
    <row r="312" spans="1:18" x14ac:dyDescent="0.3">
      <c r="A312" s="3" t="s">
        <v>716</v>
      </c>
      <c r="B312" s="4">
        <v>45569</v>
      </c>
      <c r="C312" s="3" t="s">
        <v>599</v>
      </c>
      <c r="D312" s="3" t="s">
        <v>39</v>
      </c>
      <c r="E312" s="3" t="s">
        <v>60</v>
      </c>
      <c r="F312" s="3" t="s">
        <v>61</v>
      </c>
      <c r="G312" s="3" t="s">
        <v>22</v>
      </c>
      <c r="H312" s="3" t="s">
        <v>105</v>
      </c>
      <c r="I312" s="3" t="s">
        <v>157</v>
      </c>
      <c r="J312" s="3">
        <v>2</v>
      </c>
      <c r="K312" s="5">
        <v>35741.81</v>
      </c>
      <c r="L312" s="5">
        <v>60761.08</v>
      </c>
      <c r="M312" s="6">
        <v>15</v>
      </c>
      <c r="N312" s="48">
        <v>1609.68</v>
      </c>
      <c r="O312" s="5">
        <v>94.33</v>
      </c>
      <c r="P312" s="3" t="s">
        <v>83</v>
      </c>
      <c r="Q312" s="3" t="s">
        <v>65</v>
      </c>
      <c r="R312" s="28">
        <f t="shared" si="4"/>
        <v>2.6491958339121029E-2</v>
      </c>
    </row>
    <row r="313" spans="1:18" x14ac:dyDescent="0.3">
      <c r="A313" s="7" t="s">
        <v>717</v>
      </c>
      <c r="B313" s="8">
        <v>45569</v>
      </c>
      <c r="C313" s="7" t="s">
        <v>718</v>
      </c>
      <c r="D313" s="7" t="s">
        <v>19</v>
      </c>
      <c r="E313" s="7" t="s">
        <v>30</v>
      </c>
      <c r="F313" s="7" t="s">
        <v>226</v>
      </c>
      <c r="G313" s="7" t="s">
        <v>32</v>
      </c>
      <c r="H313" s="7" t="s">
        <v>73</v>
      </c>
      <c r="I313" s="7" t="s">
        <v>230</v>
      </c>
      <c r="J313" s="7">
        <v>2</v>
      </c>
      <c r="K313" s="9">
        <v>3027.65</v>
      </c>
      <c r="L313" s="9">
        <v>4541.4799999999996</v>
      </c>
      <c r="M313" s="10">
        <v>25</v>
      </c>
      <c r="N313" s="49">
        <v>-185.39</v>
      </c>
      <c r="O313" s="9">
        <v>229.84</v>
      </c>
      <c r="P313" s="7" t="s">
        <v>64</v>
      </c>
      <c r="Q313" s="7" t="s">
        <v>26</v>
      </c>
      <c r="R313" s="28">
        <f t="shared" si="4"/>
        <v>-4.0821494314628712E-2</v>
      </c>
    </row>
    <row r="314" spans="1:18" x14ac:dyDescent="0.3">
      <c r="A314" s="3" t="s">
        <v>719</v>
      </c>
      <c r="B314" s="4">
        <v>45569</v>
      </c>
      <c r="C314" s="3" t="s">
        <v>720</v>
      </c>
      <c r="D314" s="3" t="s">
        <v>29</v>
      </c>
      <c r="E314" s="3" t="s">
        <v>30</v>
      </c>
      <c r="F314" s="3" t="s">
        <v>48</v>
      </c>
      <c r="G314" s="3" t="s">
        <v>22</v>
      </c>
      <c r="H314" s="3" t="s">
        <v>23</v>
      </c>
      <c r="I314" s="3" t="s">
        <v>176</v>
      </c>
      <c r="J314" s="3">
        <v>2</v>
      </c>
      <c r="K314" s="5">
        <v>35794.730000000003</v>
      </c>
      <c r="L314" s="5">
        <v>60851.040000000001</v>
      </c>
      <c r="M314" s="6">
        <v>15</v>
      </c>
      <c r="N314" s="48">
        <v>1341.01</v>
      </c>
      <c r="O314" s="5">
        <v>140.22</v>
      </c>
      <c r="P314" s="3" t="s">
        <v>25</v>
      </c>
      <c r="Q314" s="3" t="s">
        <v>65</v>
      </c>
      <c r="R314" s="28">
        <f t="shared" si="4"/>
        <v>2.2037585553180358E-2</v>
      </c>
    </row>
    <row r="315" spans="1:18" x14ac:dyDescent="0.3">
      <c r="A315" s="7" t="s">
        <v>721</v>
      </c>
      <c r="B315" s="8">
        <v>45569</v>
      </c>
      <c r="C315" s="7" t="s">
        <v>261</v>
      </c>
      <c r="D315" s="7" t="s">
        <v>39</v>
      </c>
      <c r="E315" s="7" t="s">
        <v>20</v>
      </c>
      <c r="F315" s="7" t="s">
        <v>129</v>
      </c>
      <c r="G315" s="7" t="s">
        <v>42</v>
      </c>
      <c r="H315" s="7" t="s">
        <v>164</v>
      </c>
      <c r="I315" s="7" t="s">
        <v>329</v>
      </c>
      <c r="J315" s="7">
        <v>3</v>
      </c>
      <c r="K315" s="9">
        <v>1060.1099999999999</v>
      </c>
      <c r="L315" s="9">
        <v>2703.28</v>
      </c>
      <c r="M315" s="10">
        <v>15</v>
      </c>
      <c r="N315" s="49">
        <v>263.04000000000002</v>
      </c>
      <c r="O315" s="9">
        <v>150.38999999999999</v>
      </c>
      <c r="P315" s="7" t="s">
        <v>83</v>
      </c>
      <c r="Q315" s="7" t="s">
        <v>57</v>
      </c>
      <c r="R315" s="28">
        <f t="shared" si="4"/>
        <v>9.7304015862211837E-2</v>
      </c>
    </row>
    <row r="316" spans="1:18" x14ac:dyDescent="0.3">
      <c r="A316" s="3" t="s">
        <v>722</v>
      </c>
      <c r="B316" s="4">
        <v>45570</v>
      </c>
      <c r="C316" s="3" t="s">
        <v>723</v>
      </c>
      <c r="D316" s="3" t="s">
        <v>19</v>
      </c>
      <c r="E316" s="3" t="s">
        <v>30</v>
      </c>
      <c r="F316" s="3" t="s">
        <v>48</v>
      </c>
      <c r="G316" s="3" t="s">
        <v>22</v>
      </c>
      <c r="H316" s="3" t="s">
        <v>23</v>
      </c>
      <c r="I316" s="3" t="s">
        <v>24</v>
      </c>
      <c r="J316" s="3">
        <v>2</v>
      </c>
      <c r="K316" s="5">
        <v>40815.24</v>
      </c>
      <c r="L316" s="5">
        <v>69385.91</v>
      </c>
      <c r="M316" s="6">
        <v>15</v>
      </c>
      <c r="N316" s="48">
        <v>4157.29</v>
      </c>
      <c r="O316" s="5">
        <v>195.81</v>
      </c>
      <c r="P316" s="3" t="s">
        <v>35</v>
      </c>
      <c r="Q316" s="3" t="s">
        <v>26</v>
      </c>
      <c r="R316" s="28">
        <f t="shared" si="4"/>
        <v>5.9915478517180217E-2</v>
      </c>
    </row>
    <row r="317" spans="1:18" x14ac:dyDescent="0.3">
      <c r="A317" s="7" t="s">
        <v>724</v>
      </c>
      <c r="B317" s="8">
        <v>45570</v>
      </c>
      <c r="C317" s="7" t="s">
        <v>725</v>
      </c>
      <c r="D317" s="7" t="s">
        <v>29</v>
      </c>
      <c r="E317" s="7" t="s">
        <v>20</v>
      </c>
      <c r="F317" s="7" t="s">
        <v>21</v>
      </c>
      <c r="G317" s="7" t="s">
        <v>32</v>
      </c>
      <c r="H317" s="7" t="s">
        <v>33</v>
      </c>
      <c r="I317" s="7" t="s">
        <v>34</v>
      </c>
      <c r="J317" s="7">
        <v>3</v>
      </c>
      <c r="K317" s="9">
        <v>9152.7000000000007</v>
      </c>
      <c r="L317" s="9">
        <v>19220.669999999998</v>
      </c>
      <c r="M317" s="10">
        <v>30</v>
      </c>
      <c r="N317" s="49">
        <v>348.92</v>
      </c>
      <c r="O317" s="9">
        <v>93</v>
      </c>
      <c r="P317" s="7" t="s">
        <v>83</v>
      </c>
      <c r="Q317" s="7" t="s">
        <v>65</v>
      </c>
      <c r="R317" s="28">
        <f t="shared" si="4"/>
        <v>1.8153373425588183E-2</v>
      </c>
    </row>
    <row r="318" spans="1:18" x14ac:dyDescent="0.3">
      <c r="A318" s="3" t="s">
        <v>726</v>
      </c>
      <c r="B318" s="4">
        <v>45571</v>
      </c>
      <c r="C318" s="3" t="s">
        <v>727</v>
      </c>
      <c r="D318" s="3" t="s">
        <v>29</v>
      </c>
      <c r="E318" s="3" t="s">
        <v>30</v>
      </c>
      <c r="F318" s="3" t="s">
        <v>31</v>
      </c>
      <c r="G318" s="3" t="s">
        <v>22</v>
      </c>
      <c r="H318" s="3" t="s">
        <v>55</v>
      </c>
      <c r="I318" s="3" t="s">
        <v>150</v>
      </c>
      <c r="J318" s="3">
        <v>1</v>
      </c>
      <c r="K318" s="5">
        <v>53946.44</v>
      </c>
      <c r="L318" s="5">
        <v>53946.44</v>
      </c>
      <c r="M318" s="6">
        <v>0</v>
      </c>
      <c r="N318" s="48">
        <v>3633.41</v>
      </c>
      <c r="O318" s="5">
        <v>293.93</v>
      </c>
      <c r="P318" s="3" t="s">
        <v>64</v>
      </c>
      <c r="Q318" s="3" t="s">
        <v>65</v>
      </c>
      <c r="R318" s="28">
        <f t="shared" si="4"/>
        <v>6.7352173748629188E-2</v>
      </c>
    </row>
    <row r="319" spans="1:18" x14ac:dyDescent="0.3">
      <c r="A319" s="7" t="s">
        <v>728</v>
      </c>
      <c r="B319" s="8">
        <v>45571</v>
      </c>
      <c r="C319" s="7" t="s">
        <v>729</v>
      </c>
      <c r="D319" s="7" t="s">
        <v>19</v>
      </c>
      <c r="E319" s="7" t="s">
        <v>60</v>
      </c>
      <c r="F319" s="7" t="s">
        <v>68</v>
      </c>
      <c r="G319" s="7" t="s">
        <v>134</v>
      </c>
      <c r="H319" s="7" t="s">
        <v>135</v>
      </c>
      <c r="I319" s="7" t="s">
        <v>287</v>
      </c>
      <c r="J319" s="7">
        <v>1</v>
      </c>
      <c r="K319" s="9">
        <v>4498.8</v>
      </c>
      <c r="L319" s="9">
        <v>4498.8</v>
      </c>
      <c r="M319" s="10">
        <v>0</v>
      </c>
      <c r="N319" s="49">
        <v>1157.97</v>
      </c>
      <c r="O319" s="9">
        <v>78.17</v>
      </c>
      <c r="P319" s="7" t="s">
        <v>64</v>
      </c>
      <c r="Q319" s="7" t="s">
        <v>26</v>
      </c>
      <c r="R319" s="28">
        <f t="shared" si="4"/>
        <v>0.25739530541477729</v>
      </c>
    </row>
    <row r="320" spans="1:18" x14ac:dyDescent="0.3">
      <c r="A320" s="3" t="s">
        <v>730</v>
      </c>
      <c r="B320" s="4">
        <v>45572</v>
      </c>
      <c r="C320" s="3" t="s">
        <v>731</v>
      </c>
      <c r="D320" s="3" t="s">
        <v>19</v>
      </c>
      <c r="E320" s="3" t="s">
        <v>60</v>
      </c>
      <c r="F320" s="3" t="s">
        <v>68</v>
      </c>
      <c r="G320" s="3" t="s">
        <v>117</v>
      </c>
      <c r="H320" s="3" t="s">
        <v>118</v>
      </c>
      <c r="I320" s="3" t="s">
        <v>279</v>
      </c>
      <c r="J320" s="3">
        <v>3</v>
      </c>
      <c r="K320" s="5">
        <v>793.14</v>
      </c>
      <c r="L320" s="5">
        <v>1665.59</v>
      </c>
      <c r="M320" s="6">
        <v>30</v>
      </c>
      <c r="N320" s="48">
        <v>173.86</v>
      </c>
      <c r="O320" s="5">
        <v>104.59</v>
      </c>
      <c r="P320" s="3" t="s">
        <v>25</v>
      </c>
      <c r="Q320" s="3" t="s">
        <v>26</v>
      </c>
      <c r="R320" s="28">
        <f t="shared" si="4"/>
        <v>0.10438343169687619</v>
      </c>
    </row>
    <row r="321" spans="1:18" x14ac:dyDescent="0.3">
      <c r="A321" s="7" t="s">
        <v>732</v>
      </c>
      <c r="B321" s="8">
        <v>45573</v>
      </c>
      <c r="C321" s="7" t="s">
        <v>733</v>
      </c>
      <c r="D321" s="7" t="s">
        <v>29</v>
      </c>
      <c r="E321" s="7" t="s">
        <v>20</v>
      </c>
      <c r="F321" s="7" t="s">
        <v>129</v>
      </c>
      <c r="G321" s="7" t="s">
        <v>134</v>
      </c>
      <c r="H321" s="7" t="s">
        <v>244</v>
      </c>
      <c r="I321" s="7" t="s">
        <v>245</v>
      </c>
      <c r="J321" s="7">
        <v>1</v>
      </c>
      <c r="K321" s="9">
        <v>2451.6</v>
      </c>
      <c r="L321" s="9">
        <v>1961.28</v>
      </c>
      <c r="M321" s="10">
        <v>20</v>
      </c>
      <c r="N321" s="49">
        <v>195.39</v>
      </c>
      <c r="O321" s="9">
        <v>66.569999999999993</v>
      </c>
      <c r="P321" s="7" t="s">
        <v>83</v>
      </c>
      <c r="Q321" s="7" t="s">
        <v>65</v>
      </c>
      <c r="R321" s="28">
        <f t="shared" si="4"/>
        <v>9.9623715124816437E-2</v>
      </c>
    </row>
    <row r="322" spans="1:18" x14ac:dyDescent="0.3">
      <c r="A322" s="3" t="s">
        <v>734</v>
      </c>
      <c r="B322" s="4">
        <v>45573</v>
      </c>
      <c r="C322" s="3" t="s">
        <v>291</v>
      </c>
      <c r="D322" s="3" t="s">
        <v>29</v>
      </c>
      <c r="E322" s="3" t="s">
        <v>30</v>
      </c>
      <c r="F322" s="3" t="s">
        <v>48</v>
      </c>
      <c r="G322" s="3" t="s">
        <v>32</v>
      </c>
      <c r="H322" s="3" t="s">
        <v>86</v>
      </c>
      <c r="I322" s="3" t="s">
        <v>233</v>
      </c>
      <c r="J322" s="3">
        <v>1</v>
      </c>
      <c r="K322" s="5">
        <v>10140.049999999999</v>
      </c>
      <c r="L322" s="5">
        <v>8112.04</v>
      </c>
      <c r="M322" s="6">
        <v>20</v>
      </c>
      <c r="N322" s="48">
        <v>-147.74</v>
      </c>
      <c r="O322" s="5">
        <v>76.02</v>
      </c>
      <c r="P322" s="3" t="s">
        <v>64</v>
      </c>
      <c r="Q322" s="3" t="s">
        <v>65</v>
      </c>
      <c r="R322" s="28">
        <f t="shared" si="4"/>
        <v>-1.8212434849926778E-2</v>
      </c>
    </row>
    <row r="323" spans="1:18" x14ac:dyDescent="0.3">
      <c r="A323" s="7" t="s">
        <v>735</v>
      </c>
      <c r="B323" s="8">
        <v>45573</v>
      </c>
      <c r="C323" s="7" t="s">
        <v>509</v>
      </c>
      <c r="D323" s="7" t="s">
        <v>39</v>
      </c>
      <c r="E323" s="7" t="s">
        <v>20</v>
      </c>
      <c r="F323" s="7" t="s">
        <v>21</v>
      </c>
      <c r="G323" s="7" t="s">
        <v>117</v>
      </c>
      <c r="H323" s="7" t="s">
        <v>130</v>
      </c>
      <c r="I323" s="7" t="s">
        <v>310</v>
      </c>
      <c r="J323" s="7">
        <v>1</v>
      </c>
      <c r="K323" s="9">
        <v>1689.29</v>
      </c>
      <c r="L323" s="9">
        <v>1520.36</v>
      </c>
      <c r="M323" s="10">
        <v>10</v>
      </c>
      <c r="N323" s="49">
        <v>273.97000000000003</v>
      </c>
      <c r="O323" s="9">
        <v>124.17</v>
      </c>
      <c r="P323" s="7" t="s">
        <v>35</v>
      </c>
      <c r="Q323" s="7" t="s">
        <v>26</v>
      </c>
      <c r="R323" s="28">
        <f t="shared" ref="R323:R386" si="5">N323/L323</f>
        <v>0.18020074192954302</v>
      </c>
    </row>
    <row r="324" spans="1:18" x14ac:dyDescent="0.3">
      <c r="A324" s="3" t="s">
        <v>736</v>
      </c>
      <c r="B324" s="4">
        <v>45573</v>
      </c>
      <c r="C324" s="3" t="s">
        <v>265</v>
      </c>
      <c r="D324" s="3" t="s">
        <v>39</v>
      </c>
      <c r="E324" s="3" t="s">
        <v>40</v>
      </c>
      <c r="F324" s="3" t="s">
        <v>77</v>
      </c>
      <c r="G324" s="3" t="s">
        <v>49</v>
      </c>
      <c r="H324" s="3" t="s">
        <v>91</v>
      </c>
      <c r="I324" s="3" t="s">
        <v>188</v>
      </c>
      <c r="J324" s="3">
        <v>1</v>
      </c>
      <c r="K324" s="5">
        <v>5930.05</v>
      </c>
      <c r="L324" s="5">
        <v>5633.55</v>
      </c>
      <c r="M324" s="6">
        <v>5</v>
      </c>
      <c r="N324" s="48">
        <v>925.44</v>
      </c>
      <c r="O324" s="5">
        <v>162.74</v>
      </c>
      <c r="P324" s="3" t="s">
        <v>25</v>
      </c>
      <c r="Q324" s="3" t="s">
        <v>36</v>
      </c>
      <c r="R324" s="28">
        <f t="shared" si="5"/>
        <v>0.16427297174960726</v>
      </c>
    </row>
    <row r="325" spans="1:18" x14ac:dyDescent="0.3">
      <c r="A325" s="7" t="s">
        <v>737</v>
      </c>
      <c r="B325" s="8">
        <v>45574</v>
      </c>
      <c r="C325" s="7" t="s">
        <v>686</v>
      </c>
      <c r="D325" s="7" t="s">
        <v>39</v>
      </c>
      <c r="E325" s="7" t="s">
        <v>40</v>
      </c>
      <c r="F325" s="7" t="s">
        <v>90</v>
      </c>
      <c r="G325" s="7" t="s">
        <v>32</v>
      </c>
      <c r="H325" s="7" t="s">
        <v>143</v>
      </c>
      <c r="I325" s="7" t="s">
        <v>144</v>
      </c>
      <c r="J325" s="7">
        <v>3</v>
      </c>
      <c r="K325" s="9">
        <v>8241.9</v>
      </c>
      <c r="L325" s="9">
        <v>22253.13</v>
      </c>
      <c r="M325" s="10">
        <v>10</v>
      </c>
      <c r="N325" s="49">
        <v>3733.27</v>
      </c>
      <c r="O325" s="9">
        <v>286.12</v>
      </c>
      <c r="P325" s="7" t="s">
        <v>35</v>
      </c>
      <c r="Q325" s="7" t="s">
        <v>26</v>
      </c>
      <c r="R325" s="28">
        <f t="shared" si="5"/>
        <v>0.16776381569693791</v>
      </c>
    </row>
    <row r="326" spans="1:18" x14ac:dyDescent="0.3">
      <c r="A326" s="3" t="s">
        <v>738</v>
      </c>
      <c r="B326" s="4">
        <v>45574</v>
      </c>
      <c r="C326" s="3" t="s">
        <v>491</v>
      </c>
      <c r="D326" s="3" t="s">
        <v>19</v>
      </c>
      <c r="E326" s="3" t="s">
        <v>20</v>
      </c>
      <c r="F326" s="3" t="s">
        <v>54</v>
      </c>
      <c r="G326" s="3" t="s">
        <v>32</v>
      </c>
      <c r="H326" s="3" t="s">
        <v>73</v>
      </c>
      <c r="I326" s="3" t="s">
        <v>74</v>
      </c>
      <c r="J326" s="3">
        <v>4</v>
      </c>
      <c r="K326" s="5">
        <v>7276.14</v>
      </c>
      <c r="L326" s="5">
        <v>29104.560000000001</v>
      </c>
      <c r="M326" s="6">
        <v>0</v>
      </c>
      <c r="N326" s="48">
        <v>4846.1400000000003</v>
      </c>
      <c r="O326" s="5">
        <v>356.21</v>
      </c>
      <c r="P326" s="3" t="s">
        <v>45</v>
      </c>
      <c r="Q326" s="3" t="s">
        <v>65</v>
      </c>
      <c r="R326" s="28">
        <f t="shared" si="5"/>
        <v>0.16650792865447889</v>
      </c>
    </row>
    <row r="327" spans="1:18" x14ac:dyDescent="0.3">
      <c r="A327" s="7" t="s">
        <v>739</v>
      </c>
      <c r="B327" s="8">
        <v>45574</v>
      </c>
      <c r="C327" s="7" t="s">
        <v>301</v>
      </c>
      <c r="D327" s="7" t="s">
        <v>39</v>
      </c>
      <c r="E327" s="7" t="s">
        <v>60</v>
      </c>
      <c r="F327" s="7" t="s">
        <v>61</v>
      </c>
      <c r="G327" s="7" t="s">
        <v>22</v>
      </c>
      <c r="H327" s="7" t="s">
        <v>105</v>
      </c>
      <c r="I327" s="7" t="s">
        <v>629</v>
      </c>
      <c r="J327" s="7">
        <v>5</v>
      </c>
      <c r="K327" s="9">
        <v>27463.62</v>
      </c>
      <c r="L327" s="9">
        <v>116720.38</v>
      </c>
      <c r="M327" s="10">
        <v>15</v>
      </c>
      <c r="N327" s="49">
        <v>512.13</v>
      </c>
      <c r="O327" s="9">
        <v>370.96</v>
      </c>
      <c r="P327" s="7" t="s">
        <v>35</v>
      </c>
      <c r="Q327" s="7" t="s">
        <v>26</v>
      </c>
      <c r="R327" s="28">
        <f t="shared" si="5"/>
        <v>4.3876656330282676E-3</v>
      </c>
    </row>
    <row r="328" spans="1:18" x14ac:dyDescent="0.3">
      <c r="A328" s="3" t="s">
        <v>740</v>
      </c>
      <c r="B328" s="4">
        <v>45574</v>
      </c>
      <c r="C328" s="3" t="s">
        <v>351</v>
      </c>
      <c r="D328" s="3" t="s">
        <v>19</v>
      </c>
      <c r="E328" s="3" t="s">
        <v>60</v>
      </c>
      <c r="F328" s="3" t="s">
        <v>68</v>
      </c>
      <c r="G328" s="3" t="s">
        <v>49</v>
      </c>
      <c r="H328" s="3" t="s">
        <v>62</v>
      </c>
      <c r="I328" s="3" t="s">
        <v>122</v>
      </c>
      <c r="J328" s="3">
        <v>2</v>
      </c>
      <c r="K328" s="5">
        <v>1164.6199999999999</v>
      </c>
      <c r="L328" s="5">
        <v>2329.2399999999998</v>
      </c>
      <c r="M328" s="6">
        <v>0</v>
      </c>
      <c r="N328" s="48">
        <v>400.67</v>
      </c>
      <c r="O328" s="5">
        <v>47.2</v>
      </c>
      <c r="P328" s="3" t="s">
        <v>64</v>
      </c>
      <c r="Q328" s="3" t="s">
        <v>26</v>
      </c>
      <c r="R328" s="28">
        <f t="shared" si="5"/>
        <v>0.17201748209716478</v>
      </c>
    </row>
    <row r="329" spans="1:18" x14ac:dyDescent="0.3">
      <c r="A329" s="7" t="s">
        <v>741</v>
      </c>
      <c r="B329" s="8">
        <v>45574</v>
      </c>
      <c r="C329" s="7" t="s">
        <v>742</v>
      </c>
      <c r="D329" s="7" t="s">
        <v>39</v>
      </c>
      <c r="E329" s="7" t="s">
        <v>30</v>
      </c>
      <c r="F329" s="7" t="s">
        <v>226</v>
      </c>
      <c r="G329" s="7" t="s">
        <v>22</v>
      </c>
      <c r="H329" s="7" t="s">
        <v>55</v>
      </c>
      <c r="I329" s="7" t="s">
        <v>56</v>
      </c>
      <c r="J329" s="7">
        <v>2</v>
      </c>
      <c r="K329" s="9">
        <v>18866.509999999998</v>
      </c>
      <c r="L329" s="9">
        <v>37733.019999999997</v>
      </c>
      <c r="M329" s="10">
        <v>0</v>
      </c>
      <c r="N329" s="49">
        <v>4174.68</v>
      </c>
      <c r="O329" s="9">
        <v>359.73</v>
      </c>
      <c r="P329" s="7" t="s">
        <v>64</v>
      </c>
      <c r="Q329" s="7" t="s">
        <v>65</v>
      </c>
      <c r="R329" s="28">
        <f t="shared" si="5"/>
        <v>0.11063731447946654</v>
      </c>
    </row>
    <row r="330" spans="1:18" x14ac:dyDescent="0.3">
      <c r="A330" s="3" t="s">
        <v>743</v>
      </c>
      <c r="B330" s="4">
        <v>45575</v>
      </c>
      <c r="C330" s="3" t="s">
        <v>744</v>
      </c>
      <c r="D330" s="3" t="s">
        <v>19</v>
      </c>
      <c r="E330" s="3" t="s">
        <v>20</v>
      </c>
      <c r="F330" s="3" t="s">
        <v>54</v>
      </c>
      <c r="G330" s="3" t="s">
        <v>42</v>
      </c>
      <c r="H330" s="3" t="s">
        <v>172</v>
      </c>
      <c r="I330" s="3" t="s">
        <v>302</v>
      </c>
      <c r="J330" s="3">
        <v>4</v>
      </c>
      <c r="K330" s="5">
        <v>1045.19</v>
      </c>
      <c r="L330" s="5">
        <v>3135.57</v>
      </c>
      <c r="M330" s="6">
        <v>25</v>
      </c>
      <c r="N330" s="48">
        <v>82.11</v>
      </c>
      <c r="O330" s="5">
        <v>117.36</v>
      </c>
      <c r="P330" s="3" t="s">
        <v>45</v>
      </c>
      <c r="Q330" s="3" t="s">
        <v>26</v>
      </c>
      <c r="R330" s="28">
        <f t="shared" si="5"/>
        <v>2.6186626355016791E-2</v>
      </c>
    </row>
    <row r="331" spans="1:18" x14ac:dyDescent="0.3">
      <c r="A331" s="7" t="s">
        <v>745</v>
      </c>
      <c r="B331" s="8">
        <v>45576</v>
      </c>
      <c r="C331" s="7" t="s">
        <v>746</v>
      </c>
      <c r="D331" s="7" t="s">
        <v>29</v>
      </c>
      <c r="E331" s="7" t="s">
        <v>40</v>
      </c>
      <c r="F331" s="7" t="s">
        <v>41</v>
      </c>
      <c r="G331" s="7" t="s">
        <v>42</v>
      </c>
      <c r="H331" s="7" t="s">
        <v>164</v>
      </c>
      <c r="I331" s="7" t="s">
        <v>329</v>
      </c>
      <c r="J331" s="7">
        <v>1</v>
      </c>
      <c r="K331" s="9">
        <v>632.15</v>
      </c>
      <c r="L331" s="9">
        <v>632.15</v>
      </c>
      <c r="M331" s="10">
        <v>0</v>
      </c>
      <c r="N331" s="49">
        <v>145.22999999999999</v>
      </c>
      <c r="O331" s="9">
        <v>153.13999999999999</v>
      </c>
      <c r="P331" s="7" t="s">
        <v>45</v>
      </c>
      <c r="Q331" s="7" t="s">
        <v>57</v>
      </c>
      <c r="R331" s="28">
        <f t="shared" si="5"/>
        <v>0.22973977695167286</v>
      </c>
    </row>
    <row r="332" spans="1:18" x14ac:dyDescent="0.3">
      <c r="A332" s="3" t="s">
        <v>747</v>
      </c>
      <c r="B332" s="4">
        <v>45576</v>
      </c>
      <c r="C332" s="3" t="s">
        <v>748</v>
      </c>
      <c r="D332" s="3" t="s">
        <v>19</v>
      </c>
      <c r="E332" s="3" t="s">
        <v>20</v>
      </c>
      <c r="F332" s="3" t="s">
        <v>21</v>
      </c>
      <c r="G332" s="3" t="s">
        <v>117</v>
      </c>
      <c r="H332" s="3" t="s">
        <v>153</v>
      </c>
      <c r="I332" s="3" t="s">
        <v>356</v>
      </c>
      <c r="J332" s="3">
        <v>1</v>
      </c>
      <c r="K332" s="5">
        <v>1535.35</v>
      </c>
      <c r="L332" s="5">
        <v>1381.82</v>
      </c>
      <c r="M332" s="6">
        <v>10</v>
      </c>
      <c r="N332" s="48">
        <v>323.14999999999998</v>
      </c>
      <c r="O332" s="5">
        <v>232.32</v>
      </c>
      <c r="P332" s="3" t="s">
        <v>35</v>
      </c>
      <c r="Q332" s="3" t="s">
        <v>36</v>
      </c>
      <c r="R332" s="28">
        <f t="shared" si="5"/>
        <v>0.23385824492336194</v>
      </c>
    </row>
    <row r="333" spans="1:18" x14ac:dyDescent="0.3">
      <c r="A333" s="7" t="s">
        <v>749</v>
      </c>
      <c r="B333" s="8">
        <v>45577</v>
      </c>
      <c r="C333" s="7" t="s">
        <v>750</v>
      </c>
      <c r="D333" s="7" t="s">
        <v>19</v>
      </c>
      <c r="E333" s="7" t="s">
        <v>30</v>
      </c>
      <c r="F333" s="7" t="s">
        <v>48</v>
      </c>
      <c r="G333" s="7" t="s">
        <v>42</v>
      </c>
      <c r="H333" s="7" t="s">
        <v>43</v>
      </c>
      <c r="I333" s="7" t="s">
        <v>751</v>
      </c>
      <c r="J333" s="7">
        <v>3</v>
      </c>
      <c r="K333" s="9">
        <v>198.43</v>
      </c>
      <c r="L333" s="9">
        <v>595.29</v>
      </c>
      <c r="M333" s="10">
        <v>0</v>
      </c>
      <c r="N333" s="49">
        <v>38.69</v>
      </c>
      <c r="O333" s="9">
        <v>323.85000000000002</v>
      </c>
      <c r="P333" s="7" t="s">
        <v>25</v>
      </c>
      <c r="Q333" s="7" t="s">
        <v>36</v>
      </c>
      <c r="R333" s="28">
        <f t="shared" si="5"/>
        <v>6.4993532563960427E-2</v>
      </c>
    </row>
    <row r="334" spans="1:18" x14ac:dyDescent="0.3">
      <c r="A334" s="3" t="s">
        <v>752</v>
      </c>
      <c r="B334" s="4">
        <v>45578</v>
      </c>
      <c r="C334" s="3" t="s">
        <v>753</v>
      </c>
      <c r="D334" s="3" t="s">
        <v>39</v>
      </c>
      <c r="E334" s="3" t="s">
        <v>40</v>
      </c>
      <c r="F334" s="3" t="s">
        <v>90</v>
      </c>
      <c r="G334" s="3" t="s">
        <v>117</v>
      </c>
      <c r="H334" s="3" t="s">
        <v>130</v>
      </c>
      <c r="I334" s="3" t="s">
        <v>131</v>
      </c>
      <c r="J334" s="3">
        <v>2</v>
      </c>
      <c r="K334" s="5">
        <v>546.09</v>
      </c>
      <c r="L334" s="5">
        <v>982.96</v>
      </c>
      <c r="M334" s="6">
        <v>10</v>
      </c>
      <c r="N334" s="48">
        <v>213.54</v>
      </c>
      <c r="O334" s="5">
        <v>205.49</v>
      </c>
      <c r="P334" s="3" t="s">
        <v>45</v>
      </c>
      <c r="Q334" s="3" t="s">
        <v>26</v>
      </c>
      <c r="R334" s="28">
        <f t="shared" si="5"/>
        <v>0.21724180027671522</v>
      </c>
    </row>
    <row r="335" spans="1:18" x14ac:dyDescent="0.3">
      <c r="A335" s="7" t="s">
        <v>754</v>
      </c>
      <c r="B335" s="8">
        <v>45578</v>
      </c>
      <c r="C335" s="7" t="s">
        <v>755</v>
      </c>
      <c r="D335" s="7" t="s">
        <v>29</v>
      </c>
      <c r="E335" s="7" t="s">
        <v>20</v>
      </c>
      <c r="F335" s="7" t="s">
        <v>21</v>
      </c>
      <c r="G335" s="7" t="s">
        <v>32</v>
      </c>
      <c r="H335" s="7" t="s">
        <v>33</v>
      </c>
      <c r="I335" s="7" t="s">
        <v>449</v>
      </c>
      <c r="J335" s="7">
        <v>1</v>
      </c>
      <c r="K335" s="9">
        <v>4143.63</v>
      </c>
      <c r="L335" s="9">
        <v>3936.45</v>
      </c>
      <c r="M335" s="10">
        <v>5</v>
      </c>
      <c r="N335" s="49">
        <v>363.69</v>
      </c>
      <c r="O335" s="9">
        <v>59.47</v>
      </c>
      <c r="P335" s="7" t="s">
        <v>35</v>
      </c>
      <c r="Q335" s="7" t="s">
        <v>26</v>
      </c>
      <c r="R335" s="28">
        <f t="shared" si="5"/>
        <v>9.2390351712837715E-2</v>
      </c>
    </row>
    <row r="336" spans="1:18" x14ac:dyDescent="0.3">
      <c r="A336" s="3" t="s">
        <v>756</v>
      </c>
      <c r="B336" s="4">
        <v>45578</v>
      </c>
      <c r="C336" s="3" t="s">
        <v>757</v>
      </c>
      <c r="D336" s="3" t="s">
        <v>39</v>
      </c>
      <c r="E336" s="3" t="s">
        <v>40</v>
      </c>
      <c r="F336" s="3" t="s">
        <v>41</v>
      </c>
      <c r="G336" s="3" t="s">
        <v>117</v>
      </c>
      <c r="H336" s="3" t="s">
        <v>125</v>
      </c>
      <c r="I336" s="3" t="s">
        <v>217</v>
      </c>
      <c r="J336" s="3">
        <v>4</v>
      </c>
      <c r="K336" s="5">
        <v>341.1</v>
      </c>
      <c r="L336" s="5">
        <v>1227.96</v>
      </c>
      <c r="M336" s="6">
        <v>10</v>
      </c>
      <c r="N336" s="48">
        <v>255.99</v>
      </c>
      <c r="O336" s="5">
        <v>324.83999999999997</v>
      </c>
      <c r="P336" s="3" t="s">
        <v>35</v>
      </c>
      <c r="Q336" s="3" t="s">
        <v>26</v>
      </c>
      <c r="R336" s="28">
        <f t="shared" si="5"/>
        <v>0.20846770253102706</v>
      </c>
    </row>
    <row r="337" spans="1:18" x14ac:dyDescent="0.3">
      <c r="A337" s="7" t="s">
        <v>758</v>
      </c>
      <c r="B337" s="8">
        <v>45578</v>
      </c>
      <c r="C337" s="7" t="s">
        <v>491</v>
      </c>
      <c r="D337" s="7" t="s">
        <v>29</v>
      </c>
      <c r="E337" s="7" t="s">
        <v>40</v>
      </c>
      <c r="F337" s="7" t="s">
        <v>77</v>
      </c>
      <c r="G337" s="7" t="s">
        <v>22</v>
      </c>
      <c r="H337" s="7" t="s">
        <v>23</v>
      </c>
      <c r="I337" s="7" t="s">
        <v>238</v>
      </c>
      <c r="J337" s="7">
        <v>1</v>
      </c>
      <c r="K337" s="9">
        <v>48031.1</v>
      </c>
      <c r="L337" s="9">
        <v>43227.99</v>
      </c>
      <c r="M337" s="10">
        <v>10</v>
      </c>
      <c r="N337" s="49">
        <v>-4626.2299999999996</v>
      </c>
      <c r="O337" s="9">
        <v>274.02999999999997</v>
      </c>
      <c r="P337" s="7" t="s">
        <v>64</v>
      </c>
      <c r="Q337" s="7" t="s">
        <v>65</v>
      </c>
      <c r="R337" s="28">
        <f t="shared" si="5"/>
        <v>-0.10701931780774447</v>
      </c>
    </row>
    <row r="338" spans="1:18" x14ac:dyDescent="0.3">
      <c r="A338" s="3" t="s">
        <v>759</v>
      </c>
      <c r="B338" s="4">
        <v>45579</v>
      </c>
      <c r="C338" s="3" t="s">
        <v>760</v>
      </c>
      <c r="D338" s="3" t="s">
        <v>29</v>
      </c>
      <c r="E338" s="3" t="s">
        <v>60</v>
      </c>
      <c r="F338" s="3" t="s">
        <v>68</v>
      </c>
      <c r="G338" s="3" t="s">
        <v>134</v>
      </c>
      <c r="H338" s="3" t="s">
        <v>244</v>
      </c>
      <c r="I338" s="3" t="s">
        <v>245</v>
      </c>
      <c r="J338" s="3">
        <v>3</v>
      </c>
      <c r="K338" s="5">
        <v>2889.3</v>
      </c>
      <c r="L338" s="5">
        <v>7801.11</v>
      </c>
      <c r="M338" s="6">
        <v>10</v>
      </c>
      <c r="N338" s="48">
        <v>1221.97</v>
      </c>
      <c r="O338" s="5">
        <v>110.12</v>
      </c>
      <c r="P338" s="3" t="s">
        <v>64</v>
      </c>
      <c r="Q338" s="3" t="s">
        <v>65</v>
      </c>
      <c r="R338" s="28">
        <f t="shared" si="5"/>
        <v>0.15664052936056536</v>
      </c>
    </row>
    <row r="339" spans="1:18" x14ac:dyDescent="0.3">
      <c r="A339" s="7" t="s">
        <v>761</v>
      </c>
      <c r="B339" s="8">
        <v>45579</v>
      </c>
      <c r="C339" s="7" t="s">
        <v>762</v>
      </c>
      <c r="D339" s="7" t="s">
        <v>29</v>
      </c>
      <c r="E339" s="7" t="s">
        <v>20</v>
      </c>
      <c r="F339" s="7" t="s">
        <v>54</v>
      </c>
      <c r="G339" s="7" t="s">
        <v>49</v>
      </c>
      <c r="H339" s="7" t="s">
        <v>98</v>
      </c>
      <c r="I339" s="7" t="s">
        <v>763</v>
      </c>
      <c r="J339" s="7">
        <v>1</v>
      </c>
      <c r="K339" s="9">
        <v>6704.74</v>
      </c>
      <c r="L339" s="9">
        <v>4693.32</v>
      </c>
      <c r="M339" s="10">
        <v>30</v>
      </c>
      <c r="N339" s="49">
        <v>165.58</v>
      </c>
      <c r="O339" s="9">
        <v>117.8</v>
      </c>
      <c r="P339" s="7" t="s">
        <v>64</v>
      </c>
      <c r="Q339" s="7" t="s">
        <v>65</v>
      </c>
      <c r="R339" s="28">
        <f t="shared" si="5"/>
        <v>3.5279929772527766E-2</v>
      </c>
    </row>
    <row r="340" spans="1:18" x14ac:dyDescent="0.3">
      <c r="A340" s="3" t="s">
        <v>764</v>
      </c>
      <c r="B340" s="4">
        <v>45580</v>
      </c>
      <c r="C340" s="3" t="s">
        <v>765</v>
      </c>
      <c r="D340" s="3" t="s">
        <v>39</v>
      </c>
      <c r="E340" s="3" t="s">
        <v>30</v>
      </c>
      <c r="F340" s="3" t="s">
        <v>31</v>
      </c>
      <c r="G340" s="3" t="s">
        <v>49</v>
      </c>
      <c r="H340" s="3" t="s">
        <v>98</v>
      </c>
      <c r="I340" s="3" t="s">
        <v>763</v>
      </c>
      <c r="J340" s="3">
        <v>2</v>
      </c>
      <c r="K340" s="5">
        <v>5407.62</v>
      </c>
      <c r="L340" s="5">
        <v>9733.7199999999993</v>
      </c>
      <c r="M340" s="6">
        <v>10</v>
      </c>
      <c r="N340" s="48">
        <v>1441.1</v>
      </c>
      <c r="O340" s="5">
        <v>177.54</v>
      </c>
      <c r="P340" s="3" t="s">
        <v>35</v>
      </c>
      <c r="Q340" s="3" t="s">
        <v>26</v>
      </c>
      <c r="R340" s="28">
        <f t="shared" si="5"/>
        <v>0.1480523376468606</v>
      </c>
    </row>
    <row r="341" spans="1:18" x14ac:dyDescent="0.3">
      <c r="A341" s="7" t="s">
        <v>766</v>
      </c>
      <c r="B341" s="8">
        <v>45580</v>
      </c>
      <c r="C341" s="7" t="s">
        <v>116</v>
      </c>
      <c r="D341" s="7" t="s">
        <v>39</v>
      </c>
      <c r="E341" s="7" t="s">
        <v>30</v>
      </c>
      <c r="F341" s="7" t="s">
        <v>48</v>
      </c>
      <c r="G341" s="7" t="s">
        <v>32</v>
      </c>
      <c r="H341" s="7" t="s">
        <v>143</v>
      </c>
      <c r="I341" s="7" t="s">
        <v>144</v>
      </c>
      <c r="J341" s="7">
        <v>3</v>
      </c>
      <c r="K341" s="9">
        <v>1864.67</v>
      </c>
      <c r="L341" s="9">
        <v>5594.01</v>
      </c>
      <c r="M341" s="10">
        <v>0</v>
      </c>
      <c r="N341" s="49">
        <v>886.2</v>
      </c>
      <c r="O341" s="9">
        <v>276.38</v>
      </c>
      <c r="P341" s="7" t="s">
        <v>25</v>
      </c>
      <c r="Q341" s="7" t="s">
        <v>65</v>
      </c>
      <c r="R341" s="28">
        <f t="shared" si="5"/>
        <v>0.15841945223551621</v>
      </c>
    </row>
    <row r="342" spans="1:18" x14ac:dyDescent="0.3">
      <c r="A342" s="3" t="s">
        <v>767</v>
      </c>
      <c r="B342" s="4">
        <v>45580</v>
      </c>
      <c r="C342" s="3" t="s">
        <v>768</v>
      </c>
      <c r="D342" s="3" t="s">
        <v>39</v>
      </c>
      <c r="E342" s="3" t="s">
        <v>40</v>
      </c>
      <c r="F342" s="3" t="s">
        <v>90</v>
      </c>
      <c r="G342" s="3" t="s">
        <v>32</v>
      </c>
      <c r="H342" s="3" t="s">
        <v>73</v>
      </c>
      <c r="I342" s="3" t="s">
        <v>74</v>
      </c>
      <c r="J342" s="3">
        <v>1</v>
      </c>
      <c r="K342" s="5">
        <v>6588.15</v>
      </c>
      <c r="L342" s="5">
        <v>5270.52</v>
      </c>
      <c r="M342" s="6">
        <v>20</v>
      </c>
      <c r="N342" s="48">
        <v>364.16</v>
      </c>
      <c r="O342" s="5">
        <v>78.540000000000006</v>
      </c>
      <c r="P342" s="3" t="s">
        <v>64</v>
      </c>
      <c r="Q342" s="3" t="s">
        <v>65</v>
      </c>
      <c r="R342" s="28">
        <f t="shared" si="5"/>
        <v>6.9093751660177741E-2</v>
      </c>
    </row>
    <row r="343" spans="1:18" x14ac:dyDescent="0.3">
      <c r="A343" s="7" t="s">
        <v>769</v>
      </c>
      <c r="B343" s="8">
        <v>45580</v>
      </c>
      <c r="C343" s="7" t="s">
        <v>770</v>
      </c>
      <c r="D343" s="7" t="s">
        <v>29</v>
      </c>
      <c r="E343" s="7" t="s">
        <v>40</v>
      </c>
      <c r="F343" s="7" t="s">
        <v>109</v>
      </c>
      <c r="G343" s="7" t="s">
        <v>134</v>
      </c>
      <c r="H343" s="7" t="s">
        <v>244</v>
      </c>
      <c r="I343" s="7" t="s">
        <v>334</v>
      </c>
      <c r="J343" s="7">
        <v>2</v>
      </c>
      <c r="K343" s="9">
        <v>2498.2399999999998</v>
      </c>
      <c r="L343" s="9">
        <v>4996.4799999999996</v>
      </c>
      <c r="M343" s="10">
        <v>0</v>
      </c>
      <c r="N343" s="49">
        <v>1058.21</v>
      </c>
      <c r="O343" s="9">
        <v>81.73</v>
      </c>
      <c r="P343" s="7" t="s">
        <v>35</v>
      </c>
      <c r="Q343" s="7" t="s">
        <v>65</v>
      </c>
      <c r="R343" s="28">
        <f t="shared" si="5"/>
        <v>0.21179110093505832</v>
      </c>
    </row>
    <row r="344" spans="1:18" x14ac:dyDescent="0.3">
      <c r="A344" s="3" t="s">
        <v>771</v>
      </c>
      <c r="B344" s="4">
        <v>45580</v>
      </c>
      <c r="C344" s="3" t="s">
        <v>707</v>
      </c>
      <c r="D344" s="3" t="s">
        <v>39</v>
      </c>
      <c r="E344" s="3" t="s">
        <v>30</v>
      </c>
      <c r="F344" s="3" t="s">
        <v>48</v>
      </c>
      <c r="G344" s="3" t="s">
        <v>32</v>
      </c>
      <c r="H344" s="3" t="s">
        <v>73</v>
      </c>
      <c r="I344" s="3" t="s">
        <v>114</v>
      </c>
      <c r="J344" s="3">
        <v>3</v>
      </c>
      <c r="K344" s="5">
        <v>7844.12</v>
      </c>
      <c r="L344" s="5">
        <v>16472.650000000001</v>
      </c>
      <c r="M344" s="6">
        <v>30</v>
      </c>
      <c r="N344" s="48">
        <v>-134.52000000000001</v>
      </c>
      <c r="O344" s="5">
        <v>274.87</v>
      </c>
      <c r="P344" s="3" t="s">
        <v>64</v>
      </c>
      <c r="Q344" s="3" t="s">
        <v>26</v>
      </c>
      <c r="R344" s="28">
        <f t="shared" si="5"/>
        <v>-8.1662634730902441E-3</v>
      </c>
    </row>
    <row r="345" spans="1:18" x14ac:dyDescent="0.3">
      <c r="A345" s="7" t="s">
        <v>772</v>
      </c>
      <c r="B345" s="8">
        <v>45580</v>
      </c>
      <c r="C345" s="7" t="s">
        <v>773</v>
      </c>
      <c r="D345" s="7" t="s">
        <v>19</v>
      </c>
      <c r="E345" s="7" t="s">
        <v>30</v>
      </c>
      <c r="F345" s="7" t="s">
        <v>31</v>
      </c>
      <c r="G345" s="7" t="s">
        <v>117</v>
      </c>
      <c r="H345" s="7" t="s">
        <v>153</v>
      </c>
      <c r="I345" s="7" t="s">
        <v>154</v>
      </c>
      <c r="J345" s="7">
        <v>1</v>
      </c>
      <c r="K345" s="9">
        <v>2322.34</v>
      </c>
      <c r="L345" s="9">
        <v>2206.2199999999998</v>
      </c>
      <c r="M345" s="10">
        <v>5</v>
      </c>
      <c r="N345" s="49">
        <v>823.46</v>
      </c>
      <c r="O345" s="9">
        <v>274.74</v>
      </c>
      <c r="P345" s="7" t="s">
        <v>64</v>
      </c>
      <c r="Q345" s="7" t="s">
        <v>57</v>
      </c>
      <c r="R345" s="28">
        <f t="shared" si="5"/>
        <v>0.37324473533917746</v>
      </c>
    </row>
    <row r="346" spans="1:18" x14ac:dyDescent="0.3">
      <c r="A346" s="3" t="s">
        <v>774</v>
      </c>
      <c r="B346" s="4">
        <v>45581</v>
      </c>
      <c r="C346" s="3" t="s">
        <v>406</v>
      </c>
      <c r="D346" s="3" t="s">
        <v>39</v>
      </c>
      <c r="E346" s="3" t="s">
        <v>60</v>
      </c>
      <c r="F346" s="3" t="s">
        <v>72</v>
      </c>
      <c r="G346" s="3" t="s">
        <v>22</v>
      </c>
      <c r="H346" s="3" t="s">
        <v>110</v>
      </c>
      <c r="I346" s="3" t="s">
        <v>111</v>
      </c>
      <c r="J346" s="3">
        <v>1</v>
      </c>
      <c r="K346" s="5">
        <v>9738.25</v>
      </c>
      <c r="L346" s="5">
        <v>8764.43</v>
      </c>
      <c r="M346" s="6">
        <v>10</v>
      </c>
      <c r="N346" s="48">
        <v>740.56</v>
      </c>
      <c r="O346" s="5">
        <v>231.46</v>
      </c>
      <c r="P346" s="3" t="s">
        <v>45</v>
      </c>
      <c r="Q346" s="3" t="s">
        <v>26</v>
      </c>
      <c r="R346" s="28">
        <f t="shared" si="5"/>
        <v>8.4496082460582142E-2</v>
      </c>
    </row>
    <row r="347" spans="1:18" x14ac:dyDescent="0.3">
      <c r="A347" s="7" t="s">
        <v>775</v>
      </c>
      <c r="B347" s="8">
        <v>45581</v>
      </c>
      <c r="C347" s="7" t="s">
        <v>776</v>
      </c>
      <c r="D347" s="7" t="s">
        <v>39</v>
      </c>
      <c r="E347" s="7" t="s">
        <v>40</v>
      </c>
      <c r="F347" s="7" t="s">
        <v>77</v>
      </c>
      <c r="G347" s="7" t="s">
        <v>22</v>
      </c>
      <c r="H347" s="7" t="s">
        <v>55</v>
      </c>
      <c r="I347" s="7" t="s">
        <v>416</v>
      </c>
      <c r="J347" s="7">
        <v>2</v>
      </c>
      <c r="K347" s="9">
        <v>57081.34</v>
      </c>
      <c r="L347" s="9">
        <v>97038.28</v>
      </c>
      <c r="M347" s="10">
        <v>15</v>
      </c>
      <c r="N347" s="49">
        <v>6857.61</v>
      </c>
      <c r="O347" s="9">
        <v>217.51</v>
      </c>
      <c r="P347" s="7" t="s">
        <v>35</v>
      </c>
      <c r="Q347" s="7" t="s">
        <v>65</v>
      </c>
      <c r="R347" s="28">
        <f t="shared" si="5"/>
        <v>7.0669121505451252E-2</v>
      </c>
    </row>
    <row r="348" spans="1:18" x14ac:dyDescent="0.3">
      <c r="A348" s="3" t="s">
        <v>777</v>
      </c>
      <c r="B348" s="4">
        <v>45582</v>
      </c>
      <c r="C348" s="3" t="s">
        <v>778</v>
      </c>
      <c r="D348" s="3" t="s">
        <v>39</v>
      </c>
      <c r="E348" s="3" t="s">
        <v>60</v>
      </c>
      <c r="F348" s="3" t="s">
        <v>72</v>
      </c>
      <c r="G348" s="3" t="s">
        <v>49</v>
      </c>
      <c r="H348" s="3" t="s">
        <v>98</v>
      </c>
      <c r="I348" s="3" t="s">
        <v>99</v>
      </c>
      <c r="J348" s="3">
        <v>2</v>
      </c>
      <c r="K348" s="5">
        <v>13517.24</v>
      </c>
      <c r="L348" s="5">
        <v>27034.48</v>
      </c>
      <c r="M348" s="6">
        <v>0</v>
      </c>
      <c r="N348" s="48">
        <v>5647.54</v>
      </c>
      <c r="O348" s="5">
        <v>222</v>
      </c>
      <c r="P348" s="3" t="s">
        <v>64</v>
      </c>
      <c r="Q348" s="3" t="s">
        <v>65</v>
      </c>
      <c r="R348" s="28">
        <f t="shared" si="5"/>
        <v>0.20890137335728301</v>
      </c>
    </row>
    <row r="349" spans="1:18" x14ac:dyDescent="0.3">
      <c r="A349" s="7" t="s">
        <v>779</v>
      </c>
      <c r="B349" s="8">
        <v>45582</v>
      </c>
      <c r="C349" s="7" t="s">
        <v>780</v>
      </c>
      <c r="D349" s="7" t="s">
        <v>29</v>
      </c>
      <c r="E349" s="7" t="s">
        <v>30</v>
      </c>
      <c r="F349" s="7" t="s">
        <v>48</v>
      </c>
      <c r="G349" s="7" t="s">
        <v>49</v>
      </c>
      <c r="H349" s="7" t="s">
        <v>91</v>
      </c>
      <c r="I349" s="7" t="s">
        <v>188</v>
      </c>
      <c r="J349" s="7">
        <v>3</v>
      </c>
      <c r="K349" s="9">
        <v>6905.41</v>
      </c>
      <c r="L349" s="9">
        <v>15537.17</v>
      </c>
      <c r="M349" s="10">
        <v>25</v>
      </c>
      <c r="N349" s="49">
        <v>-414.28</v>
      </c>
      <c r="O349" s="9">
        <v>211.77</v>
      </c>
      <c r="P349" s="7" t="s">
        <v>45</v>
      </c>
      <c r="Q349" s="7" t="s">
        <v>57</v>
      </c>
      <c r="R349" s="28">
        <f t="shared" si="5"/>
        <v>-2.6663800421827141E-2</v>
      </c>
    </row>
    <row r="350" spans="1:18" x14ac:dyDescent="0.3">
      <c r="A350" s="3" t="s">
        <v>781</v>
      </c>
      <c r="B350" s="4">
        <v>45583</v>
      </c>
      <c r="C350" s="3" t="s">
        <v>782</v>
      </c>
      <c r="D350" s="3" t="s">
        <v>39</v>
      </c>
      <c r="E350" s="3" t="s">
        <v>40</v>
      </c>
      <c r="F350" s="3" t="s">
        <v>90</v>
      </c>
      <c r="G350" s="3" t="s">
        <v>49</v>
      </c>
      <c r="H350" s="3" t="s">
        <v>98</v>
      </c>
      <c r="I350" s="3" t="s">
        <v>258</v>
      </c>
      <c r="J350" s="3">
        <v>1</v>
      </c>
      <c r="K350" s="5">
        <v>8265.09</v>
      </c>
      <c r="L350" s="5">
        <v>8265.09</v>
      </c>
      <c r="M350" s="6">
        <v>0</v>
      </c>
      <c r="N350" s="48">
        <v>2077.42</v>
      </c>
      <c r="O350" s="5">
        <v>55.37</v>
      </c>
      <c r="P350" s="3" t="s">
        <v>64</v>
      </c>
      <c r="Q350" s="3" t="s">
        <v>26</v>
      </c>
      <c r="R350" s="28">
        <f t="shared" si="5"/>
        <v>0.25134874514373107</v>
      </c>
    </row>
    <row r="351" spans="1:18" x14ac:dyDescent="0.3">
      <c r="A351" s="7" t="s">
        <v>783</v>
      </c>
      <c r="B351" s="8">
        <v>45583</v>
      </c>
      <c r="C351" s="7" t="s">
        <v>370</v>
      </c>
      <c r="D351" s="7" t="s">
        <v>19</v>
      </c>
      <c r="E351" s="7" t="s">
        <v>60</v>
      </c>
      <c r="F351" s="7" t="s">
        <v>61</v>
      </c>
      <c r="G351" s="7" t="s">
        <v>49</v>
      </c>
      <c r="H351" s="7" t="s">
        <v>50</v>
      </c>
      <c r="I351" s="7" t="s">
        <v>193</v>
      </c>
      <c r="J351" s="7">
        <v>1</v>
      </c>
      <c r="K351" s="9">
        <v>10842.02</v>
      </c>
      <c r="L351" s="9">
        <v>7589.41</v>
      </c>
      <c r="M351" s="10">
        <v>30</v>
      </c>
      <c r="N351" s="49">
        <v>600.30999999999995</v>
      </c>
      <c r="O351" s="9">
        <v>336.9</v>
      </c>
      <c r="P351" s="7" t="s">
        <v>45</v>
      </c>
      <c r="Q351" s="7" t="s">
        <v>57</v>
      </c>
      <c r="R351" s="28">
        <f t="shared" si="5"/>
        <v>7.9098375236019661E-2</v>
      </c>
    </row>
    <row r="352" spans="1:18" x14ac:dyDescent="0.3">
      <c r="A352" s="3" t="s">
        <v>784</v>
      </c>
      <c r="B352" s="4">
        <v>45584</v>
      </c>
      <c r="C352" s="3" t="s">
        <v>776</v>
      </c>
      <c r="D352" s="3" t="s">
        <v>19</v>
      </c>
      <c r="E352" s="3" t="s">
        <v>30</v>
      </c>
      <c r="F352" s="3" t="s">
        <v>48</v>
      </c>
      <c r="G352" s="3" t="s">
        <v>117</v>
      </c>
      <c r="H352" s="3" t="s">
        <v>118</v>
      </c>
      <c r="I352" s="3" t="s">
        <v>438</v>
      </c>
      <c r="J352" s="3">
        <v>2</v>
      </c>
      <c r="K352" s="5">
        <v>2235.17</v>
      </c>
      <c r="L352" s="5">
        <v>4023.31</v>
      </c>
      <c r="M352" s="6">
        <v>10</v>
      </c>
      <c r="N352" s="48">
        <v>706.24</v>
      </c>
      <c r="O352" s="5">
        <v>135.12</v>
      </c>
      <c r="P352" s="3" t="s">
        <v>83</v>
      </c>
      <c r="Q352" s="3" t="s">
        <v>26</v>
      </c>
      <c r="R352" s="28">
        <f t="shared" si="5"/>
        <v>0.17553705779569559</v>
      </c>
    </row>
    <row r="353" spans="1:18" x14ac:dyDescent="0.3">
      <c r="A353" s="7" t="s">
        <v>785</v>
      </c>
      <c r="B353" s="8">
        <v>45585</v>
      </c>
      <c r="C353" s="7" t="s">
        <v>786</v>
      </c>
      <c r="D353" s="7" t="s">
        <v>19</v>
      </c>
      <c r="E353" s="7" t="s">
        <v>60</v>
      </c>
      <c r="F353" s="7" t="s">
        <v>68</v>
      </c>
      <c r="G353" s="7" t="s">
        <v>22</v>
      </c>
      <c r="H353" s="7" t="s">
        <v>23</v>
      </c>
      <c r="I353" s="7" t="s">
        <v>238</v>
      </c>
      <c r="J353" s="7">
        <v>2</v>
      </c>
      <c r="K353" s="9">
        <v>44721.37</v>
      </c>
      <c r="L353" s="9">
        <v>89442.74</v>
      </c>
      <c r="M353" s="10">
        <v>0</v>
      </c>
      <c r="N353" s="49">
        <v>12413.61</v>
      </c>
      <c r="O353" s="9">
        <v>231.75</v>
      </c>
      <c r="P353" s="7" t="s">
        <v>64</v>
      </c>
      <c r="Q353" s="7" t="s">
        <v>65</v>
      </c>
      <c r="R353" s="28">
        <f t="shared" si="5"/>
        <v>0.13878834660029421</v>
      </c>
    </row>
    <row r="354" spans="1:18" x14ac:dyDescent="0.3">
      <c r="A354" s="3" t="s">
        <v>787</v>
      </c>
      <c r="B354" s="4">
        <v>45585</v>
      </c>
      <c r="C354" s="3" t="s">
        <v>788</v>
      </c>
      <c r="D354" s="3" t="s">
        <v>29</v>
      </c>
      <c r="E354" s="3" t="s">
        <v>30</v>
      </c>
      <c r="F354" s="3" t="s">
        <v>226</v>
      </c>
      <c r="G354" s="3" t="s">
        <v>134</v>
      </c>
      <c r="H354" s="3" t="s">
        <v>91</v>
      </c>
      <c r="I354" s="3" t="s">
        <v>206</v>
      </c>
      <c r="J354" s="3">
        <v>1</v>
      </c>
      <c r="K354" s="5">
        <v>3851.54</v>
      </c>
      <c r="L354" s="5">
        <v>3273.81</v>
      </c>
      <c r="M354" s="6">
        <v>15</v>
      </c>
      <c r="N354" s="48">
        <v>182.51</v>
      </c>
      <c r="O354" s="5">
        <v>251.6</v>
      </c>
      <c r="P354" s="3" t="s">
        <v>25</v>
      </c>
      <c r="Q354" s="3" t="s">
        <v>65</v>
      </c>
      <c r="R354" s="28">
        <f t="shared" si="5"/>
        <v>5.5748500982036216E-2</v>
      </c>
    </row>
    <row r="355" spans="1:18" x14ac:dyDescent="0.3">
      <c r="A355" s="7" t="s">
        <v>789</v>
      </c>
      <c r="B355" s="8">
        <v>45585</v>
      </c>
      <c r="C355" s="7" t="s">
        <v>790</v>
      </c>
      <c r="D355" s="7" t="s">
        <v>39</v>
      </c>
      <c r="E355" s="7" t="s">
        <v>60</v>
      </c>
      <c r="F355" s="7" t="s">
        <v>104</v>
      </c>
      <c r="G355" s="7" t="s">
        <v>134</v>
      </c>
      <c r="H355" s="7" t="s">
        <v>139</v>
      </c>
      <c r="I355" s="7" t="s">
        <v>147</v>
      </c>
      <c r="J355" s="7">
        <v>2</v>
      </c>
      <c r="K355" s="9">
        <v>3686.9</v>
      </c>
      <c r="L355" s="9">
        <v>7373.8</v>
      </c>
      <c r="M355" s="10">
        <v>0</v>
      </c>
      <c r="N355" s="49">
        <v>1383.6</v>
      </c>
      <c r="O355" s="9">
        <v>296.61</v>
      </c>
      <c r="P355" s="7" t="s">
        <v>25</v>
      </c>
      <c r="Q355" s="7" t="s">
        <v>26</v>
      </c>
      <c r="R355" s="28">
        <f t="shared" si="5"/>
        <v>0.18763731047763701</v>
      </c>
    </row>
    <row r="356" spans="1:18" x14ac:dyDescent="0.3">
      <c r="A356" s="3" t="s">
        <v>791</v>
      </c>
      <c r="B356" s="4">
        <v>45585</v>
      </c>
      <c r="C356" s="3" t="s">
        <v>792</v>
      </c>
      <c r="D356" s="3" t="s">
        <v>39</v>
      </c>
      <c r="E356" s="3" t="s">
        <v>40</v>
      </c>
      <c r="F356" s="3" t="s">
        <v>41</v>
      </c>
      <c r="G356" s="3" t="s">
        <v>117</v>
      </c>
      <c r="H356" s="3" t="s">
        <v>125</v>
      </c>
      <c r="I356" s="3" t="s">
        <v>217</v>
      </c>
      <c r="J356" s="3">
        <v>1</v>
      </c>
      <c r="K356" s="5">
        <v>1045.9000000000001</v>
      </c>
      <c r="L356" s="5">
        <v>993.61</v>
      </c>
      <c r="M356" s="6">
        <v>5</v>
      </c>
      <c r="N356" s="48">
        <v>190.34</v>
      </c>
      <c r="O356" s="5">
        <v>232.34</v>
      </c>
      <c r="P356" s="3" t="s">
        <v>25</v>
      </c>
      <c r="Q356" s="3" t="s">
        <v>65</v>
      </c>
      <c r="R356" s="28">
        <f t="shared" si="5"/>
        <v>0.19156409456426565</v>
      </c>
    </row>
    <row r="357" spans="1:18" x14ac:dyDescent="0.3">
      <c r="A357" s="7" t="s">
        <v>793</v>
      </c>
      <c r="B357" s="8">
        <v>45585</v>
      </c>
      <c r="C357" s="7" t="s">
        <v>269</v>
      </c>
      <c r="D357" s="7" t="s">
        <v>39</v>
      </c>
      <c r="E357" s="7" t="s">
        <v>30</v>
      </c>
      <c r="F357" s="7" t="s">
        <v>226</v>
      </c>
      <c r="G357" s="7" t="s">
        <v>22</v>
      </c>
      <c r="H357" s="7" t="s">
        <v>105</v>
      </c>
      <c r="I357" s="7" t="s">
        <v>157</v>
      </c>
      <c r="J357" s="7">
        <v>1</v>
      </c>
      <c r="K357" s="9">
        <v>26894.78</v>
      </c>
      <c r="L357" s="9">
        <v>21515.82</v>
      </c>
      <c r="M357" s="10">
        <v>20</v>
      </c>
      <c r="N357" s="49">
        <v>-824.32</v>
      </c>
      <c r="O357" s="9">
        <v>196.28</v>
      </c>
      <c r="P357" s="7" t="s">
        <v>35</v>
      </c>
      <c r="Q357" s="7" t="s">
        <v>65</v>
      </c>
      <c r="R357" s="28">
        <f t="shared" si="5"/>
        <v>-3.831227441017819E-2</v>
      </c>
    </row>
    <row r="358" spans="1:18" x14ac:dyDescent="0.3">
      <c r="A358" s="3" t="s">
        <v>794</v>
      </c>
      <c r="B358" s="4">
        <v>45585</v>
      </c>
      <c r="C358" s="3" t="s">
        <v>413</v>
      </c>
      <c r="D358" s="3" t="s">
        <v>29</v>
      </c>
      <c r="E358" s="3" t="s">
        <v>20</v>
      </c>
      <c r="F358" s="3" t="s">
        <v>21</v>
      </c>
      <c r="G358" s="3" t="s">
        <v>32</v>
      </c>
      <c r="H358" s="3" t="s">
        <v>73</v>
      </c>
      <c r="I358" s="3" t="s">
        <v>214</v>
      </c>
      <c r="J358" s="3">
        <v>2</v>
      </c>
      <c r="K358" s="5">
        <v>3831.56</v>
      </c>
      <c r="L358" s="5">
        <v>6896.81</v>
      </c>
      <c r="M358" s="6">
        <v>10</v>
      </c>
      <c r="N358" s="48">
        <v>1052.68</v>
      </c>
      <c r="O358" s="5">
        <v>247.79</v>
      </c>
      <c r="P358" s="3" t="s">
        <v>25</v>
      </c>
      <c r="Q358" s="3" t="s">
        <v>65</v>
      </c>
      <c r="R358" s="28">
        <f t="shared" si="5"/>
        <v>0.152632883898498</v>
      </c>
    </row>
    <row r="359" spans="1:18" x14ac:dyDescent="0.3">
      <c r="A359" s="7" t="s">
        <v>795</v>
      </c>
      <c r="B359" s="8">
        <v>45586</v>
      </c>
      <c r="C359" s="7" t="s">
        <v>796</v>
      </c>
      <c r="D359" s="7" t="s">
        <v>39</v>
      </c>
      <c r="E359" s="7" t="s">
        <v>60</v>
      </c>
      <c r="F359" s="7" t="s">
        <v>68</v>
      </c>
      <c r="G359" s="7" t="s">
        <v>22</v>
      </c>
      <c r="H359" s="7" t="s">
        <v>23</v>
      </c>
      <c r="I359" s="7" t="s">
        <v>24</v>
      </c>
      <c r="J359" s="7">
        <v>1</v>
      </c>
      <c r="K359" s="9">
        <v>18861.61</v>
      </c>
      <c r="L359" s="9">
        <v>17918.53</v>
      </c>
      <c r="M359" s="10">
        <v>5</v>
      </c>
      <c r="N359" s="49">
        <v>1219.8</v>
      </c>
      <c r="O359" s="9">
        <v>219.55</v>
      </c>
      <c r="P359" s="7" t="s">
        <v>35</v>
      </c>
      <c r="Q359" s="7" t="s">
        <v>57</v>
      </c>
      <c r="R359" s="28">
        <f t="shared" si="5"/>
        <v>6.8074780687924732E-2</v>
      </c>
    </row>
    <row r="360" spans="1:18" x14ac:dyDescent="0.3">
      <c r="A360" s="3" t="s">
        <v>797</v>
      </c>
      <c r="B360" s="4">
        <v>45586</v>
      </c>
      <c r="C360" s="3" t="s">
        <v>798</v>
      </c>
      <c r="D360" s="3" t="s">
        <v>39</v>
      </c>
      <c r="E360" s="3" t="s">
        <v>40</v>
      </c>
      <c r="F360" s="3" t="s">
        <v>77</v>
      </c>
      <c r="G360" s="3" t="s">
        <v>22</v>
      </c>
      <c r="H360" s="3" t="s">
        <v>23</v>
      </c>
      <c r="I360" s="3" t="s">
        <v>78</v>
      </c>
      <c r="J360" s="3">
        <v>2</v>
      </c>
      <c r="K360" s="5">
        <v>32874.22</v>
      </c>
      <c r="L360" s="5">
        <v>65748.44</v>
      </c>
      <c r="M360" s="6">
        <v>0</v>
      </c>
      <c r="N360" s="48">
        <v>11269.39</v>
      </c>
      <c r="O360" s="5">
        <v>184.79</v>
      </c>
      <c r="P360" s="3" t="s">
        <v>83</v>
      </c>
      <c r="Q360" s="3" t="s">
        <v>26</v>
      </c>
      <c r="R360" s="28">
        <f t="shared" si="5"/>
        <v>0.17140163325548102</v>
      </c>
    </row>
    <row r="361" spans="1:18" x14ac:dyDescent="0.3">
      <c r="A361" s="7" t="s">
        <v>799</v>
      </c>
      <c r="B361" s="8">
        <v>45586</v>
      </c>
      <c r="C361" s="7" t="s">
        <v>229</v>
      </c>
      <c r="D361" s="7" t="s">
        <v>39</v>
      </c>
      <c r="E361" s="7" t="s">
        <v>30</v>
      </c>
      <c r="F361" s="7" t="s">
        <v>31</v>
      </c>
      <c r="G361" s="7" t="s">
        <v>49</v>
      </c>
      <c r="H361" s="7" t="s">
        <v>62</v>
      </c>
      <c r="I361" s="7" t="s">
        <v>341</v>
      </c>
      <c r="J361" s="7">
        <v>1</v>
      </c>
      <c r="K361" s="9">
        <v>4288.7</v>
      </c>
      <c r="L361" s="9">
        <v>4288.7</v>
      </c>
      <c r="M361" s="10">
        <v>0</v>
      </c>
      <c r="N361" s="49">
        <v>784.92</v>
      </c>
      <c r="O361" s="9">
        <v>147.9</v>
      </c>
      <c r="P361" s="7" t="s">
        <v>35</v>
      </c>
      <c r="Q361" s="7" t="s">
        <v>65</v>
      </c>
      <c r="R361" s="28">
        <f t="shared" si="5"/>
        <v>0.18302049572131415</v>
      </c>
    </row>
    <row r="362" spans="1:18" x14ac:dyDescent="0.3">
      <c r="A362" s="3" t="s">
        <v>800</v>
      </c>
      <c r="B362" s="4">
        <v>45586</v>
      </c>
      <c r="C362" s="3" t="s">
        <v>801</v>
      </c>
      <c r="D362" s="3" t="s">
        <v>19</v>
      </c>
      <c r="E362" s="3" t="s">
        <v>60</v>
      </c>
      <c r="F362" s="3" t="s">
        <v>104</v>
      </c>
      <c r="G362" s="3" t="s">
        <v>22</v>
      </c>
      <c r="H362" s="3" t="s">
        <v>105</v>
      </c>
      <c r="I362" s="3" t="s">
        <v>251</v>
      </c>
      <c r="J362" s="3">
        <v>2</v>
      </c>
      <c r="K362" s="5">
        <v>12180.66</v>
      </c>
      <c r="L362" s="5">
        <v>20707.12</v>
      </c>
      <c r="M362" s="6">
        <v>15</v>
      </c>
      <c r="N362" s="48">
        <v>713.63</v>
      </c>
      <c r="O362" s="5">
        <v>341.17</v>
      </c>
      <c r="P362" s="3" t="s">
        <v>35</v>
      </c>
      <c r="Q362" s="3" t="s">
        <v>57</v>
      </c>
      <c r="R362" s="28">
        <f t="shared" si="5"/>
        <v>3.4463025278261776E-2</v>
      </c>
    </row>
    <row r="363" spans="1:18" x14ac:dyDescent="0.3">
      <c r="A363" s="7" t="s">
        <v>802</v>
      </c>
      <c r="B363" s="8">
        <v>45587</v>
      </c>
      <c r="C363" s="7" t="s">
        <v>393</v>
      </c>
      <c r="D363" s="7" t="s">
        <v>39</v>
      </c>
      <c r="E363" s="7" t="s">
        <v>30</v>
      </c>
      <c r="F363" s="7" t="s">
        <v>31</v>
      </c>
      <c r="G363" s="7" t="s">
        <v>117</v>
      </c>
      <c r="H363" s="7" t="s">
        <v>118</v>
      </c>
      <c r="I363" s="7" t="s">
        <v>279</v>
      </c>
      <c r="J363" s="7">
        <v>2</v>
      </c>
      <c r="K363" s="9">
        <v>1239.48</v>
      </c>
      <c r="L363" s="9">
        <v>1859.22</v>
      </c>
      <c r="M363" s="10">
        <v>25</v>
      </c>
      <c r="N363" s="49">
        <v>293.06</v>
      </c>
      <c r="O363" s="9">
        <v>244.71</v>
      </c>
      <c r="P363" s="7" t="s">
        <v>83</v>
      </c>
      <c r="Q363" s="7" t="s">
        <v>26</v>
      </c>
      <c r="R363" s="28">
        <f t="shared" si="5"/>
        <v>0.15762524069233333</v>
      </c>
    </row>
    <row r="364" spans="1:18" x14ac:dyDescent="0.3">
      <c r="A364" s="3" t="s">
        <v>803</v>
      </c>
      <c r="B364" s="4">
        <v>45587</v>
      </c>
      <c r="C364" s="3" t="s">
        <v>804</v>
      </c>
      <c r="D364" s="3" t="s">
        <v>19</v>
      </c>
      <c r="E364" s="3" t="s">
        <v>20</v>
      </c>
      <c r="F364" s="3" t="s">
        <v>21</v>
      </c>
      <c r="G364" s="3" t="s">
        <v>22</v>
      </c>
      <c r="H364" s="3" t="s">
        <v>110</v>
      </c>
      <c r="I364" s="3" t="s">
        <v>542</v>
      </c>
      <c r="J364" s="3">
        <v>2</v>
      </c>
      <c r="K364" s="5">
        <v>1755.45</v>
      </c>
      <c r="L364" s="5">
        <v>2808.72</v>
      </c>
      <c r="M364" s="6">
        <v>20</v>
      </c>
      <c r="N364" s="48">
        <v>-113.95</v>
      </c>
      <c r="O364" s="5">
        <v>246.79</v>
      </c>
      <c r="P364" s="3" t="s">
        <v>35</v>
      </c>
      <c r="Q364" s="3" t="s">
        <v>65</v>
      </c>
      <c r="R364" s="28">
        <f t="shared" si="5"/>
        <v>-4.0570081745421406E-2</v>
      </c>
    </row>
    <row r="365" spans="1:18" x14ac:dyDescent="0.3">
      <c r="A365" s="7" t="s">
        <v>805</v>
      </c>
      <c r="B365" s="8">
        <v>45587</v>
      </c>
      <c r="C365" s="7" t="s">
        <v>163</v>
      </c>
      <c r="D365" s="7" t="s">
        <v>39</v>
      </c>
      <c r="E365" s="7" t="s">
        <v>40</v>
      </c>
      <c r="F365" s="7" t="s">
        <v>77</v>
      </c>
      <c r="G365" s="7" t="s">
        <v>42</v>
      </c>
      <c r="H365" s="7" t="s">
        <v>172</v>
      </c>
      <c r="I365" s="7" t="s">
        <v>223</v>
      </c>
      <c r="J365" s="7">
        <v>3</v>
      </c>
      <c r="K365" s="9">
        <v>247.94</v>
      </c>
      <c r="L365" s="9">
        <v>706.63</v>
      </c>
      <c r="M365" s="10">
        <v>5</v>
      </c>
      <c r="N365" s="49">
        <v>114.13</v>
      </c>
      <c r="O365" s="9">
        <v>368.42</v>
      </c>
      <c r="P365" s="7" t="s">
        <v>35</v>
      </c>
      <c r="Q365" s="7" t="s">
        <v>57</v>
      </c>
      <c r="R365" s="28">
        <f t="shared" si="5"/>
        <v>0.16151309737769412</v>
      </c>
    </row>
    <row r="366" spans="1:18" x14ac:dyDescent="0.3">
      <c r="A366" s="3" t="s">
        <v>806</v>
      </c>
      <c r="B366" s="4">
        <v>45587</v>
      </c>
      <c r="C366" s="3" t="s">
        <v>807</v>
      </c>
      <c r="D366" s="3" t="s">
        <v>19</v>
      </c>
      <c r="E366" s="3" t="s">
        <v>60</v>
      </c>
      <c r="F366" s="3" t="s">
        <v>68</v>
      </c>
      <c r="G366" s="3" t="s">
        <v>32</v>
      </c>
      <c r="H366" s="3" t="s">
        <v>73</v>
      </c>
      <c r="I366" s="3" t="s">
        <v>114</v>
      </c>
      <c r="J366" s="3">
        <v>4</v>
      </c>
      <c r="K366" s="5">
        <v>10196.59</v>
      </c>
      <c r="L366" s="5">
        <v>36707.72</v>
      </c>
      <c r="M366" s="6">
        <v>10</v>
      </c>
      <c r="N366" s="48">
        <v>1034.0899999999999</v>
      </c>
      <c r="O366" s="5">
        <v>314.14</v>
      </c>
      <c r="P366" s="3" t="s">
        <v>35</v>
      </c>
      <c r="Q366" s="3" t="s">
        <v>65</v>
      </c>
      <c r="R366" s="28">
        <f t="shared" si="5"/>
        <v>2.8170913366452614E-2</v>
      </c>
    </row>
    <row r="367" spans="1:18" x14ac:dyDescent="0.3">
      <c r="A367" s="7" t="s">
        <v>808</v>
      </c>
      <c r="B367" s="8">
        <v>45591</v>
      </c>
      <c r="C367" s="7" t="s">
        <v>809</v>
      </c>
      <c r="D367" s="7" t="s">
        <v>19</v>
      </c>
      <c r="E367" s="7" t="s">
        <v>40</v>
      </c>
      <c r="F367" s="7" t="s">
        <v>41</v>
      </c>
      <c r="G367" s="7" t="s">
        <v>32</v>
      </c>
      <c r="H367" s="7" t="s">
        <v>33</v>
      </c>
      <c r="I367" s="7" t="s">
        <v>470</v>
      </c>
      <c r="J367" s="7">
        <v>2</v>
      </c>
      <c r="K367" s="9">
        <v>1342.26</v>
      </c>
      <c r="L367" s="9">
        <v>2550.29</v>
      </c>
      <c r="M367" s="10">
        <v>5</v>
      </c>
      <c r="N367" s="49">
        <v>459.72</v>
      </c>
      <c r="O367" s="9">
        <v>229.9</v>
      </c>
      <c r="P367" s="7" t="s">
        <v>64</v>
      </c>
      <c r="Q367" s="7" t="s">
        <v>57</v>
      </c>
      <c r="R367" s="28">
        <f t="shared" si="5"/>
        <v>0.18026185257362889</v>
      </c>
    </row>
    <row r="368" spans="1:18" x14ac:dyDescent="0.3">
      <c r="A368" s="3" t="s">
        <v>810</v>
      </c>
      <c r="B368" s="4">
        <v>45592</v>
      </c>
      <c r="C368" s="3" t="s">
        <v>811</v>
      </c>
      <c r="D368" s="3" t="s">
        <v>39</v>
      </c>
      <c r="E368" s="3" t="s">
        <v>30</v>
      </c>
      <c r="F368" s="3" t="s">
        <v>226</v>
      </c>
      <c r="G368" s="3" t="s">
        <v>42</v>
      </c>
      <c r="H368" s="3" t="s">
        <v>172</v>
      </c>
      <c r="I368" s="3" t="s">
        <v>223</v>
      </c>
      <c r="J368" s="3">
        <v>1</v>
      </c>
      <c r="K368" s="5">
        <v>879.17</v>
      </c>
      <c r="L368" s="5">
        <v>879.17</v>
      </c>
      <c r="M368" s="6">
        <v>0</v>
      </c>
      <c r="N368" s="48">
        <v>82.62</v>
      </c>
      <c r="O368" s="5">
        <v>139.06</v>
      </c>
      <c r="P368" s="3" t="s">
        <v>83</v>
      </c>
      <c r="Q368" s="3" t="s">
        <v>26</v>
      </c>
      <c r="R368" s="28">
        <f t="shared" si="5"/>
        <v>9.3974999146922672E-2</v>
      </c>
    </row>
    <row r="369" spans="1:18" x14ac:dyDescent="0.3">
      <c r="A369" s="7" t="s">
        <v>812</v>
      </c>
      <c r="B369" s="8">
        <v>45592</v>
      </c>
      <c r="C369" s="7" t="s">
        <v>408</v>
      </c>
      <c r="D369" s="7" t="s">
        <v>29</v>
      </c>
      <c r="E369" s="7" t="s">
        <v>60</v>
      </c>
      <c r="F369" s="7" t="s">
        <v>72</v>
      </c>
      <c r="G369" s="7" t="s">
        <v>117</v>
      </c>
      <c r="H369" s="7" t="s">
        <v>125</v>
      </c>
      <c r="I369" s="7" t="s">
        <v>126</v>
      </c>
      <c r="J369" s="7">
        <v>3</v>
      </c>
      <c r="K369" s="9">
        <v>1852.39</v>
      </c>
      <c r="L369" s="9">
        <v>4167.88</v>
      </c>
      <c r="M369" s="10">
        <v>25</v>
      </c>
      <c r="N369" s="49">
        <v>710.77</v>
      </c>
      <c r="O369" s="9">
        <v>72.98</v>
      </c>
      <c r="P369" s="7" t="s">
        <v>25</v>
      </c>
      <c r="Q369" s="7" t="s">
        <v>57</v>
      </c>
      <c r="R369" s="28">
        <f t="shared" si="5"/>
        <v>0.1705351401671833</v>
      </c>
    </row>
    <row r="370" spans="1:18" x14ac:dyDescent="0.3">
      <c r="A370" s="3" t="s">
        <v>813</v>
      </c>
      <c r="B370" s="4">
        <v>45592</v>
      </c>
      <c r="C370" s="3" t="s">
        <v>814</v>
      </c>
      <c r="D370" s="3" t="s">
        <v>39</v>
      </c>
      <c r="E370" s="3" t="s">
        <v>40</v>
      </c>
      <c r="F370" s="3" t="s">
        <v>41</v>
      </c>
      <c r="G370" s="3" t="s">
        <v>117</v>
      </c>
      <c r="H370" s="3" t="s">
        <v>125</v>
      </c>
      <c r="I370" s="3" t="s">
        <v>217</v>
      </c>
      <c r="J370" s="3">
        <v>4</v>
      </c>
      <c r="K370" s="5">
        <v>1932.77</v>
      </c>
      <c r="L370" s="5">
        <v>7344.53</v>
      </c>
      <c r="M370" s="6">
        <v>5</v>
      </c>
      <c r="N370" s="48">
        <v>1660.83</v>
      </c>
      <c r="O370" s="5">
        <v>195.4</v>
      </c>
      <c r="P370" s="3" t="s">
        <v>64</v>
      </c>
      <c r="Q370" s="3" t="s">
        <v>65</v>
      </c>
      <c r="R370" s="28">
        <f t="shared" si="5"/>
        <v>0.22613155641000854</v>
      </c>
    </row>
    <row r="371" spans="1:18" x14ac:dyDescent="0.3">
      <c r="A371" s="7" t="s">
        <v>815</v>
      </c>
      <c r="B371" s="8">
        <v>45593</v>
      </c>
      <c r="C371" s="7" t="s">
        <v>338</v>
      </c>
      <c r="D371" s="7" t="s">
        <v>19</v>
      </c>
      <c r="E371" s="7" t="s">
        <v>30</v>
      </c>
      <c r="F371" s="7" t="s">
        <v>48</v>
      </c>
      <c r="G371" s="7" t="s">
        <v>32</v>
      </c>
      <c r="H371" s="7" t="s">
        <v>86</v>
      </c>
      <c r="I371" s="7" t="s">
        <v>87</v>
      </c>
      <c r="J371" s="7">
        <v>2</v>
      </c>
      <c r="K371" s="9">
        <v>7533.42</v>
      </c>
      <c r="L371" s="9">
        <v>14313.5</v>
      </c>
      <c r="M371" s="10">
        <v>5</v>
      </c>
      <c r="N371" s="49">
        <v>1954.63</v>
      </c>
      <c r="O371" s="9">
        <v>277.35000000000002</v>
      </c>
      <c r="P371" s="7" t="s">
        <v>64</v>
      </c>
      <c r="Q371" s="7" t="s">
        <v>57</v>
      </c>
      <c r="R371" s="28">
        <f t="shared" si="5"/>
        <v>0.13655849372969575</v>
      </c>
    </row>
    <row r="372" spans="1:18" x14ac:dyDescent="0.3">
      <c r="A372" s="3" t="s">
        <v>816</v>
      </c>
      <c r="B372" s="4">
        <v>45593</v>
      </c>
      <c r="C372" s="3" t="s">
        <v>817</v>
      </c>
      <c r="D372" s="3" t="s">
        <v>39</v>
      </c>
      <c r="E372" s="3" t="s">
        <v>20</v>
      </c>
      <c r="F372" s="3" t="s">
        <v>54</v>
      </c>
      <c r="G372" s="3" t="s">
        <v>22</v>
      </c>
      <c r="H372" s="3" t="s">
        <v>105</v>
      </c>
      <c r="I372" s="3" t="s">
        <v>251</v>
      </c>
      <c r="J372" s="3">
        <v>2</v>
      </c>
      <c r="K372" s="5">
        <v>47677.71</v>
      </c>
      <c r="L372" s="5">
        <v>85819.88</v>
      </c>
      <c r="M372" s="6">
        <v>10</v>
      </c>
      <c r="N372" s="48">
        <v>6277.21</v>
      </c>
      <c r="O372" s="5">
        <v>101.78</v>
      </c>
      <c r="P372" s="3" t="s">
        <v>35</v>
      </c>
      <c r="Q372" s="3" t="s">
        <v>36</v>
      </c>
      <c r="R372" s="28">
        <f t="shared" si="5"/>
        <v>7.314400812492397E-2</v>
      </c>
    </row>
    <row r="373" spans="1:18" x14ac:dyDescent="0.3">
      <c r="A373" s="7" t="s">
        <v>818</v>
      </c>
      <c r="B373" s="8">
        <v>45593</v>
      </c>
      <c r="C373" s="7" t="s">
        <v>819</v>
      </c>
      <c r="D373" s="7" t="s">
        <v>29</v>
      </c>
      <c r="E373" s="7" t="s">
        <v>60</v>
      </c>
      <c r="F373" s="7" t="s">
        <v>61</v>
      </c>
      <c r="G373" s="7" t="s">
        <v>117</v>
      </c>
      <c r="H373" s="7" t="s">
        <v>118</v>
      </c>
      <c r="I373" s="7" t="s">
        <v>279</v>
      </c>
      <c r="J373" s="7">
        <v>1</v>
      </c>
      <c r="K373" s="9">
        <v>718.75</v>
      </c>
      <c r="L373" s="9">
        <v>718.75</v>
      </c>
      <c r="M373" s="10">
        <v>0</v>
      </c>
      <c r="N373" s="49">
        <v>195.95</v>
      </c>
      <c r="O373" s="9">
        <v>150.61000000000001</v>
      </c>
      <c r="P373" s="7" t="s">
        <v>35</v>
      </c>
      <c r="Q373" s="7" t="s">
        <v>26</v>
      </c>
      <c r="R373" s="28">
        <f t="shared" si="5"/>
        <v>0.27262608695652174</v>
      </c>
    </row>
    <row r="374" spans="1:18" x14ac:dyDescent="0.3">
      <c r="A374" s="3" t="s">
        <v>820</v>
      </c>
      <c r="B374" s="4">
        <v>45594</v>
      </c>
      <c r="C374" s="3" t="s">
        <v>790</v>
      </c>
      <c r="D374" s="3" t="s">
        <v>29</v>
      </c>
      <c r="E374" s="3" t="s">
        <v>60</v>
      </c>
      <c r="F374" s="3" t="s">
        <v>72</v>
      </c>
      <c r="G374" s="3" t="s">
        <v>22</v>
      </c>
      <c r="H374" s="3" t="s">
        <v>624</v>
      </c>
      <c r="I374" s="3" t="s">
        <v>640</v>
      </c>
      <c r="J374" s="3">
        <v>1</v>
      </c>
      <c r="K374" s="5">
        <v>2807.7</v>
      </c>
      <c r="L374" s="5">
        <v>2246.16</v>
      </c>
      <c r="M374" s="6">
        <v>20</v>
      </c>
      <c r="N374" s="48">
        <v>-125.14</v>
      </c>
      <c r="O374" s="5">
        <v>143.55000000000001</v>
      </c>
      <c r="P374" s="3" t="s">
        <v>35</v>
      </c>
      <c r="Q374" s="3" t="s">
        <v>26</v>
      </c>
      <c r="R374" s="28">
        <f t="shared" si="5"/>
        <v>-5.571286106065463E-2</v>
      </c>
    </row>
    <row r="375" spans="1:18" x14ac:dyDescent="0.3">
      <c r="A375" s="7" t="s">
        <v>821</v>
      </c>
      <c r="B375" s="8">
        <v>45594</v>
      </c>
      <c r="C375" s="7" t="s">
        <v>822</v>
      </c>
      <c r="D375" s="7" t="s">
        <v>19</v>
      </c>
      <c r="E375" s="7" t="s">
        <v>40</v>
      </c>
      <c r="F375" s="7" t="s">
        <v>109</v>
      </c>
      <c r="G375" s="7" t="s">
        <v>117</v>
      </c>
      <c r="H375" s="7" t="s">
        <v>125</v>
      </c>
      <c r="I375" s="7" t="s">
        <v>454</v>
      </c>
      <c r="J375" s="7">
        <v>4</v>
      </c>
      <c r="K375" s="9">
        <v>337.87</v>
      </c>
      <c r="L375" s="9">
        <v>1148.76</v>
      </c>
      <c r="M375" s="10">
        <v>15</v>
      </c>
      <c r="N375" s="49">
        <v>215.08</v>
      </c>
      <c r="O375" s="9">
        <v>116.91</v>
      </c>
      <c r="P375" s="7" t="s">
        <v>64</v>
      </c>
      <c r="Q375" s="7" t="s">
        <v>57</v>
      </c>
      <c r="R375" s="28">
        <f t="shared" si="5"/>
        <v>0.18722796754761659</v>
      </c>
    </row>
    <row r="376" spans="1:18" x14ac:dyDescent="0.3">
      <c r="A376" s="3" t="s">
        <v>823</v>
      </c>
      <c r="B376" s="4">
        <v>45594</v>
      </c>
      <c r="C376" s="3" t="s">
        <v>824</v>
      </c>
      <c r="D376" s="3" t="s">
        <v>39</v>
      </c>
      <c r="E376" s="3" t="s">
        <v>30</v>
      </c>
      <c r="F376" s="3" t="s">
        <v>226</v>
      </c>
      <c r="G376" s="3" t="s">
        <v>32</v>
      </c>
      <c r="H376" s="3" t="s">
        <v>143</v>
      </c>
      <c r="I376" s="3" t="s">
        <v>516</v>
      </c>
      <c r="J376" s="3">
        <v>1</v>
      </c>
      <c r="K376" s="5">
        <v>3122.22</v>
      </c>
      <c r="L376" s="5">
        <v>2966.11</v>
      </c>
      <c r="M376" s="6">
        <v>5</v>
      </c>
      <c r="N376" s="48">
        <v>672.95</v>
      </c>
      <c r="O376" s="5">
        <v>312.79000000000002</v>
      </c>
      <c r="P376" s="3" t="s">
        <v>35</v>
      </c>
      <c r="Q376" s="3" t="s">
        <v>26</v>
      </c>
      <c r="R376" s="28">
        <f t="shared" si="5"/>
        <v>0.22687965045126446</v>
      </c>
    </row>
    <row r="377" spans="1:18" x14ac:dyDescent="0.3">
      <c r="A377" s="7" t="s">
        <v>825</v>
      </c>
      <c r="B377" s="8">
        <v>45594</v>
      </c>
      <c r="C377" s="7" t="s">
        <v>826</v>
      </c>
      <c r="D377" s="7" t="s">
        <v>29</v>
      </c>
      <c r="E377" s="7" t="s">
        <v>60</v>
      </c>
      <c r="F377" s="7" t="s">
        <v>61</v>
      </c>
      <c r="G377" s="7" t="s">
        <v>22</v>
      </c>
      <c r="H377" s="7" t="s">
        <v>105</v>
      </c>
      <c r="I377" s="7" t="s">
        <v>629</v>
      </c>
      <c r="J377" s="7">
        <v>1</v>
      </c>
      <c r="K377" s="9">
        <v>44911.57</v>
      </c>
      <c r="L377" s="9">
        <v>44911.57</v>
      </c>
      <c r="M377" s="10">
        <v>0</v>
      </c>
      <c r="N377" s="49">
        <v>3747.18</v>
      </c>
      <c r="O377" s="9">
        <v>129.13999999999999</v>
      </c>
      <c r="P377" s="7" t="s">
        <v>35</v>
      </c>
      <c r="Q377" s="7" t="s">
        <v>26</v>
      </c>
      <c r="R377" s="28">
        <f t="shared" si="5"/>
        <v>8.343462497525693E-2</v>
      </c>
    </row>
    <row r="378" spans="1:18" x14ac:dyDescent="0.3">
      <c r="A378" s="3" t="s">
        <v>827</v>
      </c>
      <c r="B378" s="4">
        <v>45595</v>
      </c>
      <c r="C378" s="3" t="s">
        <v>828</v>
      </c>
      <c r="D378" s="3" t="s">
        <v>39</v>
      </c>
      <c r="E378" s="3" t="s">
        <v>30</v>
      </c>
      <c r="F378" s="3" t="s">
        <v>48</v>
      </c>
      <c r="G378" s="3" t="s">
        <v>134</v>
      </c>
      <c r="H378" s="3" t="s">
        <v>139</v>
      </c>
      <c r="I378" s="3" t="s">
        <v>587</v>
      </c>
      <c r="J378" s="3">
        <v>1</v>
      </c>
      <c r="K378" s="5">
        <v>693.42</v>
      </c>
      <c r="L378" s="5">
        <v>485.39</v>
      </c>
      <c r="M378" s="6">
        <v>30</v>
      </c>
      <c r="N378" s="48">
        <v>18.149999999999999</v>
      </c>
      <c r="O378" s="5">
        <v>126.78</v>
      </c>
      <c r="P378" s="3" t="s">
        <v>25</v>
      </c>
      <c r="Q378" s="3" t="s">
        <v>26</v>
      </c>
      <c r="R378" s="28">
        <f t="shared" si="5"/>
        <v>3.7392612126331402E-2</v>
      </c>
    </row>
    <row r="379" spans="1:18" x14ac:dyDescent="0.3">
      <c r="A379" s="7" t="s">
        <v>829</v>
      </c>
      <c r="B379" s="8">
        <v>45595</v>
      </c>
      <c r="C379" s="7" t="s">
        <v>557</v>
      </c>
      <c r="D379" s="7" t="s">
        <v>39</v>
      </c>
      <c r="E379" s="7" t="s">
        <v>20</v>
      </c>
      <c r="F379" s="7" t="s">
        <v>129</v>
      </c>
      <c r="G379" s="7" t="s">
        <v>32</v>
      </c>
      <c r="H379" s="7" t="s">
        <v>33</v>
      </c>
      <c r="I379" s="7" t="s">
        <v>449</v>
      </c>
      <c r="J379" s="7">
        <v>3</v>
      </c>
      <c r="K379" s="9">
        <v>7954.3</v>
      </c>
      <c r="L379" s="9">
        <v>22669.759999999998</v>
      </c>
      <c r="M379" s="10">
        <v>5</v>
      </c>
      <c r="N379" s="49">
        <v>3560.33</v>
      </c>
      <c r="O379" s="9">
        <v>94.11</v>
      </c>
      <c r="P379" s="7" t="s">
        <v>25</v>
      </c>
      <c r="Q379" s="7" t="s">
        <v>26</v>
      </c>
      <c r="R379" s="28">
        <f t="shared" si="5"/>
        <v>0.15705194938102565</v>
      </c>
    </row>
    <row r="380" spans="1:18" x14ac:dyDescent="0.3">
      <c r="A380" s="3" t="s">
        <v>830</v>
      </c>
      <c r="B380" s="4">
        <v>45595</v>
      </c>
      <c r="C380" s="3" t="s">
        <v>608</v>
      </c>
      <c r="D380" s="3" t="s">
        <v>39</v>
      </c>
      <c r="E380" s="3" t="s">
        <v>30</v>
      </c>
      <c r="F380" s="3" t="s">
        <v>226</v>
      </c>
      <c r="G380" s="3" t="s">
        <v>49</v>
      </c>
      <c r="H380" s="3" t="s">
        <v>98</v>
      </c>
      <c r="I380" s="3" t="s">
        <v>763</v>
      </c>
      <c r="J380" s="3">
        <v>1</v>
      </c>
      <c r="K380" s="5">
        <v>4923.68</v>
      </c>
      <c r="L380" s="5">
        <v>4923.68</v>
      </c>
      <c r="M380" s="6">
        <v>0</v>
      </c>
      <c r="N380" s="48">
        <v>837.62</v>
      </c>
      <c r="O380" s="5">
        <v>35.04</v>
      </c>
      <c r="P380" s="3" t="s">
        <v>35</v>
      </c>
      <c r="Q380" s="3" t="s">
        <v>26</v>
      </c>
      <c r="R380" s="28">
        <f t="shared" si="5"/>
        <v>0.17012072271146783</v>
      </c>
    </row>
    <row r="381" spans="1:18" x14ac:dyDescent="0.3">
      <c r="A381" s="7" t="s">
        <v>831</v>
      </c>
      <c r="B381" s="8">
        <v>45596</v>
      </c>
      <c r="C381" s="7" t="s">
        <v>832</v>
      </c>
      <c r="D381" s="7" t="s">
        <v>19</v>
      </c>
      <c r="E381" s="7" t="s">
        <v>40</v>
      </c>
      <c r="F381" s="7" t="s">
        <v>109</v>
      </c>
      <c r="G381" s="7" t="s">
        <v>32</v>
      </c>
      <c r="H381" s="7" t="s">
        <v>86</v>
      </c>
      <c r="I381" s="7" t="s">
        <v>211</v>
      </c>
      <c r="J381" s="7">
        <v>3</v>
      </c>
      <c r="K381" s="9">
        <v>8242.82</v>
      </c>
      <c r="L381" s="9">
        <v>21019.19</v>
      </c>
      <c r="M381" s="10">
        <v>15</v>
      </c>
      <c r="N381" s="49">
        <v>863.41</v>
      </c>
      <c r="O381" s="9">
        <v>236.15</v>
      </c>
      <c r="P381" s="7" t="s">
        <v>64</v>
      </c>
      <c r="Q381" s="7" t="s">
        <v>36</v>
      </c>
      <c r="R381" s="28">
        <f t="shared" si="5"/>
        <v>4.1077225145212545E-2</v>
      </c>
    </row>
    <row r="382" spans="1:18" x14ac:dyDescent="0.3">
      <c r="A382" s="3" t="s">
        <v>833</v>
      </c>
      <c r="B382" s="4">
        <v>45596</v>
      </c>
      <c r="C382" s="3" t="s">
        <v>620</v>
      </c>
      <c r="D382" s="3" t="s">
        <v>39</v>
      </c>
      <c r="E382" s="3" t="s">
        <v>30</v>
      </c>
      <c r="F382" s="3" t="s">
        <v>31</v>
      </c>
      <c r="G382" s="3" t="s">
        <v>42</v>
      </c>
      <c r="H382" s="3" t="s">
        <v>43</v>
      </c>
      <c r="I382" s="3" t="s">
        <v>44</v>
      </c>
      <c r="J382" s="3">
        <v>4</v>
      </c>
      <c r="K382" s="5">
        <v>189.22</v>
      </c>
      <c r="L382" s="5">
        <v>605.5</v>
      </c>
      <c r="M382" s="6">
        <v>20</v>
      </c>
      <c r="N382" s="48">
        <v>28.98</v>
      </c>
      <c r="O382" s="5">
        <v>338.23</v>
      </c>
      <c r="P382" s="3" t="s">
        <v>45</v>
      </c>
      <c r="Q382" s="3" t="s">
        <v>26</v>
      </c>
      <c r="R382" s="28">
        <f t="shared" si="5"/>
        <v>4.7861271676300582E-2</v>
      </c>
    </row>
    <row r="383" spans="1:18" x14ac:dyDescent="0.3">
      <c r="A383" s="7" t="s">
        <v>834</v>
      </c>
      <c r="B383" s="8">
        <v>45596</v>
      </c>
      <c r="C383" s="7" t="s">
        <v>835</v>
      </c>
      <c r="D383" s="7" t="s">
        <v>29</v>
      </c>
      <c r="E383" s="7" t="s">
        <v>60</v>
      </c>
      <c r="F383" s="7" t="s">
        <v>61</v>
      </c>
      <c r="G383" s="7" t="s">
        <v>49</v>
      </c>
      <c r="H383" s="7" t="s">
        <v>91</v>
      </c>
      <c r="I383" s="7" t="s">
        <v>206</v>
      </c>
      <c r="J383" s="7">
        <v>1</v>
      </c>
      <c r="K383" s="9">
        <v>8147.57</v>
      </c>
      <c r="L383" s="9">
        <v>7740.19</v>
      </c>
      <c r="M383" s="10">
        <v>5</v>
      </c>
      <c r="N383" s="49">
        <v>1116.04</v>
      </c>
      <c r="O383" s="9">
        <v>298.33999999999997</v>
      </c>
      <c r="P383" s="7" t="s">
        <v>64</v>
      </c>
      <c r="Q383" s="7" t="s">
        <v>26</v>
      </c>
      <c r="R383" s="28">
        <f t="shared" si="5"/>
        <v>0.14418767497955476</v>
      </c>
    </row>
    <row r="384" spans="1:18" x14ac:dyDescent="0.3">
      <c r="A384" s="3" t="s">
        <v>836</v>
      </c>
      <c r="B384" s="4">
        <v>45596</v>
      </c>
      <c r="C384" s="3" t="s">
        <v>571</v>
      </c>
      <c r="D384" s="3" t="s">
        <v>39</v>
      </c>
      <c r="E384" s="3" t="s">
        <v>60</v>
      </c>
      <c r="F384" s="3" t="s">
        <v>68</v>
      </c>
      <c r="G384" s="3" t="s">
        <v>117</v>
      </c>
      <c r="H384" s="3" t="s">
        <v>125</v>
      </c>
      <c r="I384" s="3" t="s">
        <v>454</v>
      </c>
      <c r="J384" s="3">
        <v>3</v>
      </c>
      <c r="K384" s="5">
        <v>1761.46</v>
      </c>
      <c r="L384" s="5">
        <v>4755.9399999999996</v>
      </c>
      <c r="M384" s="6">
        <v>10</v>
      </c>
      <c r="N384" s="48">
        <v>1174.08</v>
      </c>
      <c r="O384" s="5">
        <v>334.34</v>
      </c>
      <c r="P384" s="3" t="s">
        <v>45</v>
      </c>
      <c r="Q384" s="3" t="s">
        <v>57</v>
      </c>
      <c r="R384" s="28">
        <f t="shared" si="5"/>
        <v>0.24686602438214109</v>
      </c>
    </row>
    <row r="385" spans="1:18" x14ac:dyDescent="0.3">
      <c r="A385" s="7" t="s">
        <v>837</v>
      </c>
      <c r="B385" s="8">
        <v>45597</v>
      </c>
      <c r="C385" s="7" t="s">
        <v>582</v>
      </c>
      <c r="D385" s="7" t="s">
        <v>29</v>
      </c>
      <c r="E385" s="7" t="s">
        <v>20</v>
      </c>
      <c r="F385" s="7" t="s">
        <v>21</v>
      </c>
      <c r="G385" s="7" t="s">
        <v>42</v>
      </c>
      <c r="H385" s="7" t="s">
        <v>43</v>
      </c>
      <c r="I385" s="7" t="s">
        <v>44</v>
      </c>
      <c r="J385" s="7">
        <v>3</v>
      </c>
      <c r="K385" s="9">
        <v>1090.8399999999999</v>
      </c>
      <c r="L385" s="9">
        <v>2454.39</v>
      </c>
      <c r="M385" s="10">
        <v>25</v>
      </c>
      <c r="N385" s="49">
        <v>-140.97999999999999</v>
      </c>
      <c r="O385" s="9">
        <v>321.77</v>
      </c>
      <c r="P385" s="7" t="s">
        <v>64</v>
      </c>
      <c r="Q385" s="7" t="s">
        <v>65</v>
      </c>
      <c r="R385" s="28">
        <f t="shared" si="5"/>
        <v>-5.7439934158793018E-2</v>
      </c>
    </row>
    <row r="386" spans="1:18" x14ac:dyDescent="0.3">
      <c r="A386" s="3" t="s">
        <v>838</v>
      </c>
      <c r="B386" s="4">
        <v>45597</v>
      </c>
      <c r="C386" s="3" t="s">
        <v>839</v>
      </c>
      <c r="D386" s="3" t="s">
        <v>39</v>
      </c>
      <c r="E386" s="3" t="s">
        <v>30</v>
      </c>
      <c r="F386" s="3" t="s">
        <v>48</v>
      </c>
      <c r="G386" s="3" t="s">
        <v>49</v>
      </c>
      <c r="H386" s="3" t="s">
        <v>50</v>
      </c>
      <c r="I386" s="3" t="s">
        <v>95</v>
      </c>
      <c r="J386" s="3">
        <v>2</v>
      </c>
      <c r="K386" s="5">
        <v>6231.42</v>
      </c>
      <c r="L386" s="5">
        <v>11216.56</v>
      </c>
      <c r="M386" s="6">
        <v>10</v>
      </c>
      <c r="N386" s="48">
        <v>1102.94</v>
      </c>
      <c r="O386" s="5">
        <v>170.36</v>
      </c>
      <c r="P386" s="3" t="s">
        <v>35</v>
      </c>
      <c r="Q386" s="3" t="s">
        <v>26</v>
      </c>
      <c r="R386" s="28">
        <f t="shared" si="5"/>
        <v>9.8331395722039569E-2</v>
      </c>
    </row>
    <row r="387" spans="1:18" x14ac:dyDescent="0.3">
      <c r="A387" s="7" t="s">
        <v>840</v>
      </c>
      <c r="B387" s="8">
        <v>45597</v>
      </c>
      <c r="C387" s="7" t="s">
        <v>623</v>
      </c>
      <c r="D387" s="7" t="s">
        <v>19</v>
      </c>
      <c r="E387" s="7" t="s">
        <v>30</v>
      </c>
      <c r="F387" s="7" t="s">
        <v>48</v>
      </c>
      <c r="G387" s="7" t="s">
        <v>32</v>
      </c>
      <c r="H387" s="7" t="s">
        <v>86</v>
      </c>
      <c r="I387" s="7" t="s">
        <v>211</v>
      </c>
      <c r="J387" s="7">
        <v>1</v>
      </c>
      <c r="K387" s="9">
        <v>11885.72</v>
      </c>
      <c r="L387" s="9">
        <v>10697.15</v>
      </c>
      <c r="M387" s="10">
        <v>10</v>
      </c>
      <c r="N387" s="49">
        <v>969.94</v>
      </c>
      <c r="O387" s="9">
        <v>237.22</v>
      </c>
      <c r="P387" s="7" t="s">
        <v>35</v>
      </c>
      <c r="Q387" s="7" t="s">
        <v>26</v>
      </c>
      <c r="R387" s="28">
        <f t="shared" ref="R387:R450" si="6">N387/L387</f>
        <v>9.0672749283687723E-2</v>
      </c>
    </row>
    <row r="388" spans="1:18" x14ac:dyDescent="0.3">
      <c r="A388" s="3" t="s">
        <v>841</v>
      </c>
      <c r="B388" s="4">
        <v>45598</v>
      </c>
      <c r="C388" s="3" t="s">
        <v>768</v>
      </c>
      <c r="D388" s="3" t="s">
        <v>39</v>
      </c>
      <c r="E388" s="3" t="s">
        <v>30</v>
      </c>
      <c r="F388" s="3" t="s">
        <v>31</v>
      </c>
      <c r="G388" s="3" t="s">
        <v>42</v>
      </c>
      <c r="H388" s="3" t="s">
        <v>164</v>
      </c>
      <c r="I388" s="3" t="s">
        <v>165</v>
      </c>
      <c r="J388" s="3">
        <v>5</v>
      </c>
      <c r="K388" s="5">
        <v>622.87</v>
      </c>
      <c r="L388" s="5">
        <v>2802.91</v>
      </c>
      <c r="M388" s="6">
        <v>10</v>
      </c>
      <c r="N388" s="48">
        <v>187.92</v>
      </c>
      <c r="O388" s="5">
        <v>329.62</v>
      </c>
      <c r="P388" s="3" t="s">
        <v>25</v>
      </c>
      <c r="Q388" s="3" t="s">
        <v>36</v>
      </c>
      <c r="R388" s="28">
        <f t="shared" si="6"/>
        <v>6.7044607211790605E-2</v>
      </c>
    </row>
    <row r="389" spans="1:18" x14ac:dyDescent="0.3">
      <c r="A389" s="7" t="s">
        <v>842</v>
      </c>
      <c r="B389" s="8">
        <v>45598</v>
      </c>
      <c r="C389" s="7" t="s">
        <v>843</v>
      </c>
      <c r="D389" s="7" t="s">
        <v>19</v>
      </c>
      <c r="E389" s="7" t="s">
        <v>60</v>
      </c>
      <c r="F389" s="7" t="s">
        <v>104</v>
      </c>
      <c r="G389" s="7" t="s">
        <v>49</v>
      </c>
      <c r="H389" s="7" t="s">
        <v>62</v>
      </c>
      <c r="I389" s="7" t="s">
        <v>63</v>
      </c>
      <c r="J389" s="7">
        <v>2</v>
      </c>
      <c r="K389" s="9">
        <v>3215.68</v>
      </c>
      <c r="L389" s="9">
        <v>5788.22</v>
      </c>
      <c r="M389" s="10">
        <v>10</v>
      </c>
      <c r="N389" s="49">
        <v>1178.0899999999999</v>
      </c>
      <c r="O389" s="9">
        <v>133.46</v>
      </c>
      <c r="P389" s="7" t="s">
        <v>64</v>
      </c>
      <c r="Q389" s="7" t="s">
        <v>26</v>
      </c>
      <c r="R389" s="28">
        <f t="shared" si="6"/>
        <v>0.20353234673181045</v>
      </c>
    </row>
    <row r="390" spans="1:18" x14ac:dyDescent="0.3">
      <c r="A390" s="3" t="s">
        <v>844</v>
      </c>
      <c r="B390" s="4">
        <v>45598</v>
      </c>
      <c r="C390" s="3" t="s">
        <v>403</v>
      </c>
      <c r="D390" s="3" t="s">
        <v>39</v>
      </c>
      <c r="E390" s="3" t="s">
        <v>60</v>
      </c>
      <c r="F390" s="3" t="s">
        <v>68</v>
      </c>
      <c r="G390" s="3" t="s">
        <v>117</v>
      </c>
      <c r="H390" s="3" t="s">
        <v>125</v>
      </c>
      <c r="I390" s="3" t="s">
        <v>196</v>
      </c>
      <c r="J390" s="3">
        <v>1</v>
      </c>
      <c r="K390" s="5">
        <v>254.27</v>
      </c>
      <c r="L390" s="5">
        <v>241.56</v>
      </c>
      <c r="M390" s="6">
        <v>5</v>
      </c>
      <c r="N390" s="48">
        <v>84.44</v>
      </c>
      <c r="O390" s="5">
        <v>317.54000000000002</v>
      </c>
      <c r="P390" s="3" t="s">
        <v>64</v>
      </c>
      <c r="Q390" s="3" t="s">
        <v>57</v>
      </c>
      <c r="R390" s="28">
        <f t="shared" si="6"/>
        <v>0.34956118562675936</v>
      </c>
    </row>
    <row r="391" spans="1:18" x14ac:dyDescent="0.3">
      <c r="A391" s="7" t="s">
        <v>845</v>
      </c>
      <c r="B391" s="8">
        <v>45599</v>
      </c>
      <c r="C391" s="7" t="s">
        <v>631</v>
      </c>
      <c r="D391" s="7" t="s">
        <v>19</v>
      </c>
      <c r="E391" s="7" t="s">
        <v>30</v>
      </c>
      <c r="F391" s="7" t="s">
        <v>226</v>
      </c>
      <c r="G391" s="7" t="s">
        <v>134</v>
      </c>
      <c r="H391" s="7" t="s">
        <v>139</v>
      </c>
      <c r="I391" s="7" t="s">
        <v>147</v>
      </c>
      <c r="J391" s="7">
        <v>3</v>
      </c>
      <c r="K391" s="9">
        <v>3259.66</v>
      </c>
      <c r="L391" s="9">
        <v>9778.98</v>
      </c>
      <c r="M391" s="10">
        <v>0</v>
      </c>
      <c r="N391" s="49">
        <v>2450.9899999999998</v>
      </c>
      <c r="O391" s="9">
        <v>370.37</v>
      </c>
      <c r="P391" s="7" t="s">
        <v>64</v>
      </c>
      <c r="Q391" s="7" t="s">
        <v>26</v>
      </c>
      <c r="R391" s="28">
        <f t="shared" si="6"/>
        <v>0.25063861466124276</v>
      </c>
    </row>
    <row r="392" spans="1:18" x14ac:dyDescent="0.3">
      <c r="A392" s="3" t="s">
        <v>846</v>
      </c>
      <c r="B392" s="4">
        <v>45599</v>
      </c>
      <c r="C392" s="3" t="s">
        <v>654</v>
      </c>
      <c r="D392" s="3" t="s">
        <v>29</v>
      </c>
      <c r="E392" s="3" t="s">
        <v>40</v>
      </c>
      <c r="F392" s="3" t="s">
        <v>90</v>
      </c>
      <c r="G392" s="3" t="s">
        <v>134</v>
      </c>
      <c r="H392" s="3" t="s">
        <v>91</v>
      </c>
      <c r="I392" s="3" t="s">
        <v>168</v>
      </c>
      <c r="J392" s="3">
        <v>4</v>
      </c>
      <c r="K392" s="5">
        <v>1417.28</v>
      </c>
      <c r="L392" s="5">
        <v>5385.66</v>
      </c>
      <c r="M392" s="6">
        <v>5</v>
      </c>
      <c r="N392" s="48">
        <v>818.02</v>
      </c>
      <c r="O392" s="5">
        <v>122.76</v>
      </c>
      <c r="P392" s="3" t="s">
        <v>83</v>
      </c>
      <c r="Q392" s="3" t="s">
        <v>65</v>
      </c>
      <c r="R392" s="28">
        <f t="shared" si="6"/>
        <v>0.15188853362447685</v>
      </c>
    </row>
    <row r="393" spans="1:18" x14ac:dyDescent="0.3">
      <c r="A393" s="7" t="s">
        <v>847</v>
      </c>
      <c r="B393" s="8">
        <v>45601</v>
      </c>
      <c r="C393" s="7" t="s">
        <v>848</v>
      </c>
      <c r="D393" s="7" t="s">
        <v>19</v>
      </c>
      <c r="E393" s="7" t="s">
        <v>20</v>
      </c>
      <c r="F393" s="7" t="s">
        <v>21</v>
      </c>
      <c r="G393" s="7" t="s">
        <v>42</v>
      </c>
      <c r="H393" s="7" t="s">
        <v>164</v>
      </c>
      <c r="I393" s="7" t="s">
        <v>329</v>
      </c>
      <c r="J393" s="7">
        <v>1</v>
      </c>
      <c r="K393" s="9">
        <v>770.17</v>
      </c>
      <c r="L393" s="9">
        <v>577.63</v>
      </c>
      <c r="M393" s="10">
        <v>25</v>
      </c>
      <c r="N393" s="49">
        <v>-17.28</v>
      </c>
      <c r="O393" s="9">
        <v>204.24</v>
      </c>
      <c r="P393" s="7" t="s">
        <v>45</v>
      </c>
      <c r="Q393" s="7" t="s">
        <v>65</v>
      </c>
      <c r="R393" s="28">
        <f t="shared" si="6"/>
        <v>-2.9915343732146878E-2</v>
      </c>
    </row>
    <row r="394" spans="1:18" x14ac:dyDescent="0.3">
      <c r="A394" s="3" t="s">
        <v>849</v>
      </c>
      <c r="B394" s="4">
        <v>45601</v>
      </c>
      <c r="C394" s="3" t="s">
        <v>582</v>
      </c>
      <c r="D394" s="3" t="s">
        <v>29</v>
      </c>
      <c r="E394" s="3" t="s">
        <v>30</v>
      </c>
      <c r="F394" s="3" t="s">
        <v>31</v>
      </c>
      <c r="G394" s="3" t="s">
        <v>49</v>
      </c>
      <c r="H394" s="3" t="s">
        <v>98</v>
      </c>
      <c r="I394" s="3" t="s">
        <v>299</v>
      </c>
      <c r="J394" s="3">
        <v>2</v>
      </c>
      <c r="K394" s="5">
        <v>1216.94</v>
      </c>
      <c r="L394" s="5">
        <v>2068.8000000000002</v>
      </c>
      <c r="M394" s="6">
        <v>15</v>
      </c>
      <c r="N394" s="48">
        <v>360.18</v>
      </c>
      <c r="O394" s="5">
        <v>363.11</v>
      </c>
      <c r="P394" s="3" t="s">
        <v>64</v>
      </c>
      <c r="Q394" s="3" t="s">
        <v>57</v>
      </c>
      <c r="R394" s="28">
        <f t="shared" si="6"/>
        <v>0.17410092807424593</v>
      </c>
    </row>
    <row r="395" spans="1:18" x14ac:dyDescent="0.3">
      <c r="A395" s="7" t="s">
        <v>850</v>
      </c>
      <c r="B395" s="8">
        <v>45601</v>
      </c>
      <c r="C395" s="7" t="s">
        <v>493</v>
      </c>
      <c r="D395" s="7" t="s">
        <v>39</v>
      </c>
      <c r="E395" s="7" t="s">
        <v>20</v>
      </c>
      <c r="F395" s="7" t="s">
        <v>21</v>
      </c>
      <c r="G395" s="7" t="s">
        <v>32</v>
      </c>
      <c r="H395" s="7" t="s">
        <v>143</v>
      </c>
      <c r="I395" s="7" t="s">
        <v>516</v>
      </c>
      <c r="J395" s="7">
        <v>2</v>
      </c>
      <c r="K395" s="9">
        <v>7449.75</v>
      </c>
      <c r="L395" s="9">
        <v>13409.55</v>
      </c>
      <c r="M395" s="10">
        <v>10</v>
      </c>
      <c r="N395" s="49">
        <v>556.52</v>
      </c>
      <c r="O395" s="9">
        <v>101.49</v>
      </c>
      <c r="P395" s="7" t="s">
        <v>35</v>
      </c>
      <c r="Q395" s="7" t="s">
        <v>26</v>
      </c>
      <c r="R395" s="28">
        <f t="shared" si="6"/>
        <v>4.1501765532773287E-2</v>
      </c>
    </row>
    <row r="396" spans="1:18" x14ac:dyDescent="0.3">
      <c r="A396" s="3" t="s">
        <v>851</v>
      </c>
      <c r="B396" s="4">
        <v>45602</v>
      </c>
      <c r="C396" s="3" t="s">
        <v>852</v>
      </c>
      <c r="D396" s="3" t="s">
        <v>39</v>
      </c>
      <c r="E396" s="3" t="s">
        <v>40</v>
      </c>
      <c r="F396" s="3" t="s">
        <v>90</v>
      </c>
      <c r="G396" s="3" t="s">
        <v>42</v>
      </c>
      <c r="H396" s="3" t="s">
        <v>164</v>
      </c>
      <c r="I396" s="3" t="s">
        <v>853</v>
      </c>
      <c r="J396" s="3">
        <v>2</v>
      </c>
      <c r="K396" s="5">
        <v>756.06</v>
      </c>
      <c r="L396" s="5">
        <v>1360.91</v>
      </c>
      <c r="M396" s="6">
        <v>10</v>
      </c>
      <c r="N396" s="48">
        <v>108.32</v>
      </c>
      <c r="O396" s="5">
        <v>59</v>
      </c>
      <c r="P396" s="3" t="s">
        <v>35</v>
      </c>
      <c r="Q396" s="3" t="s">
        <v>36</v>
      </c>
      <c r="R396" s="28">
        <f t="shared" si="6"/>
        <v>7.9593801206545606E-2</v>
      </c>
    </row>
    <row r="397" spans="1:18" x14ac:dyDescent="0.3">
      <c r="A397" s="7" t="s">
        <v>854</v>
      </c>
      <c r="B397" s="8">
        <v>45602</v>
      </c>
      <c r="C397" s="7" t="s">
        <v>634</v>
      </c>
      <c r="D397" s="7" t="s">
        <v>19</v>
      </c>
      <c r="E397" s="7" t="s">
        <v>20</v>
      </c>
      <c r="F397" s="7" t="s">
        <v>129</v>
      </c>
      <c r="G397" s="7" t="s">
        <v>49</v>
      </c>
      <c r="H397" s="7" t="s">
        <v>91</v>
      </c>
      <c r="I397" s="7" t="s">
        <v>188</v>
      </c>
      <c r="J397" s="7">
        <v>1</v>
      </c>
      <c r="K397" s="9">
        <v>2719.85</v>
      </c>
      <c r="L397" s="9">
        <v>2311.87</v>
      </c>
      <c r="M397" s="10">
        <v>15</v>
      </c>
      <c r="N397" s="49">
        <v>296.52999999999997</v>
      </c>
      <c r="O397" s="9">
        <v>211.3</v>
      </c>
      <c r="P397" s="7" t="s">
        <v>45</v>
      </c>
      <c r="Q397" s="7" t="s">
        <v>26</v>
      </c>
      <c r="R397" s="28">
        <f t="shared" si="6"/>
        <v>0.12826413249879967</v>
      </c>
    </row>
    <row r="398" spans="1:18" x14ac:dyDescent="0.3">
      <c r="A398" s="3" t="s">
        <v>855</v>
      </c>
      <c r="B398" s="4">
        <v>45602</v>
      </c>
      <c r="C398" s="3" t="s">
        <v>180</v>
      </c>
      <c r="D398" s="3" t="s">
        <v>39</v>
      </c>
      <c r="E398" s="3" t="s">
        <v>40</v>
      </c>
      <c r="F398" s="3" t="s">
        <v>77</v>
      </c>
      <c r="G398" s="3" t="s">
        <v>134</v>
      </c>
      <c r="H398" s="3" t="s">
        <v>91</v>
      </c>
      <c r="I398" s="3" t="s">
        <v>188</v>
      </c>
      <c r="J398" s="3">
        <v>1</v>
      </c>
      <c r="K398" s="5">
        <v>1198.6199999999999</v>
      </c>
      <c r="L398" s="5">
        <v>1198.6199999999999</v>
      </c>
      <c r="M398" s="6">
        <v>0</v>
      </c>
      <c r="N398" s="48">
        <v>295.77</v>
      </c>
      <c r="O398" s="5">
        <v>143.61000000000001</v>
      </c>
      <c r="P398" s="3" t="s">
        <v>25</v>
      </c>
      <c r="Q398" s="3" t="s">
        <v>65</v>
      </c>
      <c r="R398" s="28">
        <f t="shared" si="6"/>
        <v>0.24675877258847675</v>
      </c>
    </row>
    <row r="399" spans="1:18" x14ac:dyDescent="0.3">
      <c r="A399" s="7" t="s">
        <v>856</v>
      </c>
      <c r="B399" s="8">
        <v>45602</v>
      </c>
      <c r="C399" s="7" t="s">
        <v>857</v>
      </c>
      <c r="D399" s="7" t="s">
        <v>19</v>
      </c>
      <c r="E399" s="7" t="s">
        <v>20</v>
      </c>
      <c r="F399" s="7" t="s">
        <v>21</v>
      </c>
      <c r="G399" s="7" t="s">
        <v>32</v>
      </c>
      <c r="H399" s="7" t="s">
        <v>143</v>
      </c>
      <c r="I399" s="7" t="s">
        <v>385</v>
      </c>
      <c r="J399" s="7">
        <v>4</v>
      </c>
      <c r="K399" s="9">
        <v>2906.3</v>
      </c>
      <c r="L399" s="9">
        <v>9300.16</v>
      </c>
      <c r="M399" s="10">
        <v>20</v>
      </c>
      <c r="N399" s="49">
        <v>340.94</v>
      </c>
      <c r="O399" s="9">
        <v>333.98</v>
      </c>
      <c r="P399" s="7" t="s">
        <v>64</v>
      </c>
      <c r="Q399" s="7" t="s">
        <v>26</v>
      </c>
      <c r="R399" s="28">
        <f t="shared" si="6"/>
        <v>3.6659584351236965E-2</v>
      </c>
    </row>
    <row r="400" spans="1:18" x14ac:dyDescent="0.3">
      <c r="A400" s="3" t="s">
        <v>858</v>
      </c>
      <c r="B400" s="4">
        <v>45603</v>
      </c>
      <c r="C400" s="3" t="s">
        <v>859</v>
      </c>
      <c r="D400" s="3" t="s">
        <v>19</v>
      </c>
      <c r="E400" s="3" t="s">
        <v>20</v>
      </c>
      <c r="F400" s="3" t="s">
        <v>54</v>
      </c>
      <c r="G400" s="3" t="s">
        <v>42</v>
      </c>
      <c r="H400" s="3" t="s">
        <v>164</v>
      </c>
      <c r="I400" s="3" t="s">
        <v>853</v>
      </c>
      <c r="J400" s="3">
        <v>4</v>
      </c>
      <c r="K400" s="5">
        <v>375.69</v>
      </c>
      <c r="L400" s="5">
        <v>1277.3499999999999</v>
      </c>
      <c r="M400" s="6">
        <v>15</v>
      </c>
      <c r="N400" s="48">
        <v>39.880000000000003</v>
      </c>
      <c r="O400" s="5">
        <v>233.84</v>
      </c>
      <c r="P400" s="3" t="s">
        <v>35</v>
      </c>
      <c r="Q400" s="3" t="s">
        <v>57</v>
      </c>
      <c r="R400" s="28">
        <f t="shared" si="6"/>
        <v>3.1220886992601875E-2</v>
      </c>
    </row>
    <row r="401" spans="1:18" x14ac:dyDescent="0.3">
      <c r="A401" s="7" t="s">
        <v>860</v>
      </c>
      <c r="B401" s="8">
        <v>45603</v>
      </c>
      <c r="C401" s="7" t="s">
        <v>301</v>
      </c>
      <c r="D401" s="7" t="s">
        <v>19</v>
      </c>
      <c r="E401" s="7" t="s">
        <v>30</v>
      </c>
      <c r="F401" s="7" t="s">
        <v>31</v>
      </c>
      <c r="G401" s="7" t="s">
        <v>32</v>
      </c>
      <c r="H401" s="7" t="s">
        <v>143</v>
      </c>
      <c r="I401" s="7" t="s">
        <v>321</v>
      </c>
      <c r="J401" s="7">
        <v>3</v>
      </c>
      <c r="K401" s="9">
        <v>9603.52</v>
      </c>
      <c r="L401" s="9">
        <v>27370.03</v>
      </c>
      <c r="M401" s="10">
        <v>5</v>
      </c>
      <c r="N401" s="49">
        <v>2979.75</v>
      </c>
      <c r="O401" s="9">
        <v>321.04000000000002</v>
      </c>
      <c r="P401" s="7" t="s">
        <v>25</v>
      </c>
      <c r="Q401" s="7" t="s">
        <v>65</v>
      </c>
      <c r="R401" s="28">
        <f t="shared" si="6"/>
        <v>0.10886908052347768</v>
      </c>
    </row>
    <row r="402" spans="1:18" x14ac:dyDescent="0.3">
      <c r="A402" s="3" t="s">
        <v>861</v>
      </c>
      <c r="B402" s="4">
        <v>45604</v>
      </c>
      <c r="C402" s="3" t="s">
        <v>862</v>
      </c>
      <c r="D402" s="3" t="s">
        <v>39</v>
      </c>
      <c r="E402" s="3" t="s">
        <v>60</v>
      </c>
      <c r="F402" s="3" t="s">
        <v>72</v>
      </c>
      <c r="G402" s="3" t="s">
        <v>117</v>
      </c>
      <c r="H402" s="3" t="s">
        <v>125</v>
      </c>
      <c r="I402" s="3" t="s">
        <v>217</v>
      </c>
      <c r="J402" s="3">
        <v>3</v>
      </c>
      <c r="K402" s="5">
        <v>584.20000000000005</v>
      </c>
      <c r="L402" s="5">
        <v>1489.71</v>
      </c>
      <c r="M402" s="6">
        <v>15</v>
      </c>
      <c r="N402" s="48">
        <v>346.14</v>
      </c>
      <c r="O402" s="5">
        <v>211.88</v>
      </c>
      <c r="P402" s="3" t="s">
        <v>25</v>
      </c>
      <c r="Q402" s="3" t="s">
        <v>65</v>
      </c>
      <c r="R402" s="28">
        <f t="shared" si="6"/>
        <v>0.23235394808385523</v>
      </c>
    </row>
    <row r="403" spans="1:18" x14ac:dyDescent="0.3">
      <c r="A403" s="7" t="s">
        <v>863</v>
      </c>
      <c r="B403" s="8">
        <v>45604</v>
      </c>
      <c r="C403" s="7" t="s">
        <v>152</v>
      </c>
      <c r="D403" s="7" t="s">
        <v>19</v>
      </c>
      <c r="E403" s="7" t="s">
        <v>30</v>
      </c>
      <c r="F403" s="7" t="s">
        <v>31</v>
      </c>
      <c r="G403" s="7" t="s">
        <v>32</v>
      </c>
      <c r="H403" s="7" t="s">
        <v>33</v>
      </c>
      <c r="I403" s="7" t="s">
        <v>69</v>
      </c>
      <c r="J403" s="7">
        <v>1</v>
      </c>
      <c r="K403" s="9">
        <v>481.54</v>
      </c>
      <c r="L403" s="9">
        <v>457.46</v>
      </c>
      <c r="M403" s="10">
        <v>5</v>
      </c>
      <c r="N403" s="49">
        <v>62.35</v>
      </c>
      <c r="O403" s="9">
        <v>325.24</v>
      </c>
      <c r="P403" s="7" t="s">
        <v>45</v>
      </c>
      <c r="Q403" s="7" t="s">
        <v>26</v>
      </c>
      <c r="R403" s="28">
        <f t="shared" si="6"/>
        <v>0.13629606960171381</v>
      </c>
    </row>
    <row r="404" spans="1:18" x14ac:dyDescent="0.3">
      <c r="A404" s="3" t="s">
        <v>864</v>
      </c>
      <c r="B404" s="4">
        <v>45604</v>
      </c>
      <c r="C404" s="3" t="s">
        <v>865</v>
      </c>
      <c r="D404" s="3" t="s">
        <v>29</v>
      </c>
      <c r="E404" s="3" t="s">
        <v>30</v>
      </c>
      <c r="F404" s="3" t="s">
        <v>226</v>
      </c>
      <c r="G404" s="3" t="s">
        <v>49</v>
      </c>
      <c r="H404" s="3" t="s">
        <v>98</v>
      </c>
      <c r="I404" s="3" t="s">
        <v>99</v>
      </c>
      <c r="J404" s="3">
        <v>2</v>
      </c>
      <c r="K404" s="5">
        <v>12021.38</v>
      </c>
      <c r="L404" s="5">
        <v>22840.62</v>
      </c>
      <c r="M404" s="6">
        <v>5</v>
      </c>
      <c r="N404" s="48">
        <v>5041.97</v>
      </c>
      <c r="O404" s="5">
        <v>125.15</v>
      </c>
      <c r="P404" s="3" t="s">
        <v>35</v>
      </c>
      <c r="Q404" s="3" t="s">
        <v>26</v>
      </c>
      <c r="R404" s="28">
        <f t="shared" si="6"/>
        <v>0.22074575909060265</v>
      </c>
    </row>
    <row r="405" spans="1:18" x14ac:dyDescent="0.3">
      <c r="A405" s="7" t="s">
        <v>866</v>
      </c>
      <c r="B405" s="8">
        <v>45604</v>
      </c>
      <c r="C405" s="7" t="s">
        <v>867</v>
      </c>
      <c r="D405" s="7" t="s">
        <v>39</v>
      </c>
      <c r="E405" s="7" t="s">
        <v>40</v>
      </c>
      <c r="F405" s="7" t="s">
        <v>109</v>
      </c>
      <c r="G405" s="7" t="s">
        <v>49</v>
      </c>
      <c r="H405" s="7" t="s">
        <v>62</v>
      </c>
      <c r="I405" s="7" t="s">
        <v>63</v>
      </c>
      <c r="J405" s="7">
        <v>2</v>
      </c>
      <c r="K405" s="9">
        <v>3262.63</v>
      </c>
      <c r="L405" s="9">
        <v>5872.73</v>
      </c>
      <c r="M405" s="10">
        <v>10</v>
      </c>
      <c r="N405" s="49">
        <v>509.95</v>
      </c>
      <c r="O405" s="9">
        <v>67.13</v>
      </c>
      <c r="P405" s="7" t="s">
        <v>35</v>
      </c>
      <c r="Q405" s="7" t="s">
        <v>65</v>
      </c>
      <c r="R405" s="28">
        <f t="shared" si="6"/>
        <v>8.6833551006090873E-2</v>
      </c>
    </row>
    <row r="406" spans="1:18" x14ac:dyDescent="0.3">
      <c r="A406" s="3" t="s">
        <v>868</v>
      </c>
      <c r="B406" s="4">
        <v>45604</v>
      </c>
      <c r="C406" s="3" t="s">
        <v>727</v>
      </c>
      <c r="D406" s="3" t="s">
        <v>19</v>
      </c>
      <c r="E406" s="3" t="s">
        <v>60</v>
      </c>
      <c r="F406" s="3" t="s">
        <v>68</v>
      </c>
      <c r="G406" s="3" t="s">
        <v>42</v>
      </c>
      <c r="H406" s="3" t="s">
        <v>172</v>
      </c>
      <c r="I406" s="3" t="s">
        <v>223</v>
      </c>
      <c r="J406" s="3">
        <v>4</v>
      </c>
      <c r="K406" s="5">
        <v>437.78</v>
      </c>
      <c r="L406" s="5">
        <v>1751.12</v>
      </c>
      <c r="M406" s="6">
        <v>0</v>
      </c>
      <c r="N406" s="48">
        <v>215.74</v>
      </c>
      <c r="O406" s="5">
        <v>185.51</v>
      </c>
      <c r="P406" s="3" t="s">
        <v>64</v>
      </c>
      <c r="Q406" s="3" t="s">
        <v>65</v>
      </c>
      <c r="R406" s="28">
        <f t="shared" si="6"/>
        <v>0.12320115126319157</v>
      </c>
    </row>
    <row r="407" spans="1:18" x14ac:dyDescent="0.3">
      <c r="A407" s="7" t="s">
        <v>869</v>
      </c>
      <c r="B407" s="8">
        <v>45605</v>
      </c>
      <c r="C407" s="7" t="s">
        <v>523</v>
      </c>
      <c r="D407" s="7" t="s">
        <v>29</v>
      </c>
      <c r="E407" s="7" t="s">
        <v>60</v>
      </c>
      <c r="F407" s="7" t="s">
        <v>61</v>
      </c>
      <c r="G407" s="7" t="s">
        <v>117</v>
      </c>
      <c r="H407" s="7" t="s">
        <v>125</v>
      </c>
      <c r="I407" s="7" t="s">
        <v>454</v>
      </c>
      <c r="J407" s="7">
        <v>1</v>
      </c>
      <c r="K407" s="9">
        <v>1998.51</v>
      </c>
      <c r="L407" s="9">
        <v>1898.58</v>
      </c>
      <c r="M407" s="10">
        <v>5</v>
      </c>
      <c r="N407" s="49">
        <v>419.68</v>
      </c>
      <c r="O407" s="9">
        <v>270.56</v>
      </c>
      <c r="P407" s="7" t="s">
        <v>64</v>
      </c>
      <c r="Q407" s="7" t="s">
        <v>26</v>
      </c>
      <c r="R407" s="28">
        <f t="shared" si="6"/>
        <v>0.22104941587923607</v>
      </c>
    </row>
    <row r="408" spans="1:18" x14ac:dyDescent="0.3">
      <c r="A408" s="3" t="s">
        <v>870</v>
      </c>
      <c r="B408" s="4">
        <v>45605</v>
      </c>
      <c r="C408" s="3" t="s">
        <v>28</v>
      </c>
      <c r="D408" s="3" t="s">
        <v>19</v>
      </c>
      <c r="E408" s="3" t="s">
        <v>40</v>
      </c>
      <c r="F408" s="3" t="s">
        <v>41</v>
      </c>
      <c r="G408" s="3" t="s">
        <v>117</v>
      </c>
      <c r="H408" s="3" t="s">
        <v>130</v>
      </c>
      <c r="I408" s="3" t="s">
        <v>326</v>
      </c>
      <c r="J408" s="3">
        <v>1</v>
      </c>
      <c r="K408" s="5">
        <v>1135.1600000000001</v>
      </c>
      <c r="L408" s="5">
        <v>964.89</v>
      </c>
      <c r="M408" s="6">
        <v>15</v>
      </c>
      <c r="N408" s="48">
        <v>204.62</v>
      </c>
      <c r="O408" s="5">
        <v>123.87</v>
      </c>
      <c r="P408" s="3" t="s">
        <v>64</v>
      </c>
      <c r="Q408" s="3" t="s">
        <v>26</v>
      </c>
      <c r="R408" s="28">
        <f t="shared" si="6"/>
        <v>0.21206562406077378</v>
      </c>
    </row>
    <row r="409" spans="1:18" x14ac:dyDescent="0.3">
      <c r="A409" s="7" t="s">
        <v>871</v>
      </c>
      <c r="B409" s="8">
        <v>45606</v>
      </c>
      <c r="C409" s="7" t="s">
        <v>723</v>
      </c>
      <c r="D409" s="7" t="s">
        <v>39</v>
      </c>
      <c r="E409" s="7" t="s">
        <v>30</v>
      </c>
      <c r="F409" s="7" t="s">
        <v>226</v>
      </c>
      <c r="G409" s="7" t="s">
        <v>32</v>
      </c>
      <c r="H409" s="7" t="s">
        <v>143</v>
      </c>
      <c r="I409" s="7" t="s">
        <v>321</v>
      </c>
      <c r="J409" s="7">
        <v>1</v>
      </c>
      <c r="K409" s="9">
        <v>8943.81</v>
      </c>
      <c r="L409" s="9">
        <v>6260.67</v>
      </c>
      <c r="M409" s="10">
        <v>30</v>
      </c>
      <c r="N409" s="49">
        <v>-67.27</v>
      </c>
      <c r="O409" s="9">
        <v>218.03</v>
      </c>
      <c r="P409" s="7" t="s">
        <v>64</v>
      </c>
      <c r="Q409" s="7" t="s">
        <v>65</v>
      </c>
      <c r="R409" s="28">
        <f t="shared" si="6"/>
        <v>-1.0744856381186038E-2</v>
      </c>
    </row>
    <row r="410" spans="1:18" x14ac:dyDescent="0.3">
      <c r="A410" s="3" t="s">
        <v>872</v>
      </c>
      <c r="B410" s="4">
        <v>45606</v>
      </c>
      <c r="C410" s="3" t="s">
        <v>591</v>
      </c>
      <c r="D410" s="3" t="s">
        <v>39</v>
      </c>
      <c r="E410" s="3" t="s">
        <v>40</v>
      </c>
      <c r="F410" s="3" t="s">
        <v>109</v>
      </c>
      <c r="G410" s="3" t="s">
        <v>42</v>
      </c>
      <c r="H410" s="3" t="s">
        <v>172</v>
      </c>
      <c r="I410" s="3" t="s">
        <v>223</v>
      </c>
      <c r="J410" s="3">
        <v>3</v>
      </c>
      <c r="K410" s="5">
        <v>676.14</v>
      </c>
      <c r="L410" s="5">
        <v>2028.42</v>
      </c>
      <c r="M410" s="6">
        <v>0</v>
      </c>
      <c r="N410" s="48">
        <v>350.39</v>
      </c>
      <c r="O410" s="5">
        <v>285.98</v>
      </c>
      <c r="P410" s="3" t="s">
        <v>64</v>
      </c>
      <c r="Q410" s="3" t="s">
        <v>65</v>
      </c>
      <c r="R410" s="28">
        <f t="shared" si="6"/>
        <v>0.172740359491624</v>
      </c>
    </row>
    <row r="411" spans="1:18" x14ac:dyDescent="0.3">
      <c r="A411" s="7" t="s">
        <v>873</v>
      </c>
      <c r="B411" s="8">
        <v>45607</v>
      </c>
      <c r="C411" s="7" t="s">
        <v>669</v>
      </c>
      <c r="D411" s="7" t="s">
        <v>29</v>
      </c>
      <c r="E411" s="7" t="s">
        <v>40</v>
      </c>
      <c r="F411" s="7" t="s">
        <v>41</v>
      </c>
      <c r="G411" s="7" t="s">
        <v>42</v>
      </c>
      <c r="H411" s="7" t="s">
        <v>164</v>
      </c>
      <c r="I411" s="7" t="s">
        <v>329</v>
      </c>
      <c r="J411" s="7">
        <v>1</v>
      </c>
      <c r="K411" s="9">
        <v>264.94</v>
      </c>
      <c r="L411" s="9">
        <v>264.94</v>
      </c>
      <c r="M411" s="10">
        <v>0</v>
      </c>
      <c r="N411" s="49">
        <v>51.76</v>
      </c>
      <c r="O411" s="9">
        <v>212.82</v>
      </c>
      <c r="P411" s="7" t="s">
        <v>64</v>
      </c>
      <c r="Q411" s="7" t="s">
        <v>36</v>
      </c>
      <c r="R411" s="28">
        <f t="shared" si="6"/>
        <v>0.19536498829923757</v>
      </c>
    </row>
    <row r="412" spans="1:18" x14ac:dyDescent="0.3">
      <c r="A412" s="3" t="s">
        <v>874</v>
      </c>
      <c r="B412" s="4">
        <v>45608</v>
      </c>
      <c r="C412" s="3" t="s">
        <v>456</v>
      </c>
      <c r="D412" s="3" t="s">
        <v>19</v>
      </c>
      <c r="E412" s="3" t="s">
        <v>20</v>
      </c>
      <c r="F412" s="3" t="s">
        <v>21</v>
      </c>
      <c r="G412" s="3" t="s">
        <v>117</v>
      </c>
      <c r="H412" s="3" t="s">
        <v>125</v>
      </c>
      <c r="I412" s="3" t="s">
        <v>217</v>
      </c>
      <c r="J412" s="3">
        <v>5</v>
      </c>
      <c r="K412" s="5">
        <v>1207.81</v>
      </c>
      <c r="L412" s="5">
        <v>6039.05</v>
      </c>
      <c r="M412" s="6">
        <v>0</v>
      </c>
      <c r="N412" s="48">
        <v>2172.86</v>
      </c>
      <c r="O412" s="5">
        <v>260.13</v>
      </c>
      <c r="P412" s="3" t="s">
        <v>83</v>
      </c>
      <c r="Q412" s="3" t="s">
        <v>26</v>
      </c>
      <c r="R412" s="28">
        <f t="shared" si="6"/>
        <v>0.35980162442768315</v>
      </c>
    </row>
    <row r="413" spans="1:18" x14ac:dyDescent="0.3">
      <c r="A413" s="7" t="s">
        <v>875</v>
      </c>
      <c r="B413" s="8">
        <v>45608</v>
      </c>
      <c r="C413" s="7" t="s">
        <v>876</v>
      </c>
      <c r="D413" s="7" t="s">
        <v>29</v>
      </c>
      <c r="E413" s="7" t="s">
        <v>40</v>
      </c>
      <c r="F413" s="7" t="s">
        <v>109</v>
      </c>
      <c r="G413" s="7" t="s">
        <v>32</v>
      </c>
      <c r="H413" s="7" t="s">
        <v>33</v>
      </c>
      <c r="I413" s="7" t="s">
        <v>470</v>
      </c>
      <c r="J413" s="7">
        <v>2</v>
      </c>
      <c r="K413" s="9">
        <v>4375.68</v>
      </c>
      <c r="L413" s="9">
        <v>8313.7900000000009</v>
      </c>
      <c r="M413" s="10">
        <v>5</v>
      </c>
      <c r="N413" s="49">
        <v>931.07</v>
      </c>
      <c r="O413" s="9">
        <v>173.65</v>
      </c>
      <c r="P413" s="7" t="s">
        <v>45</v>
      </c>
      <c r="Q413" s="7" t="s">
        <v>57</v>
      </c>
      <c r="R413" s="28">
        <f t="shared" si="6"/>
        <v>0.11199104139026846</v>
      </c>
    </row>
    <row r="414" spans="1:18" x14ac:dyDescent="0.3">
      <c r="A414" s="3" t="s">
        <v>877</v>
      </c>
      <c r="B414" s="4">
        <v>45608</v>
      </c>
      <c r="C414" s="3" t="s">
        <v>878</v>
      </c>
      <c r="D414" s="3" t="s">
        <v>19</v>
      </c>
      <c r="E414" s="3" t="s">
        <v>40</v>
      </c>
      <c r="F414" s="3" t="s">
        <v>90</v>
      </c>
      <c r="G414" s="3" t="s">
        <v>117</v>
      </c>
      <c r="H414" s="3" t="s">
        <v>125</v>
      </c>
      <c r="I414" s="3" t="s">
        <v>217</v>
      </c>
      <c r="J414" s="3">
        <v>1</v>
      </c>
      <c r="K414" s="5">
        <v>2492.1</v>
      </c>
      <c r="L414" s="5">
        <v>2367.4899999999998</v>
      </c>
      <c r="M414" s="6">
        <v>5</v>
      </c>
      <c r="N414" s="48">
        <v>753.59</v>
      </c>
      <c r="O414" s="5">
        <v>254.14</v>
      </c>
      <c r="P414" s="3" t="s">
        <v>64</v>
      </c>
      <c r="Q414" s="3" t="s">
        <v>57</v>
      </c>
      <c r="R414" s="28">
        <f t="shared" si="6"/>
        <v>0.31830757468880549</v>
      </c>
    </row>
    <row r="415" spans="1:18" x14ac:dyDescent="0.3">
      <c r="A415" s="7" t="s">
        <v>879</v>
      </c>
      <c r="B415" s="8">
        <v>45608</v>
      </c>
      <c r="C415" s="7" t="s">
        <v>880</v>
      </c>
      <c r="D415" s="7" t="s">
        <v>19</v>
      </c>
      <c r="E415" s="7" t="s">
        <v>40</v>
      </c>
      <c r="F415" s="7" t="s">
        <v>77</v>
      </c>
      <c r="G415" s="7" t="s">
        <v>42</v>
      </c>
      <c r="H415" s="7" t="s">
        <v>43</v>
      </c>
      <c r="I415" s="7" t="s">
        <v>751</v>
      </c>
      <c r="J415" s="7">
        <v>4</v>
      </c>
      <c r="K415" s="9">
        <v>258.86</v>
      </c>
      <c r="L415" s="9">
        <v>776.58</v>
      </c>
      <c r="M415" s="10">
        <v>25</v>
      </c>
      <c r="N415" s="49">
        <v>4.04</v>
      </c>
      <c r="O415" s="9">
        <v>211.34</v>
      </c>
      <c r="P415" s="7" t="s">
        <v>35</v>
      </c>
      <c r="Q415" s="7" t="s">
        <v>26</v>
      </c>
      <c r="R415" s="28">
        <f t="shared" si="6"/>
        <v>5.2022972520538767E-3</v>
      </c>
    </row>
    <row r="416" spans="1:18" x14ac:dyDescent="0.3">
      <c r="A416" s="3" t="s">
        <v>881</v>
      </c>
      <c r="B416" s="4">
        <v>45609</v>
      </c>
      <c r="C416" s="3" t="s">
        <v>103</v>
      </c>
      <c r="D416" s="3" t="s">
        <v>39</v>
      </c>
      <c r="E416" s="3" t="s">
        <v>40</v>
      </c>
      <c r="F416" s="3" t="s">
        <v>109</v>
      </c>
      <c r="G416" s="3" t="s">
        <v>117</v>
      </c>
      <c r="H416" s="3" t="s">
        <v>118</v>
      </c>
      <c r="I416" s="3" t="s">
        <v>438</v>
      </c>
      <c r="J416" s="3">
        <v>2</v>
      </c>
      <c r="K416" s="5">
        <v>671.82</v>
      </c>
      <c r="L416" s="5">
        <v>1142.0899999999999</v>
      </c>
      <c r="M416" s="6">
        <v>15</v>
      </c>
      <c r="N416" s="48">
        <v>124.95</v>
      </c>
      <c r="O416" s="5">
        <v>106.02</v>
      </c>
      <c r="P416" s="3" t="s">
        <v>64</v>
      </c>
      <c r="Q416" s="3" t="s">
        <v>26</v>
      </c>
      <c r="R416" s="28">
        <f t="shared" si="6"/>
        <v>0.1094046878967507</v>
      </c>
    </row>
    <row r="417" spans="1:18" x14ac:dyDescent="0.3">
      <c r="A417" s="7" t="s">
        <v>882</v>
      </c>
      <c r="B417" s="8">
        <v>45609</v>
      </c>
      <c r="C417" s="7" t="s">
        <v>883</v>
      </c>
      <c r="D417" s="7" t="s">
        <v>39</v>
      </c>
      <c r="E417" s="7" t="s">
        <v>30</v>
      </c>
      <c r="F417" s="7" t="s">
        <v>48</v>
      </c>
      <c r="G417" s="7" t="s">
        <v>134</v>
      </c>
      <c r="H417" s="7" t="s">
        <v>91</v>
      </c>
      <c r="I417" s="7" t="s">
        <v>188</v>
      </c>
      <c r="J417" s="7">
        <v>3</v>
      </c>
      <c r="K417" s="9">
        <v>3433.09</v>
      </c>
      <c r="L417" s="9">
        <v>8754.3799999999992</v>
      </c>
      <c r="M417" s="10">
        <v>15</v>
      </c>
      <c r="N417" s="49">
        <v>1470.85</v>
      </c>
      <c r="O417" s="9">
        <v>190.73</v>
      </c>
      <c r="P417" s="7" t="s">
        <v>35</v>
      </c>
      <c r="Q417" s="7" t="s">
        <v>65</v>
      </c>
      <c r="R417" s="28">
        <f t="shared" si="6"/>
        <v>0.16801304032952649</v>
      </c>
    </row>
    <row r="418" spans="1:18" x14ac:dyDescent="0.3">
      <c r="A418" s="3" t="s">
        <v>884</v>
      </c>
      <c r="B418" s="4">
        <v>45609</v>
      </c>
      <c r="C418" s="3" t="s">
        <v>885</v>
      </c>
      <c r="D418" s="3" t="s">
        <v>19</v>
      </c>
      <c r="E418" s="3" t="s">
        <v>40</v>
      </c>
      <c r="F418" s="3" t="s">
        <v>41</v>
      </c>
      <c r="G418" s="3" t="s">
        <v>42</v>
      </c>
      <c r="H418" s="3" t="s">
        <v>81</v>
      </c>
      <c r="I418" s="3" t="s">
        <v>431</v>
      </c>
      <c r="J418" s="3">
        <v>1</v>
      </c>
      <c r="K418" s="5">
        <v>383.21</v>
      </c>
      <c r="L418" s="5">
        <v>287.41000000000003</v>
      </c>
      <c r="M418" s="6">
        <v>25</v>
      </c>
      <c r="N418" s="48">
        <v>-7.28</v>
      </c>
      <c r="O418" s="5">
        <v>68.36</v>
      </c>
      <c r="P418" s="3" t="s">
        <v>64</v>
      </c>
      <c r="Q418" s="3" t="s">
        <v>65</v>
      </c>
      <c r="R418" s="28">
        <f t="shared" si="6"/>
        <v>-2.5329668417939526E-2</v>
      </c>
    </row>
    <row r="419" spans="1:18" x14ac:dyDescent="0.3">
      <c r="A419" s="7" t="s">
        <v>886</v>
      </c>
      <c r="B419" s="8">
        <v>45609</v>
      </c>
      <c r="C419" s="7" t="s">
        <v>887</v>
      </c>
      <c r="D419" s="7" t="s">
        <v>39</v>
      </c>
      <c r="E419" s="7" t="s">
        <v>20</v>
      </c>
      <c r="F419" s="7" t="s">
        <v>54</v>
      </c>
      <c r="G419" s="7" t="s">
        <v>49</v>
      </c>
      <c r="H419" s="7" t="s">
        <v>62</v>
      </c>
      <c r="I419" s="7" t="s">
        <v>122</v>
      </c>
      <c r="J419" s="7">
        <v>2</v>
      </c>
      <c r="K419" s="9">
        <v>8488.01</v>
      </c>
      <c r="L419" s="9">
        <v>16127.22</v>
      </c>
      <c r="M419" s="10">
        <v>5</v>
      </c>
      <c r="N419" s="49">
        <v>3016.7</v>
      </c>
      <c r="O419" s="9">
        <v>110.42</v>
      </c>
      <c r="P419" s="7" t="s">
        <v>25</v>
      </c>
      <c r="Q419" s="7" t="s">
        <v>65</v>
      </c>
      <c r="R419" s="28">
        <f t="shared" si="6"/>
        <v>0.18705641765908818</v>
      </c>
    </row>
    <row r="420" spans="1:18" x14ac:dyDescent="0.3">
      <c r="A420" s="3" t="s">
        <v>888</v>
      </c>
      <c r="B420" s="4">
        <v>45609</v>
      </c>
      <c r="C420" s="3" t="s">
        <v>889</v>
      </c>
      <c r="D420" s="3" t="s">
        <v>19</v>
      </c>
      <c r="E420" s="3" t="s">
        <v>20</v>
      </c>
      <c r="F420" s="3" t="s">
        <v>129</v>
      </c>
      <c r="G420" s="3" t="s">
        <v>49</v>
      </c>
      <c r="H420" s="3" t="s">
        <v>98</v>
      </c>
      <c r="I420" s="3" t="s">
        <v>299</v>
      </c>
      <c r="J420" s="3">
        <v>1</v>
      </c>
      <c r="K420" s="5">
        <v>14387.2</v>
      </c>
      <c r="L420" s="5">
        <v>12948.48</v>
      </c>
      <c r="M420" s="6">
        <v>10</v>
      </c>
      <c r="N420" s="48">
        <v>2260.56</v>
      </c>
      <c r="O420" s="5">
        <v>272.89</v>
      </c>
      <c r="P420" s="3" t="s">
        <v>35</v>
      </c>
      <c r="Q420" s="3" t="s">
        <v>65</v>
      </c>
      <c r="R420" s="28">
        <f t="shared" si="6"/>
        <v>0.17458110913404506</v>
      </c>
    </row>
    <row r="421" spans="1:18" x14ac:dyDescent="0.3">
      <c r="A421" s="7" t="s">
        <v>890</v>
      </c>
      <c r="B421" s="8">
        <v>45609</v>
      </c>
      <c r="C421" s="7" t="s">
        <v>295</v>
      </c>
      <c r="D421" s="7" t="s">
        <v>39</v>
      </c>
      <c r="E421" s="7" t="s">
        <v>20</v>
      </c>
      <c r="F421" s="7" t="s">
        <v>21</v>
      </c>
      <c r="G421" s="7" t="s">
        <v>134</v>
      </c>
      <c r="H421" s="7" t="s">
        <v>244</v>
      </c>
      <c r="I421" s="7" t="s">
        <v>411</v>
      </c>
      <c r="J421" s="7">
        <v>1</v>
      </c>
      <c r="K421" s="9">
        <v>1966.55</v>
      </c>
      <c r="L421" s="9">
        <v>1966.55</v>
      </c>
      <c r="M421" s="10">
        <v>0</v>
      </c>
      <c r="N421" s="49">
        <v>358.68</v>
      </c>
      <c r="O421" s="9">
        <v>44.2</v>
      </c>
      <c r="P421" s="7" t="s">
        <v>83</v>
      </c>
      <c r="Q421" s="7" t="s">
        <v>65</v>
      </c>
      <c r="R421" s="28">
        <f t="shared" si="6"/>
        <v>0.18239048079123338</v>
      </c>
    </row>
    <row r="422" spans="1:18" x14ac:dyDescent="0.3">
      <c r="A422" s="3" t="s">
        <v>891</v>
      </c>
      <c r="B422" s="4">
        <v>45611</v>
      </c>
      <c r="C422" s="3" t="s">
        <v>361</v>
      </c>
      <c r="D422" s="3" t="s">
        <v>39</v>
      </c>
      <c r="E422" s="3" t="s">
        <v>40</v>
      </c>
      <c r="F422" s="3" t="s">
        <v>90</v>
      </c>
      <c r="G422" s="3" t="s">
        <v>134</v>
      </c>
      <c r="H422" s="3" t="s">
        <v>244</v>
      </c>
      <c r="I422" s="3" t="s">
        <v>411</v>
      </c>
      <c r="J422" s="3">
        <v>2</v>
      </c>
      <c r="K422" s="5">
        <v>2712.79</v>
      </c>
      <c r="L422" s="5">
        <v>4611.74</v>
      </c>
      <c r="M422" s="6">
        <v>15</v>
      </c>
      <c r="N422" s="48">
        <v>313.17</v>
      </c>
      <c r="O422" s="5">
        <v>314.39</v>
      </c>
      <c r="P422" s="3" t="s">
        <v>25</v>
      </c>
      <c r="Q422" s="3" t="s">
        <v>26</v>
      </c>
      <c r="R422" s="28">
        <f t="shared" si="6"/>
        <v>6.7907123992245882E-2</v>
      </c>
    </row>
    <row r="423" spans="1:18" x14ac:dyDescent="0.3">
      <c r="A423" s="7" t="s">
        <v>892</v>
      </c>
      <c r="B423" s="8">
        <v>45611</v>
      </c>
      <c r="C423" s="7" t="s">
        <v>312</v>
      </c>
      <c r="D423" s="7" t="s">
        <v>39</v>
      </c>
      <c r="E423" s="7" t="s">
        <v>20</v>
      </c>
      <c r="F423" s="7" t="s">
        <v>129</v>
      </c>
      <c r="G423" s="7" t="s">
        <v>49</v>
      </c>
      <c r="H423" s="7" t="s">
        <v>62</v>
      </c>
      <c r="I423" s="7" t="s">
        <v>424</v>
      </c>
      <c r="J423" s="7">
        <v>1</v>
      </c>
      <c r="K423" s="9">
        <v>2348.84</v>
      </c>
      <c r="L423" s="9">
        <v>2113.96</v>
      </c>
      <c r="M423" s="10">
        <v>10</v>
      </c>
      <c r="N423" s="49">
        <v>211.01</v>
      </c>
      <c r="O423" s="9">
        <v>167.02</v>
      </c>
      <c r="P423" s="7" t="s">
        <v>64</v>
      </c>
      <c r="Q423" s="7" t="s">
        <v>26</v>
      </c>
      <c r="R423" s="28">
        <f t="shared" si="6"/>
        <v>9.9817404302825027E-2</v>
      </c>
    </row>
    <row r="424" spans="1:18" x14ac:dyDescent="0.3">
      <c r="A424" s="3" t="s">
        <v>893</v>
      </c>
      <c r="B424" s="4">
        <v>45611</v>
      </c>
      <c r="C424" s="3" t="s">
        <v>894</v>
      </c>
      <c r="D424" s="3" t="s">
        <v>39</v>
      </c>
      <c r="E424" s="3" t="s">
        <v>60</v>
      </c>
      <c r="F424" s="3" t="s">
        <v>68</v>
      </c>
      <c r="G424" s="3" t="s">
        <v>117</v>
      </c>
      <c r="H424" s="3" t="s">
        <v>125</v>
      </c>
      <c r="I424" s="3" t="s">
        <v>126</v>
      </c>
      <c r="J424" s="3">
        <v>2</v>
      </c>
      <c r="K424" s="5">
        <v>1109.75</v>
      </c>
      <c r="L424" s="5">
        <v>2219.5</v>
      </c>
      <c r="M424" s="6">
        <v>0</v>
      </c>
      <c r="N424" s="48">
        <v>616.92999999999995</v>
      </c>
      <c r="O424" s="5">
        <v>356.9</v>
      </c>
      <c r="P424" s="3" t="s">
        <v>45</v>
      </c>
      <c r="Q424" s="3" t="s">
        <v>26</v>
      </c>
      <c r="R424" s="28">
        <f t="shared" si="6"/>
        <v>0.27795899977472399</v>
      </c>
    </row>
    <row r="425" spans="1:18" x14ac:dyDescent="0.3">
      <c r="A425" s="7" t="s">
        <v>895</v>
      </c>
      <c r="B425" s="8">
        <v>45612</v>
      </c>
      <c r="C425" s="7" t="s">
        <v>896</v>
      </c>
      <c r="D425" s="7" t="s">
        <v>19</v>
      </c>
      <c r="E425" s="7" t="s">
        <v>60</v>
      </c>
      <c r="F425" s="7" t="s">
        <v>68</v>
      </c>
      <c r="G425" s="7" t="s">
        <v>49</v>
      </c>
      <c r="H425" s="7" t="s">
        <v>98</v>
      </c>
      <c r="I425" s="7" t="s">
        <v>763</v>
      </c>
      <c r="J425" s="7">
        <v>1</v>
      </c>
      <c r="K425" s="9">
        <v>8392.56</v>
      </c>
      <c r="L425" s="9">
        <v>6294.42</v>
      </c>
      <c r="M425" s="10">
        <v>25</v>
      </c>
      <c r="N425" s="49">
        <v>186.8</v>
      </c>
      <c r="O425" s="9">
        <v>273.08</v>
      </c>
      <c r="P425" s="7" t="s">
        <v>64</v>
      </c>
      <c r="Q425" s="7" t="s">
        <v>57</v>
      </c>
      <c r="R425" s="28">
        <f t="shared" si="6"/>
        <v>2.9677079063678623E-2</v>
      </c>
    </row>
    <row r="426" spans="1:18" x14ac:dyDescent="0.3">
      <c r="A426" s="3" t="s">
        <v>897</v>
      </c>
      <c r="B426" s="4">
        <v>45613</v>
      </c>
      <c r="C426" s="3" t="s">
        <v>898</v>
      </c>
      <c r="D426" s="3" t="s">
        <v>39</v>
      </c>
      <c r="E426" s="3" t="s">
        <v>20</v>
      </c>
      <c r="F426" s="3" t="s">
        <v>129</v>
      </c>
      <c r="G426" s="3" t="s">
        <v>134</v>
      </c>
      <c r="H426" s="3" t="s">
        <v>244</v>
      </c>
      <c r="I426" s="3" t="s">
        <v>334</v>
      </c>
      <c r="J426" s="3">
        <v>1</v>
      </c>
      <c r="K426" s="5">
        <v>4376.84</v>
      </c>
      <c r="L426" s="5">
        <v>3939.16</v>
      </c>
      <c r="M426" s="6">
        <v>10</v>
      </c>
      <c r="N426" s="48">
        <v>577.63</v>
      </c>
      <c r="O426" s="5">
        <v>66.260000000000005</v>
      </c>
      <c r="P426" s="3" t="s">
        <v>35</v>
      </c>
      <c r="Q426" s="3" t="s">
        <v>26</v>
      </c>
      <c r="R426" s="28">
        <f t="shared" si="6"/>
        <v>0.14663786187918237</v>
      </c>
    </row>
    <row r="427" spans="1:18" x14ac:dyDescent="0.3">
      <c r="A427" s="7" t="s">
        <v>899</v>
      </c>
      <c r="B427" s="8">
        <v>45613</v>
      </c>
      <c r="C427" s="7" t="s">
        <v>358</v>
      </c>
      <c r="D427" s="7" t="s">
        <v>19</v>
      </c>
      <c r="E427" s="7" t="s">
        <v>40</v>
      </c>
      <c r="F427" s="7" t="s">
        <v>41</v>
      </c>
      <c r="G427" s="7" t="s">
        <v>22</v>
      </c>
      <c r="H427" s="7" t="s">
        <v>105</v>
      </c>
      <c r="I427" s="7" t="s">
        <v>629</v>
      </c>
      <c r="J427" s="7">
        <v>5</v>
      </c>
      <c r="K427" s="9">
        <v>34036.81</v>
      </c>
      <c r="L427" s="9">
        <v>144656.44</v>
      </c>
      <c r="M427" s="10">
        <v>15</v>
      </c>
      <c r="N427" s="49">
        <v>-2947.57</v>
      </c>
      <c r="O427" s="9">
        <v>168.66</v>
      </c>
      <c r="P427" s="7" t="s">
        <v>25</v>
      </c>
      <c r="Q427" s="7" t="s">
        <v>65</v>
      </c>
      <c r="R427" s="28">
        <f t="shared" si="6"/>
        <v>-2.0376348263513189E-2</v>
      </c>
    </row>
    <row r="428" spans="1:18" x14ac:dyDescent="0.3">
      <c r="A428" s="3" t="s">
        <v>900</v>
      </c>
      <c r="B428" s="4">
        <v>45614</v>
      </c>
      <c r="C428" s="3" t="s">
        <v>582</v>
      </c>
      <c r="D428" s="3" t="s">
        <v>39</v>
      </c>
      <c r="E428" s="3" t="s">
        <v>40</v>
      </c>
      <c r="F428" s="3" t="s">
        <v>90</v>
      </c>
      <c r="G428" s="3" t="s">
        <v>49</v>
      </c>
      <c r="H428" s="3" t="s">
        <v>50</v>
      </c>
      <c r="I428" s="3" t="s">
        <v>485</v>
      </c>
      <c r="J428" s="3">
        <v>4</v>
      </c>
      <c r="K428" s="5">
        <v>3574.63</v>
      </c>
      <c r="L428" s="5">
        <v>10723.89</v>
      </c>
      <c r="M428" s="6">
        <v>25</v>
      </c>
      <c r="N428" s="48">
        <v>-136.35</v>
      </c>
      <c r="O428" s="5">
        <v>96.99</v>
      </c>
      <c r="P428" s="3" t="s">
        <v>64</v>
      </c>
      <c r="Q428" s="3" t="s">
        <v>26</v>
      </c>
      <c r="R428" s="28">
        <f t="shared" si="6"/>
        <v>-1.2714602630202286E-2</v>
      </c>
    </row>
    <row r="429" spans="1:18" x14ac:dyDescent="0.3">
      <c r="A429" s="7" t="s">
        <v>901</v>
      </c>
      <c r="B429" s="8">
        <v>45614</v>
      </c>
      <c r="C429" s="7" t="s">
        <v>902</v>
      </c>
      <c r="D429" s="7" t="s">
        <v>19</v>
      </c>
      <c r="E429" s="7" t="s">
        <v>20</v>
      </c>
      <c r="F429" s="7" t="s">
        <v>54</v>
      </c>
      <c r="G429" s="7" t="s">
        <v>22</v>
      </c>
      <c r="H429" s="7" t="s">
        <v>55</v>
      </c>
      <c r="I429" s="7" t="s">
        <v>323</v>
      </c>
      <c r="J429" s="7">
        <v>3</v>
      </c>
      <c r="K429" s="9">
        <v>12013.64</v>
      </c>
      <c r="L429" s="9">
        <v>27030.69</v>
      </c>
      <c r="M429" s="10">
        <v>25</v>
      </c>
      <c r="N429" s="49">
        <v>-301.32</v>
      </c>
      <c r="O429" s="9">
        <v>238.18</v>
      </c>
      <c r="P429" s="7" t="s">
        <v>25</v>
      </c>
      <c r="Q429" s="7" t="s">
        <v>65</v>
      </c>
      <c r="R429" s="28">
        <f t="shared" si="6"/>
        <v>-1.1147329202473188E-2</v>
      </c>
    </row>
    <row r="430" spans="1:18" x14ac:dyDescent="0.3">
      <c r="A430" s="3" t="s">
        <v>903</v>
      </c>
      <c r="B430" s="4">
        <v>45615</v>
      </c>
      <c r="C430" s="3" t="s">
        <v>904</v>
      </c>
      <c r="D430" s="3" t="s">
        <v>19</v>
      </c>
      <c r="E430" s="3" t="s">
        <v>40</v>
      </c>
      <c r="F430" s="3" t="s">
        <v>41</v>
      </c>
      <c r="G430" s="3" t="s">
        <v>42</v>
      </c>
      <c r="H430" s="3" t="s">
        <v>164</v>
      </c>
      <c r="I430" s="3" t="s">
        <v>199</v>
      </c>
      <c r="J430" s="3">
        <v>2</v>
      </c>
      <c r="K430" s="5">
        <v>1131.1600000000001</v>
      </c>
      <c r="L430" s="5">
        <v>2036.09</v>
      </c>
      <c r="M430" s="6">
        <v>10</v>
      </c>
      <c r="N430" s="48">
        <v>223.16</v>
      </c>
      <c r="O430" s="5">
        <v>157.52000000000001</v>
      </c>
      <c r="P430" s="3" t="s">
        <v>64</v>
      </c>
      <c r="Q430" s="3" t="s">
        <v>65</v>
      </c>
      <c r="R430" s="28">
        <f t="shared" si="6"/>
        <v>0.10960222779936055</v>
      </c>
    </row>
    <row r="431" spans="1:18" x14ac:dyDescent="0.3">
      <c r="A431" s="7" t="s">
        <v>905</v>
      </c>
      <c r="B431" s="8">
        <v>45615</v>
      </c>
      <c r="C431" s="7" t="s">
        <v>906</v>
      </c>
      <c r="D431" s="7" t="s">
        <v>39</v>
      </c>
      <c r="E431" s="7" t="s">
        <v>40</v>
      </c>
      <c r="F431" s="7" t="s">
        <v>77</v>
      </c>
      <c r="G431" s="7" t="s">
        <v>42</v>
      </c>
      <c r="H431" s="7" t="s">
        <v>164</v>
      </c>
      <c r="I431" s="7" t="s">
        <v>853</v>
      </c>
      <c r="J431" s="7">
        <v>1</v>
      </c>
      <c r="K431" s="9">
        <v>1061.98</v>
      </c>
      <c r="L431" s="9">
        <v>902.68</v>
      </c>
      <c r="M431" s="10">
        <v>15</v>
      </c>
      <c r="N431" s="49">
        <v>-14.51</v>
      </c>
      <c r="O431" s="9">
        <v>50.7</v>
      </c>
      <c r="P431" s="7" t="s">
        <v>64</v>
      </c>
      <c r="Q431" s="7" t="s">
        <v>65</v>
      </c>
      <c r="R431" s="28">
        <f t="shared" si="6"/>
        <v>-1.6074356361058181E-2</v>
      </c>
    </row>
    <row r="432" spans="1:18" x14ac:dyDescent="0.3">
      <c r="A432" s="3" t="s">
        <v>907</v>
      </c>
      <c r="B432" s="4">
        <v>45615</v>
      </c>
      <c r="C432" s="3" t="s">
        <v>908</v>
      </c>
      <c r="D432" s="3" t="s">
        <v>39</v>
      </c>
      <c r="E432" s="3" t="s">
        <v>20</v>
      </c>
      <c r="F432" s="3" t="s">
        <v>129</v>
      </c>
      <c r="G432" s="3" t="s">
        <v>42</v>
      </c>
      <c r="H432" s="3" t="s">
        <v>164</v>
      </c>
      <c r="I432" s="3" t="s">
        <v>853</v>
      </c>
      <c r="J432" s="3">
        <v>2</v>
      </c>
      <c r="K432" s="5">
        <v>979.59</v>
      </c>
      <c r="L432" s="5">
        <v>1665.3</v>
      </c>
      <c r="M432" s="6">
        <v>15</v>
      </c>
      <c r="N432" s="48">
        <v>49.74</v>
      </c>
      <c r="O432" s="5">
        <v>67.05</v>
      </c>
      <c r="P432" s="3" t="s">
        <v>35</v>
      </c>
      <c r="Q432" s="3" t="s">
        <v>65</v>
      </c>
      <c r="R432" s="28">
        <f t="shared" si="6"/>
        <v>2.9868492163574133E-2</v>
      </c>
    </row>
    <row r="433" spans="1:18" x14ac:dyDescent="0.3">
      <c r="A433" s="7" t="s">
        <v>909</v>
      </c>
      <c r="B433" s="8">
        <v>45615</v>
      </c>
      <c r="C433" s="7" t="s">
        <v>910</v>
      </c>
      <c r="D433" s="7" t="s">
        <v>29</v>
      </c>
      <c r="E433" s="7" t="s">
        <v>40</v>
      </c>
      <c r="F433" s="7" t="s">
        <v>77</v>
      </c>
      <c r="G433" s="7" t="s">
        <v>32</v>
      </c>
      <c r="H433" s="7" t="s">
        <v>33</v>
      </c>
      <c r="I433" s="7" t="s">
        <v>449</v>
      </c>
      <c r="J433" s="7">
        <v>3</v>
      </c>
      <c r="K433" s="9">
        <v>7945.94</v>
      </c>
      <c r="L433" s="9">
        <v>21454.04</v>
      </c>
      <c r="M433" s="10">
        <v>10</v>
      </c>
      <c r="N433" s="49">
        <v>2303.7600000000002</v>
      </c>
      <c r="O433" s="9">
        <v>304.86</v>
      </c>
      <c r="P433" s="7" t="s">
        <v>64</v>
      </c>
      <c r="Q433" s="7" t="s">
        <v>26</v>
      </c>
      <c r="R433" s="28">
        <f t="shared" si="6"/>
        <v>0.10738117389545279</v>
      </c>
    </row>
    <row r="434" spans="1:18" x14ac:dyDescent="0.3">
      <c r="A434" s="3" t="s">
        <v>911</v>
      </c>
      <c r="B434" s="4">
        <v>45616</v>
      </c>
      <c r="C434" s="3" t="s">
        <v>912</v>
      </c>
      <c r="D434" s="3" t="s">
        <v>39</v>
      </c>
      <c r="E434" s="3" t="s">
        <v>20</v>
      </c>
      <c r="F434" s="3" t="s">
        <v>21</v>
      </c>
      <c r="G434" s="3" t="s">
        <v>117</v>
      </c>
      <c r="H434" s="3" t="s">
        <v>153</v>
      </c>
      <c r="I434" s="3" t="s">
        <v>356</v>
      </c>
      <c r="J434" s="3">
        <v>1</v>
      </c>
      <c r="K434" s="5">
        <v>780.31</v>
      </c>
      <c r="L434" s="5">
        <v>741.29</v>
      </c>
      <c r="M434" s="6">
        <v>5</v>
      </c>
      <c r="N434" s="48">
        <v>182.98</v>
      </c>
      <c r="O434" s="5">
        <v>266.02</v>
      </c>
      <c r="P434" s="3" t="s">
        <v>64</v>
      </c>
      <c r="Q434" s="3" t="s">
        <v>26</v>
      </c>
      <c r="R434" s="28">
        <f t="shared" si="6"/>
        <v>0.24683996816360668</v>
      </c>
    </row>
    <row r="435" spans="1:18" x14ac:dyDescent="0.3">
      <c r="A435" s="7" t="s">
        <v>913</v>
      </c>
      <c r="B435" s="8">
        <v>45617</v>
      </c>
      <c r="C435" s="7" t="s">
        <v>914</v>
      </c>
      <c r="D435" s="7" t="s">
        <v>29</v>
      </c>
      <c r="E435" s="7" t="s">
        <v>60</v>
      </c>
      <c r="F435" s="7" t="s">
        <v>104</v>
      </c>
      <c r="G435" s="7" t="s">
        <v>42</v>
      </c>
      <c r="H435" s="7" t="s">
        <v>81</v>
      </c>
      <c r="I435" s="7" t="s">
        <v>431</v>
      </c>
      <c r="J435" s="7">
        <v>4</v>
      </c>
      <c r="K435" s="9">
        <v>880.6</v>
      </c>
      <c r="L435" s="9">
        <v>3346.28</v>
      </c>
      <c r="M435" s="10">
        <v>5</v>
      </c>
      <c r="N435" s="49">
        <v>492.49</v>
      </c>
      <c r="O435" s="9">
        <v>349.67</v>
      </c>
      <c r="P435" s="7" t="s">
        <v>64</v>
      </c>
      <c r="Q435" s="7" t="s">
        <v>65</v>
      </c>
      <c r="R435" s="28">
        <f t="shared" si="6"/>
        <v>0.14717537085958138</v>
      </c>
    </row>
    <row r="436" spans="1:18" x14ac:dyDescent="0.3">
      <c r="A436" s="3" t="s">
        <v>915</v>
      </c>
      <c r="B436" s="4">
        <v>45617</v>
      </c>
      <c r="C436" s="3" t="s">
        <v>395</v>
      </c>
      <c r="D436" s="3" t="s">
        <v>29</v>
      </c>
      <c r="E436" s="3" t="s">
        <v>40</v>
      </c>
      <c r="F436" s="3" t="s">
        <v>77</v>
      </c>
      <c r="G436" s="3" t="s">
        <v>134</v>
      </c>
      <c r="H436" s="3" t="s">
        <v>139</v>
      </c>
      <c r="I436" s="3" t="s">
        <v>587</v>
      </c>
      <c r="J436" s="3">
        <v>2</v>
      </c>
      <c r="K436" s="5">
        <v>2787.67</v>
      </c>
      <c r="L436" s="5">
        <v>4739.04</v>
      </c>
      <c r="M436" s="6">
        <v>15</v>
      </c>
      <c r="N436" s="48">
        <v>382.39</v>
      </c>
      <c r="O436" s="5">
        <v>281.32</v>
      </c>
      <c r="P436" s="3" t="s">
        <v>83</v>
      </c>
      <c r="Q436" s="3" t="s">
        <v>26</v>
      </c>
      <c r="R436" s="28">
        <f t="shared" si="6"/>
        <v>8.0689337924980578E-2</v>
      </c>
    </row>
    <row r="437" spans="1:18" x14ac:dyDescent="0.3">
      <c r="A437" s="7" t="s">
        <v>916</v>
      </c>
      <c r="B437" s="8">
        <v>45617</v>
      </c>
      <c r="C437" s="7" t="s">
        <v>822</v>
      </c>
      <c r="D437" s="7" t="s">
        <v>19</v>
      </c>
      <c r="E437" s="7" t="s">
        <v>60</v>
      </c>
      <c r="F437" s="7" t="s">
        <v>104</v>
      </c>
      <c r="G437" s="7" t="s">
        <v>117</v>
      </c>
      <c r="H437" s="7" t="s">
        <v>125</v>
      </c>
      <c r="I437" s="7" t="s">
        <v>454</v>
      </c>
      <c r="J437" s="7">
        <v>1</v>
      </c>
      <c r="K437" s="9">
        <v>919.69</v>
      </c>
      <c r="L437" s="9">
        <v>873.71</v>
      </c>
      <c r="M437" s="10">
        <v>5</v>
      </c>
      <c r="N437" s="49">
        <v>247.07</v>
      </c>
      <c r="O437" s="9">
        <v>307.14999999999998</v>
      </c>
      <c r="P437" s="7" t="s">
        <v>35</v>
      </c>
      <c r="Q437" s="7" t="s">
        <v>57</v>
      </c>
      <c r="R437" s="28">
        <f t="shared" si="6"/>
        <v>0.28278261665770105</v>
      </c>
    </row>
    <row r="438" spans="1:18" x14ac:dyDescent="0.3">
      <c r="A438" s="3" t="s">
        <v>917</v>
      </c>
      <c r="B438" s="4">
        <v>45617</v>
      </c>
      <c r="C438" s="3" t="s">
        <v>918</v>
      </c>
      <c r="D438" s="3" t="s">
        <v>39</v>
      </c>
      <c r="E438" s="3" t="s">
        <v>40</v>
      </c>
      <c r="F438" s="3" t="s">
        <v>109</v>
      </c>
      <c r="G438" s="3" t="s">
        <v>49</v>
      </c>
      <c r="H438" s="3" t="s">
        <v>50</v>
      </c>
      <c r="I438" s="3" t="s">
        <v>485</v>
      </c>
      <c r="J438" s="3">
        <v>1</v>
      </c>
      <c r="K438" s="5">
        <v>11291.73</v>
      </c>
      <c r="L438" s="5">
        <v>10162.56</v>
      </c>
      <c r="M438" s="6">
        <v>10</v>
      </c>
      <c r="N438" s="48">
        <v>1509.63</v>
      </c>
      <c r="O438" s="5">
        <v>258.95999999999998</v>
      </c>
      <c r="P438" s="3" t="s">
        <v>35</v>
      </c>
      <c r="Q438" s="3" t="s">
        <v>26</v>
      </c>
      <c r="R438" s="28">
        <f t="shared" si="6"/>
        <v>0.14854820045342906</v>
      </c>
    </row>
    <row r="439" spans="1:18" x14ac:dyDescent="0.3">
      <c r="A439" s="7" t="s">
        <v>919</v>
      </c>
      <c r="B439" s="8">
        <v>45618</v>
      </c>
      <c r="C439" s="7" t="s">
        <v>361</v>
      </c>
      <c r="D439" s="7" t="s">
        <v>19</v>
      </c>
      <c r="E439" s="7" t="s">
        <v>40</v>
      </c>
      <c r="F439" s="7" t="s">
        <v>109</v>
      </c>
      <c r="G439" s="7" t="s">
        <v>117</v>
      </c>
      <c r="H439" s="7" t="s">
        <v>153</v>
      </c>
      <c r="I439" s="7" t="s">
        <v>356</v>
      </c>
      <c r="J439" s="7">
        <v>2</v>
      </c>
      <c r="K439" s="9">
        <v>1629.09</v>
      </c>
      <c r="L439" s="9">
        <v>2769.45</v>
      </c>
      <c r="M439" s="10">
        <v>15</v>
      </c>
      <c r="N439" s="49">
        <v>648.71</v>
      </c>
      <c r="O439" s="9">
        <v>223.94</v>
      </c>
      <c r="P439" s="7" t="s">
        <v>45</v>
      </c>
      <c r="Q439" s="7" t="s">
        <v>26</v>
      </c>
      <c r="R439" s="28">
        <f t="shared" si="6"/>
        <v>0.23423784505948839</v>
      </c>
    </row>
    <row r="440" spans="1:18" x14ac:dyDescent="0.3">
      <c r="A440" s="3" t="s">
        <v>920</v>
      </c>
      <c r="B440" s="4">
        <v>45619</v>
      </c>
      <c r="C440" s="3" t="s">
        <v>610</v>
      </c>
      <c r="D440" s="3" t="s">
        <v>39</v>
      </c>
      <c r="E440" s="3" t="s">
        <v>20</v>
      </c>
      <c r="F440" s="3" t="s">
        <v>54</v>
      </c>
      <c r="G440" s="3" t="s">
        <v>42</v>
      </c>
      <c r="H440" s="3" t="s">
        <v>164</v>
      </c>
      <c r="I440" s="3" t="s">
        <v>199</v>
      </c>
      <c r="J440" s="3">
        <v>1</v>
      </c>
      <c r="K440" s="5">
        <v>695.04</v>
      </c>
      <c r="L440" s="5">
        <v>625.54</v>
      </c>
      <c r="M440" s="6">
        <v>10</v>
      </c>
      <c r="N440" s="48">
        <v>87.88</v>
      </c>
      <c r="O440" s="5">
        <v>183.34</v>
      </c>
      <c r="P440" s="3" t="s">
        <v>64</v>
      </c>
      <c r="Q440" s="3" t="s">
        <v>26</v>
      </c>
      <c r="R440" s="28">
        <f t="shared" si="6"/>
        <v>0.14048661956069955</v>
      </c>
    </row>
    <row r="441" spans="1:18" x14ac:dyDescent="0.3">
      <c r="A441" s="7" t="s">
        <v>921</v>
      </c>
      <c r="B441" s="8">
        <v>45619</v>
      </c>
      <c r="C441" s="7" t="s">
        <v>922</v>
      </c>
      <c r="D441" s="7" t="s">
        <v>39</v>
      </c>
      <c r="E441" s="7" t="s">
        <v>30</v>
      </c>
      <c r="F441" s="7" t="s">
        <v>226</v>
      </c>
      <c r="G441" s="7" t="s">
        <v>134</v>
      </c>
      <c r="H441" s="7" t="s">
        <v>135</v>
      </c>
      <c r="I441" s="7" t="s">
        <v>185</v>
      </c>
      <c r="J441" s="7">
        <v>1</v>
      </c>
      <c r="K441" s="9">
        <v>737.26</v>
      </c>
      <c r="L441" s="9">
        <v>663.53</v>
      </c>
      <c r="M441" s="10">
        <v>10</v>
      </c>
      <c r="N441" s="49">
        <v>148.35</v>
      </c>
      <c r="O441" s="9">
        <v>285.97000000000003</v>
      </c>
      <c r="P441" s="7" t="s">
        <v>35</v>
      </c>
      <c r="Q441" s="7" t="s">
        <v>65</v>
      </c>
      <c r="R441" s="28">
        <f t="shared" si="6"/>
        <v>0.22357692945307672</v>
      </c>
    </row>
    <row r="442" spans="1:18" x14ac:dyDescent="0.3">
      <c r="A442" s="3" t="s">
        <v>923</v>
      </c>
      <c r="B442" s="4">
        <v>45619</v>
      </c>
      <c r="C442" s="3" t="s">
        <v>924</v>
      </c>
      <c r="D442" s="3" t="s">
        <v>19</v>
      </c>
      <c r="E442" s="3" t="s">
        <v>30</v>
      </c>
      <c r="F442" s="3" t="s">
        <v>48</v>
      </c>
      <c r="G442" s="3" t="s">
        <v>134</v>
      </c>
      <c r="H442" s="3" t="s">
        <v>135</v>
      </c>
      <c r="I442" s="3" t="s">
        <v>185</v>
      </c>
      <c r="J442" s="3">
        <v>3</v>
      </c>
      <c r="K442" s="5">
        <v>3222</v>
      </c>
      <c r="L442" s="5">
        <v>7732.8</v>
      </c>
      <c r="M442" s="6">
        <v>20</v>
      </c>
      <c r="N442" s="48">
        <v>695.68</v>
      </c>
      <c r="O442" s="5">
        <v>75.61</v>
      </c>
      <c r="P442" s="3" t="s">
        <v>45</v>
      </c>
      <c r="Q442" s="3" t="s">
        <v>26</v>
      </c>
      <c r="R442" s="28">
        <f t="shared" si="6"/>
        <v>8.996482516035588E-2</v>
      </c>
    </row>
    <row r="443" spans="1:18" x14ac:dyDescent="0.3">
      <c r="A443" s="7" t="s">
        <v>925</v>
      </c>
      <c r="B443" s="8">
        <v>45619</v>
      </c>
      <c r="C443" s="7" t="s">
        <v>926</v>
      </c>
      <c r="D443" s="7" t="s">
        <v>39</v>
      </c>
      <c r="E443" s="7" t="s">
        <v>30</v>
      </c>
      <c r="F443" s="7" t="s">
        <v>48</v>
      </c>
      <c r="G443" s="7" t="s">
        <v>117</v>
      </c>
      <c r="H443" s="7" t="s">
        <v>130</v>
      </c>
      <c r="I443" s="7" t="s">
        <v>131</v>
      </c>
      <c r="J443" s="7">
        <v>1</v>
      </c>
      <c r="K443" s="9">
        <v>1541.2</v>
      </c>
      <c r="L443" s="9">
        <v>1541.2</v>
      </c>
      <c r="M443" s="10">
        <v>0</v>
      </c>
      <c r="N443" s="49">
        <v>369.72</v>
      </c>
      <c r="O443" s="9">
        <v>235.11</v>
      </c>
      <c r="P443" s="7" t="s">
        <v>35</v>
      </c>
      <c r="Q443" s="7" t="s">
        <v>65</v>
      </c>
      <c r="R443" s="28">
        <f t="shared" si="6"/>
        <v>0.2398909940306255</v>
      </c>
    </row>
    <row r="444" spans="1:18" x14ac:dyDescent="0.3">
      <c r="A444" s="3" t="s">
        <v>927</v>
      </c>
      <c r="B444" s="4">
        <v>45620</v>
      </c>
      <c r="C444" s="3" t="s">
        <v>430</v>
      </c>
      <c r="D444" s="3" t="s">
        <v>39</v>
      </c>
      <c r="E444" s="3" t="s">
        <v>40</v>
      </c>
      <c r="F444" s="3" t="s">
        <v>77</v>
      </c>
      <c r="G444" s="3" t="s">
        <v>32</v>
      </c>
      <c r="H444" s="3" t="s">
        <v>33</v>
      </c>
      <c r="I444" s="3" t="s">
        <v>470</v>
      </c>
      <c r="J444" s="3">
        <v>4</v>
      </c>
      <c r="K444" s="5">
        <v>10781.09</v>
      </c>
      <c r="L444" s="5">
        <v>34499.49</v>
      </c>
      <c r="M444" s="6">
        <v>20</v>
      </c>
      <c r="N444" s="48">
        <v>1840.45</v>
      </c>
      <c r="O444" s="5">
        <v>200.17</v>
      </c>
      <c r="P444" s="3" t="s">
        <v>64</v>
      </c>
      <c r="Q444" s="3" t="s">
        <v>65</v>
      </c>
      <c r="R444" s="28">
        <f t="shared" si="6"/>
        <v>5.3347165421865662E-2</v>
      </c>
    </row>
    <row r="445" spans="1:18" x14ac:dyDescent="0.3">
      <c r="A445" s="7" t="s">
        <v>928</v>
      </c>
      <c r="B445" s="8">
        <v>45620</v>
      </c>
      <c r="C445" s="7" t="s">
        <v>536</v>
      </c>
      <c r="D445" s="7" t="s">
        <v>19</v>
      </c>
      <c r="E445" s="7" t="s">
        <v>30</v>
      </c>
      <c r="F445" s="7" t="s">
        <v>226</v>
      </c>
      <c r="G445" s="7" t="s">
        <v>32</v>
      </c>
      <c r="H445" s="7" t="s">
        <v>86</v>
      </c>
      <c r="I445" s="7" t="s">
        <v>211</v>
      </c>
      <c r="J445" s="7">
        <v>1</v>
      </c>
      <c r="K445" s="9">
        <v>1089.8699999999999</v>
      </c>
      <c r="L445" s="9">
        <v>980.88</v>
      </c>
      <c r="M445" s="10">
        <v>10</v>
      </c>
      <c r="N445" s="49">
        <v>122.1</v>
      </c>
      <c r="O445" s="9">
        <v>31.01</v>
      </c>
      <c r="P445" s="7" t="s">
        <v>35</v>
      </c>
      <c r="Q445" s="7" t="s">
        <v>57</v>
      </c>
      <c r="R445" s="28">
        <f t="shared" si="6"/>
        <v>0.12448005872277954</v>
      </c>
    </row>
    <row r="446" spans="1:18" x14ac:dyDescent="0.3">
      <c r="A446" s="3" t="s">
        <v>929</v>
      </c>
      <c r="B446" s="4">
        <v>45620</v>
      </c>
      <c r="C446" s="3" t="s">
        <v>885</v>
      </c>
      <c r="D446" s="3" t="s">
        <v>39</v>
      </c>
      <c r="E446" s="3" t="s">
        <v>30</v>
      </c>
      <c r="F446" s="3" t="s">
        <v>31</v>
      </c>
      <c r="G446" s="3" t="s">
        <v>49</v>
      </c>
      <c r="H446" s="3" t="s">
        <v>62</v>
      </c>
      <c r="I446" s="3" t="s">
        <v>424</v>
      </c>
      <c r="J446" s="3">
        <v>2</v>
      </c>
      <c r="K446" s="5">
        <v>5945.42</v>
      </c>
      <c r="L446" s="5">
        <v>10701.76</v>
      </c>
      <c r="M446" s="6">
        <v>10</v>
      </c>
      <c r="N446" s="48">
        <v>1325.58</v>
      </c>
      <c r="O446" s="5">
        <v>241.8</v>
      </c>
      <c r="P446" s="3" t="s">
        <v>45</v>
      </c>
      <c r="Q446" s="3" t="s">
        <v>65</v>
      </c>
      <c r="R446" s="28">
        <f t="shared" si="6"/>
        <v>0.12386560715246837</v>
      </c>
    </row>
    <row r="447" spans="1:18" x14ac:dyDescent="0.3">
      <c r="A447" s="7" t="s">
        <v>930</v>
      </c>
      <c r="B447" s="8">
        <v>45620</v>
      </c>
      <c r="C447" s="7" t="s">
        <v>406</v>
      </c>
      <c r="D447" s="7" t="s">
        <v>39</v>
      </c>
      <c r="E447" s="7" t="s">
        <v>40</v>
      </c>
      <c r="F447" s="7" t="s">
        <v>109</v>
      </c>
      <c r="G447" s="7" t="s">
        <v>49</v>
      </c>
      <c r="H447" s="7" t="s">
        <v>62</v>
      </c>
      <c r="I447" s="7" t="s">
        <v>424</v>
      </c>
      <c r="J447" s="7">
        <v>1</v>
      </c>
      <c r="K447" s="9">
        <v>9210.9</v>
      </c>
      <c r="L447" s="9">
        <v>8750.35</v>
      </c>
      <c r="M447" s="10">
        <v>5</v>
      </c>
      <c r="N447" s="49">
        <v>1924.39</v>
      </c>
      <c r="O447" s="9">
        <v>128.82</v>
      </c>
      <c r="P447" s="7" t="s">
        <v>64</v>
      </c>
      <c r="Q447" s="7" t="s">
        <v>65</v>
      </c>
      <c r="R447" s="28">
        <f t="shared" si="6"/>
        <v>0.21992148885473153</v>
      </c>
    </row>
    <row r="448" spans="1:18" x14ac:dyDescent="0.3">
      <c r="A448" s="3" t="s">
        <v>931</v>
      </c>
      <c r="B448" s="4">
        <v>45621</v>
      </c>
      <c r="C448" s="3" t="s">
        <v>348</v>
      </c>
      <c r="D448" s="3" t="s">
        <v>39</v>
      </c>
      <c r="E448" s="3" t="s">
        <v>40</v>
      </c>
      <c r="F448" s="3" t="s">
        <v>41</v>
      </c>
      <c r="G448" s="3" t="s">
        <v>22</v>
      </c>
      <c r="H448" s="3" t="s">
        <v>624</v>
      </c>
      <c r="I448" s="3" t="s">
        <v>932</v>
      </c>
      <c r="J448" s="3">
        <v>2</v>
      </c>
      <c r="K448" s="5">
        <v>31659.15</v>
      </c>
      <c r="L448" s="5">
        <v>47488.73</v>
      </c>
      <c r="M448" s="6">
        <v>25</v>
      </c>
      <c r="N448" s="48">
        <v>-1399.58</v>
      </c>
      <c r="O448" s="5">
        <v>237.58</v>
      </c>
      <c r="P448" s="3" t="s">
        <v>35</v>
      </c>
      <c r="Q448" s="3" t="s">
        <v>26</v>
      </c>
      <c r="R448" s="28">
        <f t="shared" si="6"/>
        <v>-2.9471834685829666E-2</v>
      </c>
    </row>
    <row r="449" spans="1:18" x14ac:dyDescent="0.3">
      <c r="A449" s="7" t="s">
        <v>933</v>
      </c>
      <c r="B449" s="8">
        <v>45621</v>
      </c>
      <c r="C449" s="7" t="s">
        <v>501</v>
      </c>
      <c r="D449" s="7" t="s">
        <v>39</v>
      </c>
      <c r="E449" s="7" t="s">
        <v>60</v>
      </c>
      <c r="F449" s="7" t="s">
        <v>61</v>
      </c>
      <c r="G449" s="7" t="s">
        <v>22</v>
      </c>
      <c r="H449" s="7" t="s">
        <v>55</v>
      </c>
      <c r="I449" s="7" t="s">
        <v>416</v>
      </c>
      <c r="J449" s="7">
        <v>1</v>
      </c>
      <c r="K449" s="9">
        <v>14495.89</v>
      </c>
      <c r="L449" s="9">
        <v>10871.92</v>
      </c>
      <c r="M449" s="10">
        <v>25</v>
      </c>
      <c r="N449" s="49">
        <v>-466.54</v>
      </c>
      <c r="O449" s="9">
        <v>72.540000000000006</v>
      </c>
      <c r="P449" s="7" t="s">
        <v>25</v>
      </c>
      <c r="Q449" s="7" t="s">
        <v>57</v>
      </c>
      <c r="R449" s="28">
        <f t="shared" si="6"/>
        <v>-4.2912383461246956E-2</v>
      </c>
    </row>
    <row r="450" spans="1:18" x14ac:dyDescent="0.3">
      <c r="A450" s="3" t="s">
        <v>934</v>
      </c>
      <c r="B450" s="4">
        <v>45622</v>
      </c>
      <c r="C450" s="3" t="s">
        <v>935</v>
      </c>
      <c r="D450" s="3" t="s">
        <v>19</v>
      </c>
      <c r="E450" s="3" t="s">
        <v>40</v>
      </c>
      <c r="F450" s="3" t="s">
        <v>109</v>
      </c>
      <c r="G450" s="3" t="s">
        <v>49</v>
      </c>
      <c r="H450" s="3" t="s">
        <v>91</v>
      </c>
      <c r="I450" s="3" t="s">
        <v>92</v>
      </c>
      <c r="J450" s="3">
        <v>1</v>
      </c>
      <c r="K450" s="5">
        <v>9063.8700000000008</v>
      </c>
      <c r="L450" s="5">
        <v>8157.48</v>
      </c>
      <c r="M450" s="6">
        <v>10</v>
      </c>
      <c r="N450" s="48">
        <v>1019.36</v>
      </c>
      <c r="O450" s="5">
        <v>149.1</v>
      </c>
      <c r="P450" s="3" t="s">
        <v>83</v>
      </c>
      <c r="Q450" s="3" t="s">
        <v>65</v>
      </c>
      <c r="R450" s="28">
        <f t="shared" si="6"/>
        <v>0.12496015926487103</v>
      </c>
    </row>
    <row r="451" spans="1:18" x14ac:dyDescent="0.3">
      <c r="A451" s="7" t="s">
        <v>936</v>
      </c>
      <c r="B451" s="8">
        <v>45622</v>
      </c>
      <c r="C451" s="7" t="s">
        <v>937</v>
      </c>
      <c r="D451" s="7" t="s">
        <v>39</v>
      </c>
      <c r="E451" s="7" t="s">
        <v>30</v>
      </c>
      <c r="F451" s="7" t="s">
        <v>48</v>
      </c>
      <c r="G451" s="7" t="s">
        <v>134</v>
      </c>
      <c r="H451" s="7" t="s">
        <v>244</v>
      </c>
      <c r="I451" s="7" t="s">
        <v>411</v>
      </c>
      <c r="J451" s="7">
        <v>2</v>
      </c>
      <c r="K451" s="9">
        <v>1877.82</v>
      </c>
      <c r="L451" s="9">
        <v>3380.08</v>
      </c>
      <c r="M451" s="10">
        <v>10</v>
      </c>
      <c r="N451" s="49">
        <v>659.31</v>
      </c>
      <c r="O451" s="9">
        <v>140</v>
      </c>
      <c r="P451" s="7" t="s">
        <v>64</v>
      </c>
      <c r="Q451" s="7" t="s">
        <v>65</v>
      </c>
      <c r="R451" s="28">
        <f t="shared" ref="R451:R514" si="7">N451/L451</f>
        <v>0.19505751343163474</v>
      </c>
    </row>
    <row r="452" spans="1:18" x14ac:dyDescent="0.3">
      <c r="A452" s="3" t="s">
        <v>938</v>
      </c>
      <c r="B452" s="4">
        <v>45623</v>
      </c>
      <c r="C452" s="3" t="s">
        <v>939</v>
      </c>
      <c r="D452" s="3" t="s">
        <v>39</v>
      </c>
      <c r="E452" s="3" t="s">
        <v>20</v>
      </c>
      <c r="F452" s="3" t="s">
        <v>129</v>
      </c>
      <c r="G452" s="3" t="s">
        <v>49</v>
      </c>
      <c r="H452" s="3" t="s">
        <v>98</v>
      </c>
      <c r="I452" s="3" t="s">
        <v>299</v>
      </c>
      <c r="J452" s="3">
        <v>1</v>
      </c>
      <c r="K452" s="5">
        <v>868.94</v>
      </c>
      <c r="L452" s="5">
        <v>825.49</v>
      </c>
      <c r="M452" s="6">
        <v>5</v>
      </c>
      <c r="N452" s="48">
        <v>161.25</v>
      </c>
      <c r="O452" s="5">
        <v>265.27</v>
      </c>
      <c r="P452" s="3" t="s">
        <v>64</v>
      </c>
      <c r="Q452" s="3" t="s">
        <v>57</v>
      </c>
      <c r="R452" s="28">
        <f t="shared" si="7"/>
        <v>0.19533852620867606</v>
      </c>
    </row>
    <row r="453" spans="1:18" x14ac:dyDescent="0.3">
      <c r="A453" s="7" t="s">
        <v>940</v>
      </c>
      <c r="B453" s="8">
        <v>45623</v>
      </c>
      <c r="C453" s="7" t="s">
        <v>941</v>
      </c>
      <c r="D453" s="7" t="s">
        <v>29</v>
      </c>
      <c r="E453" s="7" t="s">
        <v>20</v>
      </c>
      <c r="F453" s="7" t="s">
        <v>21</v>
      </c>
      <c r="G453" s="7" t="s">
        <v>42</v>
      </c>
      <c r="H453" s="7" t="s">
        <v>81</v>
      </c>
      <c r="I453" s="7" t="s">
        <v>431</v>
      </c>
      <c r="J453" s="7">
        <v>4</v>
      </c>
      <c r="K453" s="9">
        <v>234.19</v>
      </c>
      <c r="L453" s="9">
        <v>843.08</v>
      </c>
      <c r="M453" s="10">
        <v>10</v>
      </c>
      <c r="N453" s="49">
        <v>34.26</v>
      </c>
      <c r="O453" s="9">
        <v>188.53</v>
      </c>
      <c r="P453" s="7" t="s">
        <v>25</v>
      </c>
      <c r="Q453" s="7" t="s">
        <v>57</v>
      </c>
      <c r="R453" s="28">
        <f t="shared" si="7"/>
        <v>4.063671300469706E-2</v>
      </c>
    </row>
    <row r="454" spans="1:18" x14ac:dyDescent="0.3">
      <c r="A454" s="3" t="s">
        <v>942</v>
      </c>
      <c r="B454" s="4">
        <v>45625</v>
      </c>
      <c r="C454" s="3" t="s">
        <v>832</v>
      </c>
      <c r="D454" s="3" t="s">
        <v>29</v>
      </c>
      <c r="E454" s="3" t="s">
        <v>20</v>
      </c>
      <c r="F454" s="3" t="s">
        <v>21</v>
      </c>
      <c r="G454" s="3" t="s">
        <v>134</v>
      </c>
      <c r="H454" s="3" t="s">
        <v>244</v>
      </c>
      <c r="I454" s="3" t="s">
        <v>245</v>
      </c>
      <c r="J454" s="3">
        <v>1</v>
      </c>
      <c r="K454" s="5">
        <v>2452.98</v>
      </c>
      <c r="L454" s="5">
        <v>2452.98</v>
      </c>
      <c r="M454" s="6">
        <v>0</v>
      </c>
      <c r="N454" s="48">
        <v>453.35</v>
      </c>
      <c r="O454" s="5">
        <v>169.89</v>
      </c>
      <c r="P454" s="3" t="s">
        <v>64</v>
      </c>
      <c r="Q454" s="3" t="s">
        <v>65</v>
      </c>
      <c r="R454" s="28">
        <f t="shared" si="7"/>
        <v>0.18481601969848918</v>
      </c>
    </row>
    <row r="455" spans="1:18" x14ac:dyDescent="0.3">
      <c r="A455" s="7" t="s">
        <v>943</v>
      </c>
      <c r="B455" s="8">
        <v>45625</v>
      </c>
      <c r="C455" s="7" t="s">
        <v>503</v>
      </c>
      <c r="D455" s="7" t="s">
        <v>19</v>
      </c>
      <c r="E455" s="7" t="s">
        <v>60</v>
      </c>
      <c r="F455" s="7" t="s">
        <v>104</v>
      </c>
      <c r="G455" s="7" t="s">
        <v>49</v>
      </c>
      <c r="H455" s="7" t="s">
        <v>62</v>
      </c>
      <c r="I455" s="7" t="s">
        <v>122</v>
      </c>
      <c r="J455" s="7">
        <v>1</v>
      </c>
      <c r="K455" s="9">
        <v>11237.78</v>
      </c>
      <c r="L455" s="9">
        <v>10114</v>
      </c>
      <c r="M455" s="10">
        <v>10</v>
      </c>
      <c r="N455" s="49">
        <v>1683.12</v>
      </c>
      <c r="O455" s="9">
        <v>45.41</v>
      </c>
      <c r="P455" s="7" t="s">
        <v>64</v>
      </c>
      <c r="Q455" s="7" t="s">
        <v>26</v>
      </c>
      <c r="R455" s="28">
        <f t="shared" si="7"/>
        <v>0.16641487047656711</v>
      </c>
    </row>
    <row r="456" spans="1:18" x14ac:dyDescent="0.3">
      <c r="A456" s="3" t="s">
        <v>944</v>
      </c>
      <c r="B456" s="4">
        <v>45625</v>
      </c>
      <c r="C456" s="3" t="s">
        <v>121</v>
      </c>
      <c r="D456" s="3" t="s">
        <v>39</v>
      </c>
      <c r="E456" s="3" t="s">
        <v>60</v>
      </c>
      <c r="F456" s="3" t="s">
        <v>68</v>
      </c>
      <c r="G456" s="3" t="s">
        <v>117</v>
      </c>
      <c r="H456" s="3" t="s">
        <v>153</v>
      </c>
      <c r="I456" s="3" t="s">
        <v>154</v>
      </c>
      <c r="J456" s="3">
        <v>2</v>
      </c>
      <c r="K456" s="5">
        <v>340.54</v>
      </c>
      <c r="L456" s="5">
        <v>612.97</v>
      </c>
      <c r="M456" s="6">
        <v>10</v>
      </c>
      <c r="N456" s="48">
        <v>175.93</v>
      </c>
      <c r="O456" s="5">
        <v>204.78</v>
      </c>
      <c r="P456" s="3" t="s">
        <v>64</v>
      </c>
      <c r="Q456" s="3" t="s">
        <v>26</v>
      </c>
      <c r="R456" s="28">
        <f t="shared" si="7"/>
        <v>0.28701241496321189</v>
      </c>
    </row>
    <row r="457" spans="1:18" x14ac:dyDescent="0.3">
      <c r="A457" s="7" t="s">
        <v>945</v>
      </c>
      <c r="B457" s="8">
        <v>45625</v>
      </c>
      <c r="C457" s="7" t="s">
        <v>353</v>
      </c>
      <c r="D457" s="7" t="s">
        <v>19</v>
      </c>
      <c r="E457" s="7" t="s">
        <v>20</v>
      </c>
      <c r="F457" s="7" t="s">
        <v>129</v>
      </c>
      <c r="G457" s="7" t="s">
        <v>134</v>
      </c>
      <c r="H457" s="7" t="s">
        <v>91</v>
      </c>
      <c r="I457" s="7" t="s">
        <v>92</v>
      </c>
      <c r="J457" s="7">
        <v>5</v>
      </c>
      <c r="K457" s="9">
        <v>4331.12</v>
      </c>
      <c r="L457" s="9">
        <v>20572.82</v>
      </c>
      <c r="M457" s="10">
        <v>5</v>
      </c>
      <c r="N457" s="49">
        <v>6072.76</v>
      </c>
      <c r="O457" s="9">
        <v>104.59</v>
      </c>
      <c r="P457" s="7" t="s">
        <v>35</v>
      </c>
      <c r="Q457" s="7" t="s">
        <v>57</v>
      </c>
      <c r="R457" s="28">
        <f t="shared" si="7"/>
        <v>0.29518364521733043</v>
      </c>
    </row>
    <row r="458" spans="1:18" x14ac:dyDescent="0.3">
      <c r="A458" s="3" t="s">
        <v>946</v>
      </c>
      <c r="B458" s="4">
        <v>45625</v>
      </c>
      <c r="C458" s="3" t="s">
        <v>947</v>
      </c>
      <c r="D458" s="3" t="s">
        <v>39</v>
      </c>
      <c r="E458" s="3" t="s">
        <v>40</v>
      </c>
      <c r="F458" s="3" t="s">
        <v>77</v>
      </c>
      <c r="G458" s="3" t="s">
        <v>22</v>
      </c>
      <c r="H458" s="3" t="s">
        <v>105</v>
      </c>
      <c r="I458" s="3" t="s">
        <v>106</v>
      </c>
      <c r="J458" s="3">
        <v>1</v>
      </c>
      <c r="K458" s="5">
        <v>32198.62</v>
      </c>
      <c r="L458" s="5">
        <v>28978.76</v>
      </c>
      <c r="M458" s="6">
        <v>10</v>
      </c>
      <c r="N458" s="48">
        <v>-102.26</v>
      </c>
      <c r="O458" s="5">
        <v>128.33000000000001</v>
      </c>
      <c r="P458" s="3" t="s">
        <v>25</v>
      </c>
      <c r="Q458" s="3" t="s">
        <v>65</v>
      </c>
      <c r="R458" s="28">
        <f t="shared" si="7"/>
        <v>-3.5287914320695575E-3</v>
      </c>
    </row>
    <row r="459" spans="1:18" x14ac:dyDescent="0.3">
      <c r="A459" s="7" t="s">
        <v>948</v>
      </c>
      <c r="B459" s="8">
        <v>45626</v>
      </c>
      <c r="C459" s="7" t="s">
        <v>949</v>
      </c>
      <c r="D459" s="7" t="s">
        <v>29</v>
      </c>
      <c r="E459" s="7" t="s">
        <v>20</v>
      </c>
      <c r="F459" s="7" t="s">
        <v>54</v>
      </c>
      <c r="G459" s="7" t="s">
        <v>117</v>
      </c>
      <c r="H459" s="7" t="s">
        <v>153</v>
      </c>
      <c r="I459" s="7" t="s">
        <v>284</v>
      </c>
      <c r="J459" s="7">
        <v>2</v>
      </c>
      <c r="K459" s="9">
        <v>347.21</v>
      </c>
      <c r="L459" s="9">
        <v>624.98</v>
      </c>
      <c r="M459" s="10">
        <v>10</v>
      </c>
      <c r="N459" s="49">
        <v>120.32</v>
      </c>
      <c r="O459" s="9">
        <v>187.05</v>
      </c>
      <c r="P459" s="7" t="s">
        <v>83</v>
      </c>
      <c r="Q459" s="7" t="s">
        <v>26</v>
      </c>
      <c r="R459" s="28">
        <f t="shared" si="7"/>
        <v>0.19251816058113858</v>
      </c>
    </row>
    <row r="460" spans="1:18" x14ac:dyDescent="0.3">
      <c r="A460" s="3" t="s">
        <v>950</v>
      </c>
      <c r="B460" s="4">
        <v>45626</v>
      </c>
      <c r="C460" s="3" t="s">
        <v>951</v>
      </c>
      <c r="D460" s="3" t="s">
        <v>19</v>
      </c>
      <c r="E460" s="3" t="s">
        <v>30</v>
      </c>
      <c r="F460" s="3" t="s">
        <v>48</v>
      </c>
      <c r="G460" s="3" t="s">
        <v>32</v>
      </c>
      <c r="H460" s="3" t="s">
        <v>73</v>
      </c>
      <c r="I460" s="3" t="s">
        <v>214</v>
      </c>
      <c r="J460" s="3">
        <v>1</v>
      </c>
      <c r="K460" s="5">
        <v>1172.1500000000001</v>
      </c>
      <c r="L460" s="5">
        <v>937.72</v>
      </c>
      <c r="M460" s="6">
        <v>20</v>
      </c>
      <c r="N460" s="48">
        <v>27.82</v>
      </c>
      <c r="O460" s="5">
        <v>150.15</v>
      </c>
      <c r="P460" s="3" t="s">
        <v>35</v>
      </c>
      <c r="Q460" s="3" t="s">
        <v>57</v>
      </c>
      <c r="R460" s="28">
        <f t="shared" si="7"/>
        <v>2.9667704645309899E-2</v>
      </c>
    </row>
    <row r="461" spans="1:18" x14ac:dyDescent="0.3">
      <c r="A461" s="7" t="s">
        <v>952</v>
      </c>
      <c r="B461" s="8">
        <v>45626</v>
      </c>
      <c r="C461" s="7" t="s">
        <v>513</v>
      </c>
      <c r="D461" s="7" t="s">
        <v>39</v>
      </c>
      <c r="E461" s="7" t="s">
        <v>40</v>
      </c>
      <c r="F461" s="7" t="s">
        <v>77</v>
      </c>
      <c r="G461" s="7" t="s">
        <v>32</v>
      </c>
      <c r="H461" s="7" t="s">
        <v>33</v>
      </c>
      <c r="I461" s="7" t="s">
        <v>34</v>
      </c>
      <c r="J461" s="7">
        <v>1</v>
      </c>
      <c r="K461" s="9">
        <v>8490.08</v>
      </c>
      <c r="L461" s="9">
        <v>6367.56</v>
      </c>
      <c r="M461" s="10">
        <v>25</v>
      </c>
      <c r="N461" s="49">
        <v>1020.71</v>
      </c>
      <c r="O461" s="9">
        <v>125.15</v>
      </c>
      <c r="P461" s="7" t="s">
        <v>25</v>
      </c>
      <c r="Q461" s="7" t="s">
        <v>26</v>
      </c>
      <c r="R461" s="28">
        <f t="shared" si="7"/>
        <v>0.16029845026980508</v>
      </c>
    </row>
    <row r="462" spans="1:18" x14ac:dyDescent="0.3">
      <c r="A462" s="3" t="s">
        <v>953</v>
      </c>
      <c r="B462" s="4">
        <v>45626</v>
      </c>
      <c r="C462" s="3" t="s">
        <v>883</v>
      </c>
      <c r="D462" s="3" t="s">
        <v>19</v>
      </c>
      <c r="E462" s="3" t="s">
        <v>40</v>
      </c>
      <c r="F462" s="3" t="s">
        <v>109</v>
      </c>
      <c r="G462" s="3" t="s">
        <v>32</v>
      </c>
      <c r="H462" s="3" t="s">
        <v>33</v>
      </c>
      <c r="I462" s="3" t="s">
        <v>470</v>
      </c>
      <c r="J462" s="3">
        <v>2</v>
      </c>
      <c r="K462" s="5">
        <v>11211.53</v>
      </c>
      <c r="L462" s="5">
        <v>16817.3</v>
      </c>
      <c r="M462" s="6">
        <v>25</v>
      </c>
      <c r="N462" s="48">
        <v>305.77999999999997</v>
      </c>
      <c r="O462" s="5">
        <v>77.8</v>
      </c>
      <c r="P462" s="3" t="s">
        <v>45</v>
      </c>
      <c r="Q462" s="3" t="s">
        <v>57</v>
      </c>
      <c r="R462" s="28">
        <f t="shared" si="7"/>
        <v>1.8182466864478841E-2</v>
      </c>
    </row>
    <row r="463" spans="1:18" x14ac:dyDescent="0.3">
      <c r="A463" s="7" t="s">
        <v>954</v>
      </c>
      <c r="B463" s="8">
        <v>45626</v>
      </c>
      <c r="C463" s="7" t="s">
        <v>955</v>
      </c>
      <c r="D463" s="7" t="s">
        <v>39</v>
      </c>
      <c r="E463" s="7" t="s">
        <v>20</v>
      </c>
      <c r="F463" s="7" t="s">
        <v>21</v>
      </c>
      <c r="G463" s="7" t="s">
        <v>22</v>
      </c>
      <c r="H463" s="7" t="s">
        <v>55</v>
      </c>
      <c r="I463" s="7" t="s">
        <v>416</v>
      </c>
      <c r="J463" s="7">
        <v>1</v>
      </c>
      <c r="K463" s="9">
        <v>26499.43</v>
      </c>
      <c r="L463" s="9">
        <v>23849.49</v>
      </c>
      <c r="M463" s="10">
        <v>10</v>
      </c>
      <c r="N463" s="49">
        <v>1809.63</v>
      </c>
      <c r="O463" s="9">
        <v>229.07</v>
      </c>
      <c r="P463" s="7" t="s">
        <v>64</v>
      </c>
      <c r="Q463" s="7" t="s">
        <v>26</v>
      </c>
      <c r="R463" s="28">
        <f t="shared" si="7"/>
        <v>7.5877094227172148E-2</v>
      </c>
    </row>
    <row r="464" spans="1:18" x14ac:dyDescent="0.3">
      <c r="A464" s="3" t="s">
        <v>956</v>
      </c>
      <c r="B464" s="4">
        <v>45626</v>
      </c>
      <c r="C464" s="3" t="s">
        <v>880</v>
      </c>
      <c r="D464" s="3" t="s">
        <v>19</v>
      </c>
      <c r="E464" s="3" t="s">
        <v>60</v>
      </c>
      <c r="F464" s="3" t="s">
        <v>72</v>
      </c>
      <c r="G464" s="3" t="s">
        <v>134</v>
      </c>
      <c r="H464" s="3" t="s">
        <v>244</v>
      </c>
      <c r="I464" s="3" t="s">
        <v>411</v>
      </c>
      <c r="J464" s="3">
        <v>1</v>
      </c>
      <c r="K464" s="5">
        <v>2137.39</v>
      </c>
      <c r="L464" s="5">
        <v>1923.65</v>
      </c>
      <c r="M464" s="6">
        <v>10</v>
      </c>
      <c r="N464" s="48">
        <v>281.87</v>
      </c>
      <c r="O464" s="5">
        <v>194.48</v>
      </c>
      <c r="P464" s="3" t="s">
        <v>64</v>
      </c>
      <c r="Q464" s="3" t="s">
        <v>65</v>
      </c>
      <c r="R464" s="28">
        <f t="shared" si="7"/>
        <v>0.14652873443713774</v>
      </c>
    </row>
    <row r="465" spans="1:18" x14ac:dyDescent="0.3">
      <c r="A465" s="7" t="s">
        <v>957</v>
      </c>
      <c r="B465" s="8">
        <v>45627</v>
      </c>
      <c r="C465" s="7" t="s">
        <v>958</v>
      </c>
      <c r="D465" s="7" t="s">
        <v>39</v>
      </c>
      <c r="E465" s="7" t="s">
        <v>60</v>
      </c>
      <c r="F465" s="7" t="s">
        <v>68</v>
      </c>
      <c r="G465" s="7" t="s">
        <v>22</v>
      </c>
      <c r="H465" s="7" t="s">
        <v>110</v>
      </c>
      <c r="I465" s="7" t="s">
        <v>111</v>
      </c>
      <c r="J465" s="7">
        <v>1</v>
      </c>
      <c r="K465" s="9">
        <v>14179.25</v>
      </c>
      <c r="L465" s="9">
        <v>13470.29</v>
      </c>
      <c r="M465" s="10">
        <v>5</v>
      </c>
      <c r="N465" s="49">
        <v>681.81</v>
      </c>
      <c r="O465" s="9">
        <v>200.1</v>
      </c>
      <c r="P465" s="7" t="s">
        <v>64</v>
      </c>
      <c r="Q465" s="7" t="s">
        <v>26</v>
      </c>
      <c r="R465" s="28">
        <f t="shared" si="7"/>
        <v>5.061583677856972E-2</v>
      </c>
    </row>
    <row r="466" spans="1:18" x14ac:dyDescent="0.3">
      <c r="A466" s="3" t="s">
        <v>959</v>
      </c>
      <c r="B466" s="4">
        <v>45630</v>
      </c>
      <c r="C466" s="3" t="s">
        <v>960</v>
      </c>
      <c r="D466" s="3" t="s">
        <v>29</v>
      </c>
      <c r="E466" s="3" t="s">
        <v>40</v>
      </c>
      <c r="F466" s="3" t="s">
        <v>77</v>
      </c>
      <c r="G466" s="3" t="s">
        <v>42</v>
      </c>
      <c r="H466" s="3" t="s">
        <v>164</v>
      </c>
      <c r="I466" s="3" t="s">
        <v>165</v>
      </c>
      <c r="J466" s="3">
        <v>1</v>
      </c>
      <c r="K466" s="5">
        <v>601.08000000000004</v>
      </c>
      <c r="L466" s="5">
        <v>601.08000000000004</v>
      </c>
      <c r="M466" s="6">
        <v>0</v>
      </c>
      <c r="N466" s="48">
        <v>84.73</v>
      </c>
      <c r="O466" s="5">
        <v>67.92</v>
      </c>
      <c r="P466" s="3" t="s">
        <v>45</v>
      </c>
      <c r="Q466" s="3" t="s">
        <v>65</v>
      </c>
      <c r="R466" s="28">
        <f t="shared" si="7"/>
        <v>0.14096293338657084</v>
      </c>
    </row>
    <row r="467" spans="1:18" x14ac:dyDescent="0.3">
      <c r="A467" s="7" t="s">
        <v>961</v>
      </c>
      <c r="B467" s="8">
        <v>45631</v>
      </c>
      <c r="C467" s="7" t="s">
        <v>89</v>
      </c>
      <c r="D467" s="7" t="s">
        <v>29</v>
      </c>
      <c r="E467" s="7" t="s">
        <v>40</v>
      </c>
      <c r="F467" s="7" t="s">
        <v>41</v>
      </c>
      <c r="G467" s="7" t="s">
        <v>42</v>
      </c>
      <c r="H467" s="7" t="s">
        <v>81</v>
      </c>
      <c r="I467" s="7" t="s">
        <v>431</v>
      </c>
      <c r="J467" s="7">
        <v>2</v>
      </c>
      <c r="K467" s="9">
        <v>962.35</v>
      </c>
      <c r="L467" s="9">
        <v>1539.76</v>
      </c>
      <c r="M467" s="10">
        <v>20</v>
      </c>
      <c r="N467" s="49">
        <v>104.67</v>
      </c>
      <c r="O467" s="9">
        <v>284.31</v>
      </c>
      <c r="P467" s="7" t="s">
        <v>25</v>
      </c>
      <c r="Q467" s="7" t="s">
        <v>57</v>
      </c>
      <c r="R467" s="28">
        <f t="shared" si="7"/>
        <v>6.7978126461266691E-2</v>
      </c>
    </row>
    <row r="468" spans="1:18" x14ac:dyDescent="0.3">
      <c r="A468" s="3" t="s">
        <v>962</v>
      </c>
      <c r="B468" s="4">
        <v>45631</v>
      </c>
      <c r="C468" s="3" t="s">
        <v>448</v>
      </c>
      <c r="D468" s="3" t="s">
        <v>39</v>
      </c>
      <c r="E468" s="3" t="s">
        <v>20</v>
      </c>
      <c r="F468" s="3" t="s">
        <v>54</v>
      </c>
      <c r="G468" s="3" t="s">
        <v>134</v>
      </c>
      <c r="H468" s="3" t="s">
        <v>91</v>
      </c>
      <c r="I468" s="3" t="s">
        <v>206</v>
      </c>
      <c r="J468" s="3">
        <v>2</v>
      </c>
      <c r="K468" s="5">
        <v>2668.46</v>
      </c>
      <c r="L468" s="5">
        <v>4803.2299999999996</v>
      </c>
      <c r="M468" s="6">
        <v>10</v>
      </c>
      <c r="N468" s="48">
        <v>582.85</v>
      </c>
      <c r="O468" s="5">
        <v>73.760000000000005</v>
      </c>
      <c r="P468" s="3" t="s">
        <v>64</v>
      </c>
      <c r="Q468" s="3" t="s">
        <v>57</v>
      </c>
      <c r="R468" s="28">
        <f t="shared" si="7"/>
        <v>0.12134542797242691</v>
      </c>
    </row>
    <row r="469" spans="1:18" x14ac:dyDescent="0.3">
      <c r="A469" s="7" t="s">
        <v>963</v>
      </c>
      <c r="B469" s="8">
        <v>45632</v>
      </c>
      <c r="C469" s="7" t="s">
        <v>782</v>
      </c>
      <c r="D469" s="7" t="s">
        <v>29</v>
      </c>
      <c r="E469" s="7" t="s">
        <v>30</v>
      </c>
      <c r="F469" s="7" t="s">
        <v>226</v>
      </c>
      <c r="G469" s="7" t="s">
        <v>49</v>
      </c>
      <c r="H469" s="7" t="s">
        <v>91</v>
      </c>
      <c r="I469" s="7" t="s">
        <v>168</v>
      </c>
      <c r="J469" s="7">
        <v>2</v>
      </c>
      <c r="K469" s="9">
        <v>5366.86</v>
      </c>
      <c r="L469" s="9">
        <v>9123.66</v>
      </c>
      <c r="M469" s="10">
        <v>15</v>
      </c>
      <c r="N469" s="49">
        <v>100.68</v>
      </c>
      <c r="O469" s="9">
        <v>230.75</v>
      </c>
      <c r="P469" s="7" t="s">
        <v>45</v>
      </c>
      <c r="Q469" s="7" t="s">
        <v>65</v>
      </c>
      <c r="R469" s="28">
        <f t="shared" si="7"/>
        <v>1.103504514635574E-2</v>
      </c>
    </row>
    <row r="470" spans="1:18" x14ac:dyDescent="0.3">
      <c r="A470" s="3" t="s">
        <v>964</v>
      </c>
      <c r="B470" s="4">
        <v>45633</v>
      </c>
      <c r="C470" s="3" t="s">
        <v>477</v>
      </c>
      <c r="D470" s="3" t="s">
        <v>19</v>
      </c>
      <c r="E470" s="3" t="s">
        <v>60</v>
      </c>
      <c r="F470" s="3" t="s">
        <v>72</v>
      </c>
      <c r="G470" s="3" t="s">
        <v>134</v>
      </c>
      <c r="H470" s="3" t="s">
        <v>139</v>
      </c>
      <c r="I470" s="3" t="s">
        <v>147</v>
      </c>
      <c r="J470" s="3">
        <v>3</v>
      </c>
      <c r="K470" s="5">
        <v>874.92</v>
      </c>
      <c r="L470" s="5">
        <v>2624.76</v>
      </c>
      <c r="M470" s="6">
        <v>0</v>
      </c>
      <c r="N470" s="48">
        <v>574.71</v>
      </c>
      <c r="O470" s="5">
        <v>348.01</v>
      </c>
      <c r="P470" s="3" t="s">
        <v>25</v>
      </c>
      <c r="Q470" s="3" t="s">
        <v>26</v>
      </c>
      <c r="R470" s="28">
        <f t="shared" si="7"/>
        <v>0.21895716179765007</v>
      </c>
    </row>
    <row r="471" spans="1:18" x14ac:dyDescent="0.3">
      <c r="A471" s="7" t="s">
        <v>965</v>
      </c>
      <c r="B471" s="8">
        <v>45633</v>
      </c>
      <c r="C471" s="7" t="s">
        <v>843</v>
      </c>
      <c r="D471" s="7" t="s">
        <v>29</v>
      </c>
      <c r="E471" s="7" t="s">
        <v>40</v>
      </c>
      <c r="F471" s="7" t="s">
        <v>41</v>
      </c>
      <c r="G471" s="7" t="s">
        <v>22</v>
      </c>
      <c r="H471" s="7" t="s">
        <v>23</v>
      </c>
      <c r="I471" s="7" t="s">
        <v>238</v>
      </c>
      <c r="J471" s="7">
        <v>1</v>
      </c>
      <c r="K471" s="9">
        <v>6645.31</v>
      </c>
      <c r="L471" s="9">
        <v>5316.25</v>
      </c>
      <c r="M471" s="10">
        <v>20</v>
      </c>
      <c r="N471" s="49">
        <v>7.83</v>
      </c>
      <c r="O471" s="9">
        <v>349</v>
      </c>
      <c r="P471" s="7" t="s">
        <v>64</v>
      </c>
      <c r="Q471" s="7" t="s">
        <v>26</v>
      </c>
      <c r="R471" s="28">
        <f t="shared" si="7"/>
        <v>1.4728426992711029E-3</v>
      </c>
    </row>
    <row r="472" spans="1:18" x14ac:dyDescent="0.3">
      <c r="A472" s="3" t="s">
        <v>966</v>
      </c>
      <c r="B472" s="4">
        <v>45635</v>
      </c>
      <c r="C472" s="3" t="s">
        <v>776</v>
      </c>
      <c r="D472" s="3" t="s">
        <v>19</v>
      </c>
      <c r="E472" s="3" t="s">
        <v>30</v>
      </c>
      <c r="F472" s="3" t="s">
        <v>226</v>
      </c>
      <c r="G472" s="3" t="s">
        <v>134</v>
      </c>
      <c r="H472" s="3" t="s">
        <v>139</v>
      </c>
      <c r="I472" s="3" t="s">
        <v>140</v>
      </c>
      <c r="J472" s="3">
        <v>1</v>
      </c>
      <c r="K472" s="5">
        <v>1999.85</v>
      </c>
      <c r="L472" s="5">
        <v>1599.88</v>
      </c>
      <c r="M472" s="6">
        <v>20</v>
      </c>
      <c r="N472" s="48">
        <v>152.76</v>
      </c>
      <c r="O472" s="5">
        <v>132.41</v>
      </c>
      <c r="P472" s="3" t="s">
        <v>25</v>
      </c>
      <c r="Q472" s="3" t="s">
        <v>65</v>
      </c>
      <c r="R472" s="28">
        <f t="shared" si="7"/>
        <v>9.5482161162087145E-2</v>
      </c>
    </row>
    <row r="473" spans="1:18" x14ac:dyDescent="0.3">
      <c r="A473" s="7" t="s">
        <v>967</v>
      </c>
      <c r="B473" s="8">
        <v>45635</v>
      </c>
      <c r="C473" s="7" t="s">
        <v>968</v>
      </c>
      <c r="D473" s="7" t="s">
        <v>19</v>
      </c>
      <c r="E473" s="7" t="s">
        <v>60</v>
      </c>
      <c r="F473" s="7" t="s">
        <v>68</v>
      </c>
      <c r="G473" s="7" t="s">
        <v>134</v>
      </c>
      <c r="H473" s="7" t="s">
        <v>244</v>
      </c>
      <c r="I473" s="7" t="s">
        <v>411</v>
      </c>
      <c r="J473" s="7">
        <v>1</v>
      </c>
      <c r="K473" s="9">
        <v>665.79</v>
      </c>
      <c r="L473" s="9">
        <v>599.21</v>
      </c>
      <c r="M473" s="10">
        <v>10</v>
      </c>
      <c r="N473" s="49">
        <v>69.319999999999993</v>
      </c>
      <c r="O473" s="9">
        <v>140.47</v>
      </c>
      <c r="P473" s="7" t="s">
        <v>64</v>
      </c>
      <c r="Q473" s="7" t="s">
        <v>26</v>
      </c>
      <c r="R473" s="28">
        <f t="shared" si="7"/>
        <v>0.11568565277615525</v>
      </c>
    </row>
    <row r="474" spans="1:18" x14ac:dyDescent="0.3">
      <c r="A474" s="3" t="s">
        <v>969</v>
      </c>
      <c r="B474" s="4">
        <v>45635</v>
      </c>
      <c r="C474" s="3" t="s">
        <v>289</v>
      </c>
      <c r="D474" s="3" t="s">
        <v>39</v>
      </c>
      <c r="E474" s="3" t="s">
        <v>60</v>
      </c>
      <c r="F474" s="3" t="s">
        <v>61</v>
      </c>
      <c r="G474" s="3" t="s">
        <v>134</v>
      </c>
      <c r="H474" s="3" t="s">
        <v>139</v>
      </c>
      <c r="I474" s="3" t="s">
        <v>147</v>
      </c>
      <c r="J474" s="3">
        <v>1</v>
      </c>
      <c r="K474" s="5">
        <v>1958.5</v>
      </c>
      <c r="L474" s="5">
        <v>1958.5</v>
      </c>
      <c r="M474" s="6">
        <v>0</v>
      </c>
      <c r="N474" s="48">
        <v>493.18</v>
      </c>
      <c r="O474" s="5">
        <v>282.86</v>
      </c>
      <c r="P474" s="3" t="s">
        <v>25</v>
      </c>
      <c r="Q474" s="3" t="s">
        <v>36</v>
      </c>
      <c r="R474" s="28">
        <f t="shared" si="7"/>
        <v>0.25181516466683684</v>
      </c>
    </row>
    <row r="475" spans="1:18" x14ac:dyDescent="0.3">
      <c r="A475" s="7" t="s">
        <v>970</v>
      </c>
      <c r="B475" s="8">
        <v>45636</v>
      </c>
      <c r="C475" s="7" t="s">
        <v>971</v>
      </c>
      <c r="D475" s="7" t="s">
        <v>19</v>
      </c>
      <c r="E475" s="7" t="s">
        <v>20</v>
      </c>
      <c r="F475" s="7" t="s">
        <v>54</v>
      </c>
      <c r="G475" s="7" t="s">
        <v>42</v>
      </c>
      <c r="H475" s="7" t="s">
        <v>81</v>
      </c>
      <c r="I475" s="7" t="s">
        <v>621</v>
      </c>
      <c r="J475" s="7">
        <v>4</v>
      </c>
      <c r="K475" s="9">
        <v>211.07</v>
      </c>
      <c r="L475" s="9">
        <v>802.07</v>
      </c>
      <c r="M475" s="10">
        <v>5</v>
      </c>
      <c r="N475" s="49">
        <v>73.64</v>
      </c>
      <c r="O475" s="9">
        <v>113.84</v>
      </c>
      <c r="P475" s="7" t="s">
        <v>35</v>
      </c>
      <c r="Q475" s="7" t="s">
        <v>26</v>
      </c>
      <c r="R475" s="28">
        <f t="shared" si="7"/>
        <v>9.1812435323600186E-2</v>
      </c>
    </row>
    <row r="476" spans="1:18" x14ac:dyDescent="0.3">
      <c r="A476" s="3" t="s">
        <v>972</v>
      </c>
      <c r="B476" s="4">
        <v>45637</v>
      </c>
      <c r="C476" s="3" t="s">
        <v>753</v>
      </c>
      <c r="D476" s="3" t="s">
        <v>19</v>
      </c>
      <c r="E476" s="3" t="s">
        <v>40</v>
      </c>
      <c r="F476" s="3" t="s">
        <v>41</v>
      </c>
      <c r="G476" s="3" t="s">
        <v>42</v>
      </c>
      <c r="H476" s="3" t="s">
        <v>172</v>
      </c>
      <c r="I476" s="3" t="s">
        <v>173</v>
      </c>
      <c r="J476" s="3">
        <v>3</v>
      </c>
      <c r="K476" s="5">
        <v>687.7</v>
      </c>
      <c r="L476" s="5">
        <v>1753.63</v>
      </c>
      <c r="M476" s="6">
        <v>15</v>
      </c>
      <c r="N476" s="48">
        <v>162.13</v>
      </c>
      <c r="O476" s="5">
        <v>115.8</v>
      </c>
      <c r="P476" s="3" t="s">
        <v>83</v>
      </c>
      <c r="Q476" s="3" t="s">
        <v>57</v>
      </c>
      <c r="R476" s="28">
        <f t="shared" si="7"/>
        <v>9.2453938402057442E-2</v>
      </c>
    </row>
    <row r="477" spans="1:18" x14ac:dyDescent="0.3">
      <c r="A477" s="7" t="s">
        <v>973</v>
      </c>
      <c r="B477" s="8">
        <v>45637</v>
      </c>
      <c r="C477" s="7" t="s">
        <v>974</v>
      </c>
      <c r="D477" s="7" t="s">
        <v>39</v>
      </c>
      <c r="E477" s="7" t="s">
        <v>60</v>
      </c>
      <c r="F477" s="7" t="s">
        <v>68</v>
      </c>
      <c r="G477" s="7" t="s">
        <v>134</v>
      </c>
      <c r="H477" s="7" t="s">
        <v>135</v>
      </c>
      <c r="I477" s="7" t="s">
        <v>287</v>
      </c>
      <c r="J477" s="7">
        <v>1</v>
      </c>
      <c r="K477" s="9">
        <v>4425.1099999999997</v>
      </c>
      <c r="L477" s="9">
        <v>3318.83</v>
      </c>
      <c r="M477" s="10">
        <v>25</v>
      </c>
      <c r="N477" s="49">
        <v>298.08999999999997</v>
      </c>
      <c r="O477" s="9">
        <v>195.32</v>
      </c>
      <c r="P477" s="7" t="s">
        <v>64</v>
      </c>
      <c r="Q477" s="7" t="s">
        <v>26</v>
      </c>
      <c r="R477" s="28">
        <f t="shared" si="7"/>
        <v>8.9817797235772837E-2</v>
      </c>
    </row>
    <row r="478" spans="1:18" x14ac:dyDescent="0.3">
      <c r="A478" s="3" t="s">
        <v>975</v>
      </c>
      <c r="B478" s="4">
        <v>45639</v>
      </c>
      <c r="C478" s="3" t="s">
        <v>593</v>
      </c>
      <c r="D478" s="3" t="s">
        <v>39</v>
      </c>
      <c r="E478" s="3" t="s">
        <v>20</v>
      </c>
      <c r="F478" s="3" t="s">
        <v>54</v>
      </c>
      <c r="G478" s="3" t="s">
        <v>32</v>
      </c>
      <c r="H478" s="3" t="s">
        <v>143</v>
      </c>
      <c r="I478" s="3" t="s">
        <v>144</v>
      </c>
      <c r="J478" s="3">
        <v>1</v>
      </c>
      <c r="K478" s="5">
        <v>4533.05</v>
      </c>
      <c r="L478" s="5">
        <v>3626.44</v>
      </c>
      <c r="M478" s="6">
        <v>20</v>
      </c>
      <c r="N478" s="48">
        <v>393.22</v>
      </c>
      <c r="O478" s="5">
        <v>320.19</v>
      </c>
      <c r="P478" s="3" t="s">
        <v>35</v>
      </c>
      <c r="Q478" s="3" t="s">
        <v>65</v>
      </c>
      <c r="R478" s="28">
        <f t="shared" si="7"/>
        <v>0.10843140931602344</v>
      </c>
    </row>
    <row r="479" spans="1:18" x14ac:dyDescent="0.3">
      <c r="A479" s="7" t="s">
        <v>976</v>
      </c>
      <c r="B479" s="8">
        <v>45639</v>
      </c>
      <c r="C479" s="7" t="s">
        <v>977</v>
      </c>
      <c r="D479" s="7" t="s">
        <v>39</v>
      </c>
      <c r="E479" s="7" t="s">
        <v>60</v>
      </c>
      <c r="F479" s="7" t="s">
        <v>104</v>
      </c>
      <c r="G479" s="7" t="s">
        <v>49</v>
      </c>
      <c r="H479" s="7" t="s">
        <v>91</v>
      </c>
      <c r="I479" s="7" t="s">
        <v>188</v>
      </c>
      <c r="J479" s="7">
        <v>2</v>
      </c>
      <c r="K479" s="9">
        <v>14621.51</v>
      </c>
      <c r="L479" s="9">
        <v>29243.02</v>
      </c>
      <c r="M479" s="10">
        <v>0</v>
      </c>
      <c r="N479" s="49">
        <v>4747.17</v>
      </c>
      <c r="O479" s="9">
        <v>259.89999999999998</v>
      </c>
      <c r="P479" s="7" t="s">
        <v>45</v>
      </c>
      <c r="Q479" s="7" t="s">
        <v>65</v>
      </c>
      <c r="R479" s="28">
        <f t="shared" si="7"/>
        <v>0.1623351486953126</v>
      </c>
    </row>
    <row r="480" spans="1:18" x14ac:dyDescent="0.3">
      <c r="A480" s="3" t="s">
        <v>978</v>
      </c>
      <c r="B480" s="4">
        <v>45641</v>
      </c>
      <c r="C480" s="3" t="s">
        <v>156</v>
      </c>
      <c r="D480" s="3" t="s">
        <v>29</v>
      </c>
      <c r="E480" s="3" t="s">
        <v>20</v>
      </c>
      <c r="F480" s="3" t="s">
        <v>21</v>
      </c>
      <c r="G480" s="3" t="s">
        <v>117</v>
      </c>
      <c r="H480" s="3" t="s">
        <v>125</v>
      </c>
      <c r="I480" s="3" t="s">
        <v>196</v>
      </c>
      <c r="J480" s="3">
        <v>1</v>
      </c>
      <c r="K480" s="5">
        <v>1443.46</v>
      </c>
      <c r="L480" s="5">
        <v>1443.46</v>
      </c>
      <c r="M480" s="6">
        <v>0</v>
      </c>
      <c r="N480" s="48">
        <v>502.57</v>
      </c>
      <c r="O480" s="5">
        <v>342.27</v>
      </c>
      <c r="P480" s="3" t="s">
        <v>64</v>
      </c>
      <c r="Q480" s="3" t="s">
        <v>36</v>
      </c>
      <c r="R480" s="28">
        <f t="shared" si="7"/>
        <v>0.3481703684203234</v>
      </c>
    </row>
    <row r="481" spans="1:18" x14ac:dyDescent="0.3">
      <c r="A481" s="7" t="s">
        <v>979</v>
      </c>
      <c r="B481" s="8">
        <v>45641</v>
      </c>
      <c r="C481" s="7" t="s">
        <v>980</v>
      </c>
      <c r="D481" s="7" t="s">
        <v>19</v>
      </c>
      <c r="E481" s="7" t="s">
        <v>20</v>
      </c>
      <c r="F481" s="7" t="s">
        <v>54</v>
      </c>
      <c r="G481" s="7" t="s">
        <v>22</v>
      </c>
      <c r="H481" s="7" t="s">
        <v>110</v>
      </c>
      <c r="I481" s="7" t="s">
        <v>111</v>
      </c>
      <c r="J481" s="7">
        <v>4</v>
      </c>
      <c r="K481" s="9">
        <v>12261.24</v>
      </c>
      <c r="L481" s="9">
        <v>46592.71</v>
      </c>
      <c r="M481" s="10">
        <v>5</v>
      </c>
      <c r="N481" s="49">
        <v>3165.26</v>
      </c>
      <c r="O481" s="9">
        <v>361.96</v>
      </c>
      <c r="P481" s="7" t="s">
        <v>64</v>
      </c>
      <c r="Q481" s="7" t="s">
        <v>26</v>
      </c>
      <c r="R481" s="28">
        <f t="shared" si="7"/>
        <v>6.7934661881654881E-2</v>
      </c>
    </row>
    <row r="482" spans="1:18" x14ac:dyDescent="0.3">
      <c r="A482" s="3" t="s">
        <v>981</v>
      </c>
      <c r="B482" s="4">
        <v>45641</v>
      </c>
      <c r="C482" s="3" t="s">
        <v>982</v>
      </c>
      <c r="D482" s="3" t="s">
        <v>39</v>
      </c>
      <c r="E482" s="3" t="s">
        <v>30</v>
      </c>
      <c r="F482" s="3" t="s">
        <v>226</v>
      </c>
      <c r="G482" s="3" t="s">
        <v>49</v>
      </c>
      <c r="H482" s="3" t="s">
        <v>50</v>
      </c>
      <c r="I482" s="3" t="s">
        <v>193</v>
      </c>
      <c r="J482" s="3">
        <v>2</v>
      </c>
      <c r="K482" s="5">
        <v>2649.72</v>
      </c>
      <c r="L482" s="5">
        <v>4769.5</v>
      </c>
      <c r="M482" s="6">
        <v>10</v>
      </c>
      <c r="N482" s="48">
        <v>710.21</v>
      </c>
      <c r="O482" s="5">
        <v>216.71</v>
      </c>
      <c r="P482" s="3" t="s">
        <v>83</v>
      </c>
      <c r="Q482" s="3" t="s">
        <v>26</v>
      </c>
      <c r="R482" s="28">
        <f t="shared" si="7"/>
        <v>0.14890659398259776</v>
      </c>
    </row>
    <row r="483" spans="1:18" x14ac:dyDescent="0.3">
      <c r="A483" s="7" t="s">
        <v>983</v>
      </c>
      <c r="B483" s="8">
        <v>45641</v>
      </c>
      <c r="C483" s="7" t="s">
        <v>499</v>
      </c>
      <c r="D483" s="7" t="s">
        <v>39</v>
      </c>
      <c r="E483" s="7" t="s">
        <v>20</v>
      </c>
      <c r="F483" s="7" t="s">
        <v>129</v>
      </c>
      <c r="G483" s="7" t="s">
        <v>134</v>
      </c>
      <c r="H483" s="7" t="s">
        <v>135</v>
      </c>
      <c r="I483" s="7" t="s">
        <v>382</v>
      </c>
      <c r="J483" s="7">
        <v>1</v>
      </c>
      <c r="K483" s="9">
        <v>896.98</v>
      </c>
      <c r="L483" s="9">
        <v>717.58</v>
      </c>
      <c r="M483" s="10">
        <v>20</v>
      </c>
      <c r="N483" s="49">
        <v>70.569999999999993</v>
      </c>
      <c r="O483" s="9">
        <v>124.41</v>
      </c>
      <c r="P483" s="7" t="s">
        <v>64</v>
      </c>
      <c r="Q483" s="7" t="s">
        <v>26</v>
      </c>
      <c r="R483" s="28">
        <f t="shared" si="7"/>
        <v>9.8344435463641675E-2</v>
      </c>
    </row>
    <row r="484" spans="1:18" x14ac:dyDescent="0.3">
      <c r="A484" s="3" t="s">
        <v>984</v>
      </c>
      <c r="B484" s="4">
        <v>45644</v>
      </c>
      <c r="C484" s="3" t="s">
        <v>582</v>
      </c>
      <c r="D484" s="3" t="s">
        <v>39</v>
      </c>
      <c r="E484" s="3" t="s">
        <v>30</v>
      </c>
      <c r="F484" s="3" t="s">
        <v>48</v>
      </c>
      <c r="G484" s="3" t="s">
        <v>32</v>
      </c>
      <c r="H484" s="3" t="s">
        <v>86</v>
      </c>
      <c r="I484" s="3" t="s">
        <v>87</v>
      </c>
      <c r="J484" s="3">
        <v>1</v>
      </c>
      <c r="K484" s="5">
        <v>10149.25</v>
      </c>
      <c r="L484" s="5">
        <v>7611.94</v>
      </c>
      <c r="M484" s="6">
        <v>25</v>
      </c>
      <c r="N484" s="48">
        <v>443.12</v>
      </c>
      <c r="O484" s="5">
        <v>85.74</v>
      </c>
      <c r="P484" s="3" t="s">
        <v>64</v>
      </c>
      <c r="Q484" s="3" t="s">
        <v>65</v>
      </c>
      <c r="R484" s="28">
        <f t="shared" si="7"/>
        <v>5.8213806204462995E-2</v>
      </c>
    </row>
    <row r="485" spans="1:18" x14ac:dyDescent="0.3">
      <c r="A485" s="7" t="s">
        <v>985</v>
      </c>
      <c r="B485" s="8">
        <v>45646</v>
      </c>
      <c r="C485" s="7" t="s">
        <v>679</v>
      </c>
      <c r="D485" s="7" t="s">
        <v>39</v>
      </c>
      <c r="E485" s="7" t="s">
        <v>40</v>
      </c>
      <c r="F485" s="7" t="s">
        <v>109</v>
      </c>
      <c r="G485" s="7" t="s">
        <v>22</v>
      </c>
      <c r="H485" s="7" t="s">
        <v>624</v>
      </c>
      <c r="I485" s="7" t="s">
        <v>932</v>
      </c>
      <c r="J485" s="7">
        <v>1</v>
      </c>
      <c r="K485" s="9">
        <v>10862.22</v>
      </c>
      <c r="L485" s="9">
        <v>9776</v>
      </c>
      <c r="M485" s="10">
        <v>10</v>
      </c>
      <c r="N485" s="49">
        <v>249.6</v>
      </c>
      <c r="O485" s="9">
        <v>168.49</v>
      </c>
      <c r="P485" s="7" t="s">
        <v>64</v>
      </c>
      <c r="Q485" s="7" t="s">
        <v>26</v>
      </c>
      <c r="R485" s="28">
        <f t="shared" si="7"/>
        <v>2.553191489361702E-2</v>
      </c>
    </row>
    <row r="486" spans="1:18" x14ac:dyDescent="0.3">
      <c r="A486" s="3" t="s">
        <v>986</v>
      </c>
      <c r="B486" s="4">
        <v>45646</v>
      </c>
      <c r="C486" s="3" t="s">
        <v>742</v>
      </c>
      <c r="D486" s="3" t="s">
        <v>39</v>
      </c>
      <c r="E486" s="3" t="s">
        <v>60</v>
      </c>
      <c r="F486" s="3" t="s">
        <v>68</v>
      </c>
      <c r="G486" s="3" t="s">
        <v>32</v>
      </c>
      <c r="H486" s="3" t="s">
        <v>143</v>
      </c>
      <c r="I486" s="3" t="s">
        <v>516</v>
      </c>
      <c r="J486" s="3">
        <v>2</v>
      </c>
      <c r="K486" s="5">
        <v>1106.46</v>
      </c>
      <c r="L486" s="5">
        <v>2102.27</v>
      </c>
      <c r="M486" s="6">
        <v>5</v>
      </c>
      <c r="N486" s="48">
        <v>282.61</v>
      </c>
      <c r="O486" s="5">
        <v>54.9</v>
      </c>
      <c r="P486" s="3" t="s">
        <v>35</v>
      </c>
      <c r="Q486" s="3" t="s">
        <v>26</v>
      </c>
      <c r="R486" s="28">
        <f t="shared" si="7"/>
        <v>0.13443087709951623</v>
      </c>
    </row>
    <row r="487" spans="1:18" x14ac:dyDescent="0.3">
      <c r="A487" s="7" t="s">
        <v>987</v>
      </c>
      <c r="B487" s="8">
        <v>45646</v>
      </c>
      <c r="C487" s="7" t="s">
        <v>712</v>
      </c>
      <c r="D487" s="7" t="s">
        <v>39</v>
      </c>
      <c r="E487" s="7" t="s">
        <v>40</v>
      </c>
      <c r="F487" s="7" t="s">
        <v>109</v>
      </c>
      <c r="G487" s="7" t="s">
        <v>117</v>
      </c>
      <c r="H487" s="7" t="s">
        <v>118</v>
      </c>
      <c r="I487" s="7" t="s">
        <v>279</v>
      </c>
      <c r="J487" s="7">
        <v>2</v>
      </c>
      <c r="K487" s="9">
        <v>1463</v>
      </c>
      <c r="L487" s="9">
        <v>2340.8000000000002</v>
      </c>
      <c r="M487" s="10">
        <v>20</v>
      </c>
      <c r="N487" s="49">
        <v>293.05</v>
      </c>
      <c r="O487" s="9">
        <v>247.27</v>
      </c>
      <c r="P487" s="7" t="s">
        <v>35</v>
      </c>
      <c r="Q487" s="7" t="s">
        <v>26</v>
      </c>
      <c r="R487" s="28">
        <f t="shared" si="7"/>
        <v>0.12519224196855774</v>
      </c>
    </row>
    <row r="488" spans="1:18" x14ac:dyDescent="0.3">
      <c r="A488" s="3" t="s">
        <v>988</v>
      </c>
      <c r="B488" s="4">
        <v>45648</v>
      </c>
      <c r="C488" s="3" t="s">
        <v>448</v>
      </c>
      <c r="D488" s="3" t="s">
        <v>19</v>
      </c>
      <c r="E488" s="3" t="s">
        <v>30</v>
      </c>
      <c r="F488" s="3" t="s">
        <v>48</v>
      </c>
      <c r="G488" s="3" t="s">
        <v>42</v>
      </c>
      <c r="H488" s="3" t="s">
        <v>81</v>
      </c>
      <c r="I488" s="3" t="s">
        <v>621</v>
      </c>
      <c r="J488" s="3">
        <v>1</v>
      </c>
      <c r="K488" s="5">
        <v>608.85</v>
      </c>
      <c r="L488" s="5">
        <v>517.52</v>
      </c>
      <c r="M488" s="6">
        <v>15</v>
      </c>
      <c r="N488" s="48">
        <v>47.19</v>
      </c>
      <c r="O488" s="5">
        <v>219.94</v>
      </c>
      <c r="P488" s="3" t="s">
        <v>64</v>
      </c>
      <c r="Q488" s="3" t="s">
        <v>65</v>
      </c>
      <c r="R488" s="28">
        <f t="shared" si="7"/>
        <v>9.1184881743700721E-2</v>
      </c>
    </row>
    <row r="489" spans="1:18" x14ac:dyDescent="0.3">
      <c r="A489" s="7" t="s">
        <v>989</v>
      </c>
      <c r="B489" s="8">
        <v>45648</v>
      </c>
      <c r="C489" s="7" t="s">
        <v>990</v>
      </c>
      <c r="D489" s="7" t="s">
        <v>39</v>
      </c>
      <c r="E489" s="7" t="s">
        <v>30</v>
      </c>
      <c r="F489" s="7" t="s">
        <v>226</v>
      </c>
      <c r="G489" s="7" t="s">
        <v>49</v>
      </c>
      <c r="H489" s="7" t="s">
        <v>62</v>
      </c>
      <c r="I489" s="7" t="s">
        <v>63</v>
      </c>
      <c r="J489" s="7">
        <v>5</v>
      </c>
      <c r="K489" s="9">
        <v>6188.09</v>
      </c>
      <c r="L489" s="9">
        <v>24752.36</v>
      </c>
      <c r="M489" s="10">
        <v>20</v>
      </c>
      <c r="N489" s="49">
        <v>2722.63</v>
      </c>
      <c r="O489" s="9">
        <v>287.07</v>
      </c>
      <c r="P489" s="7" t="s">
        <v>64</v>
      </c>
      <c r="Q489" s="7" t="s">
        <v>36</v>
      </c>
      <c r="R489" s="28">
        <f t="shared" si="7"/>
        <v>0.10999476413562181</v>
      </c>
    </row>
    <row r="490" spans="1:18" x14ac:dyDescent="0.3">
      <c r="A490" s="3" t="s">
        <v>991</v>
      </c>
      <c r="B490" s="4">
        <v>45649</v>
      </c>
      <c r="C490" s="3" t="s">
        <v>992</v>
      </c>
      <c r="D490" s="3" t="s">
        <v>39</v>
      </c>
      <c r="E490" s="3" t="s">
        <v>40</v>
      </c>
      <c r="F490" s="3" t="s">
        <v>77</v>
      </c>
      <c r="G490" s="3" t="s">
        <v>22</v>
      </c>
      <c r="H490" s="3" t="s">
        <v>110</v>
      </c>
      <c r="I490" s="3" t="s">
        <v>317</v>
      </c>
      <c r="J490" s="3">
        <v>1</v>
      </c>
      <c r="K490" s="5">
        <v>30270.9</v>
      </c>
      <c r="L490" s="5">
        <v>25730.26</v>
      </c>
      <c r="M490" s="6">
        <v>15</v>
      </c>
      <c r="N490" s="48">
        <v>-1611.81</v>
      </c>
      <c r="O490" s="5">
        <v>90.2</v>
      </c>
      <c r="P490" s="3" t="s">
        <v>64</v>
      </c>
      <c r="Q490" s="3" t="s">
        <v>26</v>
      </c>
      <c r="R490" s="28">
        <f t="shared" si="7"/>
        <v>-6.2642585034119361E-2</v>
      </c>
    </row>
    <row r="491" spans="1:18" x14ac:dyDescent="0.3">
      <c r="A491" s="7" t="s">
        <v>993</v>
      </c>
      <c r="B491" s="8">
        <v>45651</v>
      </c>
      <c r="C491" s="7" t="s">
        <v>80</v>
      </c>
      <c r="D491" s="7" t="s">
        <v>39</v>
      </c>
      <c r="E491" s="7" t="s">
        <v>60</v>
      </c>
      <c r="F491" s="7" t="s">
        <v>72</v>
      </c>
      <c r="G491" s="7" t="s">
        <v>134</v>
      </c>
      <c r="H491" s="7" t="s">
        <v>139</v>
      </c>
      <c r="I491" s="7" t="s">
        <v>220</v>
      </c>
      <c r="J491" s="7">
        <v>2</v>
      </c>
      <c r="K491" s="9">
        <v>4106.97</v>
      </c>
      <c r="L491" s="9">
        <v>7803.24</v>
      </c>
      <c r="M491" s="10">
        <v>5</v>
      </c>
      <c r="N491" s="49">
        <v>1578.79</v>
      </c>
      <c r="O491" s="9">
        <v>97.44</v>
      </c>
      <c r="P491" s="7" t="s">
        <v>35</v>
      </c>
      <c r="Q491" s="7" t="s">
        <v>65</v>
      </c>
      <c r="R491" s="28">
        <f t="shared" si="7"/>
        <v>0.20232493169503948</v>
      </c>
    </row>
    <row r="492" spans="1:18" x14ac:dyDescent="0.3">
      <c r="A492" s="3" t="s">
        <v>994</v>
      </c>
      <c r="B492" s="4">
        <v>45652</v>
      </c>
      <c r="C492" s="3" t="s">
        <v>995</v>
      </c>
      <c r="D492" s="3" t="s">
        <v>29</v>
      </c>
      <c r="E492" s="3" t="s">
        <v>20</v>
      </c>
      <c r="F492" s="3" t="s">
        <v>129</v>
      </c>
      <c r="G492" s="3" t="s">
        <v>42</v>
      </c>
      <c r="H492" s="3" t="s">
        <v>164</v>
      </c>
      <c r="I492" s="3" t="s">
        <v>329</v>
      </c>
      <c r="J492" s="3">
        <v>2</v>
      </c>
      <c r="K492" s="5">
        <v>681.58</v>
      </c>
      <c r="L492" s="5">
        <v>1295</v>
      </c>
      <c r="M492" s="6">
        <v>5</v>
      </c>
      <c r="N492" s="48">
        <v>115.08</v>
      </c>
      <c r="O492" s="5">
        <v>126.41</v>
      </c>
      <c r="P492" s="3" t="s">
        <v>35</v>
      </c>
      <c r="Q492" s="3" t="s">
        <v>36</v>
      </c>
      <c r="R492" s="28">
        <f t="shared" si="7"/>
        <v>8.8864864864864862E-2</v>
      </c>
    </row>
    <row r="493" spans="1:18" x14ac:dyDescent="0.3">
      <c r="A493" s="7" t="s">
        <v>996</v>
      </c>
      <c r="B493" s="8">
        <v>45655</v>
      </c>
      <c r="C493" s="7" t="s">
        <v>263</v>
      </c>
      <c r="D493" s="7" t="s">
        <v>29</v>
      </c>
      <c r="E493" s="7" t="s">
        <v>60</v>
      </c>
      <c r="F493" s="7" t="s">
        <v>104</v>
      </c>
      <c r="G493" s="7" t="s">
        <v>134</v>
      </c>
      <c r="H493" s="7" t="s">
        <v>135</v>
      </c>
      <c r="I493" s="7" t="s">
        <v>136</v>
      </c>
      <c r="J493" s="7">
        <v>1</v>
      </c>
      <c r="K493" s="9">
        <v>503.12</v>
      </c>
      <c r="L493" s="9">
        <v>402.5</v>
      </c>
      <c r="M493" s="10">
        <v>20</v>
      </c>
      <c r="N493" s="49">
        <v>35</v>
      </c>
      <c r="O493" s="9">
        <v>292.56</v>
      </c>
      <c r="P493" s="7" t="s">
        <v>35</v>
      </c>
      <c r="Q493" s="7" t="s">
        <v>65</v>
      </c>
      <c r="R493" s="28">
        <f t="shared" si="7"/>
        <v>8.6956521739130432E-2</v>
      </c>
    </row>
    <row r="494" spans="1:18" x14ac:dyDescent="0.3">
      <c r="A494" s="3" t="s">
        <v>997</v>
      </c>
      <c r="B494" s="4">
        <v>45656</v>
      </c>
      <c r="C494" s="3" t="s">
        <v>274</v>
      </c>
      <c r="D494" s="3" t="s">
        <v>39</v>
      </c>
      <c r="E494" s="3" t="s">
        <v>60</v>
      </c>
      <c r="F494" s="3" t="s">
        <v>68</v>
      </c>
      <c r="G494" s="3" t="s">
        <v>22</v>
      </c>
      <c r="H494" s="3" t="s">
        <v>23</v>
      </c>
      <c r="I494" s="3" t="s">
        <v>24</v>
      </c>
      <c r="J494" s="3">
        <v>5</v>
      </c>
      <c r="K494" s="5">
        <v>11068.08</v>
      </c>
      <c r="L494" s="5">
        <v>55340.4</v>
      </c>
      <c r="M494" s="6">
        <v>0</v>
      </c>
      <c r="N494" s="48">
        <v>5871.64</v>
      </c>
      <c r="O494" s="5">
        <v>289.47000000000003</v>
      </c>
      <c r="P494" s="3" t="s">
        <v>83</v>
      </c>
      <c r="Q494" s="3" t="s">
        <v>57</v>
      </c>
      <c r="R494" s="28">
        <f t="shared" si="7"/>
        <v>0.10610042572876235</v>
      </c>
    </row>
    <row r="495" spans="1:18" x14ac:dyDescent="0.3">
      <c r="A495" s="7" t="s">
        <v>998</v>
      </c>
      <c r="B495" s="8">
        <v>45656</v>
      </c>
      <c r="C495" s="7" t="s">
        <v>582</v>
      </c>
      <c r="D495" s="7" t="s">
        <v>19</v>
      </c>
      <c r="E495" s="7" t="s">
        <v>40</v>
      </c>
      <c r="F495" s="7" t="s">
        <v>109</v>
      </c>
      <c r="G495" s="7" t="s">
        <v>22</v>
      </c>
      <c r="H495" s="7" t="s">
        <v>105</v>
      </c>
      <c r="I495" s="7" t="s">
        <v>106</v>
      </c>
      <c r="J495" s="7">
        <v>2</v>
      </c>
      <c r="K495" s="9">
        <v>50954.14</v>
      </c>
      <c r="L495" s="9">
        <v>86622.04</v>
      </c>
      <c r="M495" s="10">
        <v>15</v>
      </c>
      <c r="N495" s="49">
        <v>1534.97</v>
      </c>
      <c r="O495" s="9">
        <v>79.23</v>
      </c>
      <c r="P495" s="7" t="s">
        <v>45</v>
      </c>
      <c r="Q495" s="7" t="s">
        <v>26</v>
      </c>
      <c r="R495" s="28">
        <f t="shared" si="7"/>
        <v>1.7720316907798524E-2</v>
      </c>
    </row>
    <row r="496" spans="1:18" x14ac:dyDescent="0.3">
      <c r="A496" s="3" t="s">
        <v>999</v>
      </c>
      <c r="B496" s="4">
        <v>45656</v>
      </c>
      <c r="C496" s="3" t="s">
        <v>1000</v>
      </c>
      <c r="D496" s="3" t="s">
        <v>39</v>
      </c>
      <c r="E496" s="3" t="s">
        <v>60</v>
      </c>
      <c r="F496" s="3" t="s">
        <v>72</v>
      </c>
      <c r="G496" s="3" t="s">
        <v>22</v>
      </c>
      <c r="H496" s="3" t="s">
        <v>105</v>
      </c>
      <c r="I496" s="3" t="s">
        <v>157</v>
      </c>
      <c r="J496" s="3">
        <v>3</v>
      </c>
      <c r="K496" s="5">
        <v>30919.68</v>
      </c>
      <c r="L496" s="5">
        <v>88121.09</v>
      </c>
      <c r="M496" s="6">
        <v>5</v>
      </c>
      <c r="N496" s="48">
        <v>8867.0499999999993</v>
      </c>
      <c r="O496" s="5">
        <v>242.77</v>
      </c>
      <c r="P496" s="3" t="s">
        <v>45</v>
      </c>
      <c r="Q496" s="3" t="s">
        <v>57</v>
      </c>
      <c r="R496" s="28">
        <f t="shared" si="7"/>
        <v>0.10062347163431591</v>
      </c>
    </row>
    <row r="497" spans="1:18" x14ac:dyDescent="0.3">
      <c r="A497" s="7" t="s">
        <v>1001</v>
      </c>
      <c r="B497" s="8">
        <v>45657</v>
      </c>
      <c r="C497" s="7" t="s">
        <v>1002</v>
      </c>
      <c r="D497" s="7" t="s">
        <v>39</v>
      </c>
      <c r="E497" s="7" t="s">
        <v>20</v>
      </c>
      <c r="F497" s="7" t="s">
        <v>54</v>
      </c>
      <c r="G497" s="7" t="s">
        <v>117</v>
      </c>
      <c r="H497" s="7" t="s">
        <v>125</v>
      </c>
      <c r="I497" s="7" t="s">
        <v>454</v>
      </c>
      <c r="J497" s="7">
        <v>3</v>
      </c>
      <c r="K497" s="9">
        <v>822.85</v>
      </c>
      <c r="L497" s="9">
        <v>2468.5500000000002</v>
      </c>
      <c r="M497" s="10">
        <v>0</v>
      </c>
      <c r="N497" s="49">
        <v>901.64</v>
      </c>
      <c r="O497" s="9">
        <v>254.15</v>
      </c>
      <c r="P497" s="7" t="s">
        <v>64</v>
      </c>
      <c r="Q497" s="7" t="s">
        <v>57</v>
      </c>
      <c r="R497" s="28">
        <f t="shared" si="7"/>
        <v>0.36525085576553035</v>
      </c>
    </row>
    <row r="498" spans="1:18" x14ac:dyDescent="0.3">
      <c r="A498" s="3" t="s">
        <v>1003</v>
      </c>
      <c r="B498" s="4">
        <v>45657</v>
      </c>
      <c r="C498" s="3" t="s">
        <v>654</v>
      </c>
      <c r="D498" s="3" t="s">
        <v>39</v>
      </c>
      <c r="E498" s="3" t="s">
        <v>20</v>
      </c>
      <c r="F498" s="3" t="s">
        <v>54</v>
      </c>
      <c r="G498" s="3" t="s">
        <v>22</v>
      </c>
      <c r="H498" s="3" t="s">
        <v>110</v>
      </c>
      <c r="I498" s="3" t="s">
        <v>359</v>
      </c>
      <c r="J498" s="3">
        <v>2</v>
      </c>
      <c r="K498" s="5">
        <v>57861.94</v>
      </c>
      <c r="L498" s="5">
        <v>109937.69</v>
      </c>
      <c r="M498" s="6">
        <v>5</v>
      </c>
      <c r="N498" s="48">
        <v>11382.62</v>
      </c>
      <c r="O498" s="5">
        <v>363.77</v>
      </c>
      <c r="P498" s="3" t="s">
        <v>35</v>
      </c>
      <c r="Q498" s="3" t="s">
        <v>26</v>
      </c>
      <c r="R498" s="28">
        <f t="shared" si="7"/>
        <v>0.10353701264780077</v>
      </c>
    </row>
    <row r="499" spans="1:18" x14ac:dyDescent="0.3">
      <c r="A499" s="7" t="s">
        <v>1004</v>
      </c>
      <c r="B499" s="8">
        <v>45658</v>
      </c>
      <c r="C499" s="7" t="s">
        <v>610</v>
      </c>
      <c r="D499" s="7" t="s">
        <v>39</v>
      </c>
      <c r="E499" s="7" t="s">
        <v>20</v>
      </c>
      <c r="F499" s="7" t="s">
        <v>129</v>
      </c>
      <c r="G499" s="7" t="s">
        <v>42</v>
      </c>
      <c r="H499" s="7" t="s">
        <v>164</v>
      </c>
      <c r="I499" s="7" t="s">
        <v>853</v>
      </c>
      <c r="J499" s="7">
        <v>1</v>
      </c>
      <c r="K499" s="9">
        <v>1071</v>
      </c>
      <c r="L499" s="9">
        <v>963.9</v>
      </c>
      <c r="M499" s="10">
        <v>10</v>
      </c>
      <c r="N499" s="49">
        <v>29.25</v>
      </c>
      <c r="O499" s="9">
        <v>208.57</v>
      </c>
      <c r="P499" s="7" t="s">
        <v>25</v>
      </c>
      <c r="Q499" s="7" t="s">
        <v>65</v>
      </c>
      <c r="R499" s="28">
        <f t="shared" si="7"/>
        <v>3.034547152194211E-2</v>
      </c>
    </row>
    <row r="500" spans="1:18" x14ac:dyDescent="0.3">
      <c r="A500" s="3" t="s">
        <v>1005</v>
      </c>
      <c r="B500" s="4">
        <v>45658</v>
      </c>
      <c r="C500" s="3" t="s">
        <v>894</v>
      </c>
      <c r="D500" s="3" t="s">
        <v>39</v>
      </c>
      <c r="E500" s="3" t="s">
        <v>60</v>
      </c>
      <c r="F500" s="3" t="s">
        <v>61</v>
      </c>
      <c r="G500" s="3" t="s">
        <v>32</v>
      </c>
      <c r="H500" s="3" t="s">
        <v>143</v>
      </c>
      <c r="I500" s="3" t="s">
        <v>321</v>
      </c>
      <c r="J500" s="3">
        <v>1</v>
      </c>
      <c r="K500" s="5">
        <v>2263.88</v>
      </c>
      <c r="L500" s="5">
        <v>2263.88</v>
      </c>
      <c r="M500" s="6">
        <v>0</v>
      </c>
      <c r="N500" s="48">
        <v>356.14</v>
      </c>
      <c r="O500" s="5">
        <v>37.99</v>
      </c>
      <c r="P500" s="3" t="s">
        <v>35</v>
      </c>
      <c r="Q500" s="3" t="s">
        <v>65</v>
      </c>
      <c r="R500" s="28">
        <f t="shared" si="7"/>
        <v>0.15731399190769826</v>
      </c>
    </row>
    <row r="501" spans="1:18" x14ac:dyDescent="0.3">
      <c r="A501" s="7" t="s">
        <v>1006</v>
      </c>
      <c r="B501" s="8">
        <v>45658</v>
      </c>
      <c r="C501" s="7" t="s">
        <v>1007</v>
      </c>
      <c r="D501" s="7" t="s">
        <v>39</v>
      </c>
      <c r="E501" s="7" t="s">
        <v>20</v>
      </c>
      <c r="F501" s="7" t="s">
        <v>21</v>
      </c>
      <c r="G501" s="7" t="s">
        <v>22</v>
      </c>
      <c r="H501" s="7" t="s">
        <v>55</v>
      </c>
      <c r="I501" s="7" t="s">
        <v>150</v>
      </c>
      <c r="J501" s="7">
        <v>1</v>
      </c>
      <c r="K501" s="9">
        <v>14456.58</v>
      </c>
      <c r="L501" s="9">
        <v>14456.58</v>
      </c>
      <c r="M501" s="10">
        <v>0</v>
      </c>
      <c r="N501" s="49">
        <v>770.05</v>
      </c>
      <c r="O501" s="9">
        <v>136.24</v>
      </c>
      <c r="P501" s="7" t="s">
        <v>45</v>
      </c>
      <c r="Q501" s="7" t="s">
        <v>57</v>
      </c>
      <c r="R501" s="28">
        <f t="shared" si="7"/>
        <v>5.3266401873748835E-2</v>
      </c>
    </row>
    <row r="502" spans="1:18" x14ac:dyDescent="0.3">
      <c r="A502" s="3" t="s">
        <v>1008</v>
      </c>
      <c r="B502" s="4">
        <v>45658</v>
      </c>
      <c r="C502" s="3" t="s">
        <v>293</v>
      </c>
      <c r="D502" s="3" t="s">
        <v>29</v>
      </c>
      <c r="E502" s="3" t="s">
        <v>40</v>
      </c>
      <c r="F502" s="3" t="s">
        <v>109</v>
      </c>
      <c r="G502" s="3" t="s">
        <v>22</v>
      </c>
      <c r="H502" s="3" t="s">
        <v>110</v>
      </c>
      <c r="I502" s="3" t="s">
        <v>317</v>
      </c>
      <c r="J502" s="3">
        <v>1</v>
      </c>
      <c r="K502" s="5">
        <v>36505.58</v>
      </c>
      <c r="L502" s="5">
        <v>34680.300000000003</v>
      </c>
      <c r="M502" s="6">
        <v>5</v>
      </c>
      <c r="N502" s="48">
        <v>4811.08</v>
      </c>
      <c r="O502" s="5">
        <v>149.44</v>
      </c>
      <c r="P502" s="3" t="s">
        <v>25</v>
      </c>
      <c r="Q502" s="3" t="s">
        <v>26</v>
      </c>
      <c r="R502" s="28">
        <f t="shared" si="7"/>
        <v>0.1387265969440864</v>
      </c>
    </row>
    <row r="503" spans="1:18" x14ac:dyDescent="0.3">
      <c r="A503" s="7" t="s">
        <v>1009</v>
      </c>
      <c r="B503" s="8">
        <v>45658</v>
      </c>
      <c r="C503" s="7" t="s">
        <v>1010</v>
      </c>
      <c r="D503" s="7" t="s">
        <v>39</v>
      </c>
      <c r="E503" s="7" t="s">
        <v>30</v>
      </c>
      <c r="F503" s="7" t="s">
        <v>48</v>
      </c>
      <c r="G503" s="7" t="s">
        <v>42</v>
      </c>
      <c r="H503" s="7" t="s">
        <v>81</v>
      </c>
      <c r="I503" s="7" t="s">
        <v>248</v>
      </c>
      <c r="J503" s="7">
        <v>1</v>
      </c>
      <c r="K503" s="9">
        <v>512.91</v>
      </c>
      <c r="L503" s="9">
        <v>487.26</v>
      </c>
      <c r="M503" s="10">
        <v>5</v>
      </c>
      <c r="N503" s="49">
        <v>55.03</v>
      </c>
      <c r="O503" s="9">
        <v>54.55</v>
      </c>
      <c r="P503" s="7" t="s">
        <v>35</v>
      </c>
      <c r="Q503" s="7" t="s">
        <v>65</v>
      </c>
      <c r="R503" s="28">
        <f t="shared" si="7"/>
        <v>0.11293765135656529</v>
      </c>
    </row>
    <row r="504" spans="1:18" x14ac:dyDescent="0.3">
      <c r="A504" s="3" t="s">
        <v>1011</v>
      </c>
      <c r="B504" s="4">
        <v>45660</v>
      </c>
      <c r="C504" s="3" t="s">
        <v>1012</v>
      </c>
      <c r="D504" s="3" t="s">
        <v>39</v>
      </c>
      <c r="E504" s="3" t="s">
        <v>20</v>
      </c>
      <c r="F504" s="3" t="s">
        <v>129</v>
      </c>
      <c r="G504" s="3" t="s">
        <v>32</v>
      </c>
      <c r="H504" s="3" t="s">
        <v>33</v>
      </c>
      <c r="I504" s="3" t="s">
        <v>69</v>
      </c>
      <c r="J504" s="3">
        <v>3</v>
      </c>
      <c r="K504" s="5">
        <v>6947.72</v>
      </c>
      <c r="L504" s="5">
        <v>16674.53</v>
      </c>
      <c r="M504" s="6">
        <v>20</v>
      </c>
      <c r="N504" s="48">
        <v>997.72</v>
      </c>
      <c r="O504" s="5">
        <v>181.21</v>
      </c>
      <c r="P504" s="3" t="s">
        <v>35</v>
      </c>
      <c r="Q504" s="3" t="s">
        <v>36</v>
      </c>
      <c r="R504" s="28">
        <f t="shared" si="7"/>
        <v>5.9834969861219479E-2</v>
      </c>
    </row>
    <row r="505" spans="1:18" x14ac:dyDescent="0.3">
      <c r="A505" s="7" t="s">
        <v>1013</v>
      </c>
      <c r="B505" s="8">
        <v>45660</v>
      </c>
      <c r="C505" s="7" t="s">
        <v>723</v>
      </c>
      <c r="D505" s="7" t="s">
        <v>29</v>
      </c>
      <c r="E505" s="7" t="s">
        <v>60</v>
      </c>
      <c r="F505" s="7" t="s">
        <v>104</v>
      </c>
      <c r="G505" s="7" t="s">
        <v>42</v>
      </c>
      <c r="H505" s="7" t="s">
        <v>172</v>
      </c>
      <c r="I505" s="7" t="s">
        <v>1014</v>
      </c>
      <c r="J505" s="7">
        <v>2</v>
      </c>
      <c r="K505" s="9">
        <v>231.05</v>
      </c>
      <c r="L505" s="9">
        <v>415.89</v>
      </c>
      <c r="M505" s="10">
        <v>10</v>
      </c>
      <c r="N505" s="49">
        <v>35.53</v>
      </c>
      <c r="O505" s="9">
        <v>84.45</v>
      </c>
      <c r="P505" s="7" t="s">
        <v>45</v>
      </c>
      <c r="Q505" s="7" t="s">
        <v>36</v>
      </c>
      <c r="R505" s="28">
        <f t="shared" si="7"/>
        <v>8.5431243838514997E-2</v>
      </c>
    </row>
    <row r="506" spans="1:18" x14ac:dyDescent="0.3">
      <c r="A506" s="3" t="s">
        <v>1015</v>
      </c>
      <c r="B506" s="4">
        <v>45660</v>
      </c>
      <c r="C506" s="3" t="s">
        <v>760</v>
      </c>
      <c r="D506" s="3" t="s">
        <v>39</v>
      </c>
      <c r="E506" s="3" t="s">
        <v>60</v>
      </c>
      <c r="F506" s="3" t="s">
        <v>72</v>
      </c>
      <c r="G506" s="3" t="s">
        <v>42</v>
      </c>
      <c r="H506" s="3" t="s">
        <v>172</v>
      </c>
      <c r="I506" s="3" t="s">
        <v>173</v>
      </c>
      <c r="J506" s="3">
        <v>5</v>
      </c>
      <c r="K506" s="5">
        <v>242.61</v>
      </c>
      <c r="L506" s="5">
        <v>1031.0899999999999</v>
      </c>
      <c r="M506" s="6">
        <v>15</v>
      </c>
      <c r="N506" s="48">
        <v>6.43</v>
      </c>
      <c r="O506" s="5">
        <v>99.9</v>
      </c>
      <c r="P506" s="3" t="s">
        <v>25</v>
      </c>
      <c r="Q506" s="3" t="s">
        <v>26</v>
      </c>
      <c r="R506" s="28">
        <f t="shared" si="7"/>
        <v>6.2361190584721022E-3</v>
      </c>
    </row>
    <row r="507" spans="1:18" x14ac:dyDescent="0.3">
      <c r="A507" s="7" t="s">
        <v>1016</v>
      </c>
      <c r="B507" s="8">
        <v>45660</v>
      </c>
      <c r="C507" s="7" t="s">
        <v>1017</v>
      </c>
      <c r="D507" s="7" t="s">
        <v>39</v>
      </c>
      <c r="E507" s="7" t="s">
        <v>20</v>
      </c>
      <c r="F507" s="7" t="s">
        <v>129</v>
      </c>
      <c r="G507" s="7" t="s">
        <v>117</v>
      </c>
      <c r="H507" s="7" t="s">
        <v>153</v>
      </c>
      <c r="I507" s="7" t="s">
        <v>154</v>
      </c>
      <c r="J507" s="7">
        <v>3</v>
      </c>
      <c r="K507" s="9">
        <v>1611.37</v>
      </c>
      <c r="L507" s="9">
        <v>4108.99</v>
      </c>
      <c r="M507" s="10">
        <v>15</v>
      </c>
      <c r="N507" s="49">
        <v>936.13</v>
      </c>
      <c r="O507" s="9">
        <v>347.34</v>
      </c>
      <c r="P507" s="7" t="s">
        <v>83</v>
      </c>
      <c r="Q507" s="7" t="s">
        <v>26</v>
      </c>
      <c r="R507" s="28">
        <f t="shared" si="7"/>
        <v>0.22782484260122318</v>
      </c>
    </row>
    <row r="508" spans="1:18" x14ac:dyDescent="0.3">
      <c r="A508" s="3" t="s">
        <v>1018</v>
      </c>
      <c r="B508" s="4">
        <v>45661</v>
      </c>
      <c r="C508" s="3" t="s">
        <v>898</v>
      </c>
      <c r="D508" s="3" t="s">
        <v>19</v>
      </c>
      <c r="E508" s="3" t="s">
        <v>20</v>
      </c>
      <c r="F508" s="3" t="s">
        <v>21</v>
      </c>
      <c r="G508" s="3" t="s">
        <v>22</v>
      </c>
      <c r="H508" s="3" t="s">
        <v>110</v>
      </c>
      <c r="I508" s="3" t="s">
        <v>542</v>
      </c>
      <c r="J508" s="3">
        <v>2</v>
      </c>
      <c r="K508" s="5">
        <v>60865.88</v>
      </c>
      <c r="L508" s="5">
        <v>115645.17</v>
      </c>
      <c r="M508" s="6">
        <v>5</v>
      </c>
      <c r="N508" s="48">
        <v>8940.81</v>
      </c>
      <c r="O508" s="5">
        <v>295.7</v>
      </c>
      <c r="P508" s="3" t="s">
        <v>64</v>
      </c>
      <c r="Q508" s="3" t="s">
        <v>57</v>
      </c>
      <c r="R508" s="28">
        <f t="shared" si="7"/>
        <v>7.73124376919503E-2</v>
      </c>
    </row>
    <row r="509" spans="1:18" x14ac:dyDescent="0.3">
      <c r="A509" s="7" t="s">
        <v>1019</v>
      </c>
      <c r="B509" s="8">
        <v>45662</v>
      </c>
      <c r="C509" s="7" t="s">
        <v>1020</v>
      </c>
      <c r="D509" s="7" t="s">
        <v>19</v>
      </c>
      <c r="E509" s="7" t="s">
        <v>60</v>
      </c>
      <c r="F509" s="7" t="s">
        <v>61</v>
      </c>
      <c r="G509" s="7" t="s">
        <v>32</v>
      </c>
      <c r="H509" s="7" t="s">
        <v>86</v>
      </c>
      <c r="I509" s="7" t="s">
        <v>233</v>
      </c>
      <c r="J509" s="7">
        <v>1</v>
      </c>
      <c r="K509" s="9">
        <v>11675.26</v>
      </c>
      <c r="L509" s="9">
        <v>8756.44</v>
      </c>
      <c r="M509" s="10">
        <v>25</v>
      </c>
      <c r="N509" s="49">
        <v>510.96</v>
      </c>
      <c r="O509" s="9">
        <v>224.73</v>
      </c>
      <c r="P509" s="7" t="s">
        <v>35</v>
      </c>
      <c r="Q509" s="7" t="s">
        <v>26</v>
      </c>
      <c r="R509" s="28">
        <f t="shared" si="7"/>
        <v>5.8352481145305619E-2</v>
      </c>
    </row>
    <row r="510" spans="1:18" x14ac:dyDescent="0.3">
      <c r="A510" s="3" t="s">
        <v>1021</v>
      </c>
      <c r="B510" s="4">
        <v>45663</v>
      </c>
      <c r="C510" s="3" t="s">
        <v>937</v>
      </c>
      <c r="D510" s="3" t="s">
        <v>19</v>
      </c>
      <c r="E510" s="3" t="s">
        <v>40</v>
      </c>
      <c r="F510" s="3" t="s">
        <v>41</v>
      </c>
      <c r="G510" s="3" t="s">
        <v>32</v>
      </c>
      <c r="H510" s="3" t="s">
        <v>73</v>
      </c>
      <c r="I510" s="3" t="s">
        <v>114</v>
      </c>
      <c r="J510" s="3">
        <v>1</v>
      </c>
      <c r="K510" s="5">
        <v>10196.77</v>
      </c>
      <c r="L510" s="5">
        <v>9686.93</v>
      </c>
      <c r="M510" s="6">
        <v>5</v>
      </c>
      <c r="N510" s="48">
        <v>1278.95</v>
      </c>
      <c r="O510" s="5">
        <v>132.11000000000001</v>
      </c>
      <c r="P510" s="3" t="s">
        <v>25</v>
      </c>
      <c r="Q510" s="3" t="s">
        <v>65</v>
      </c>
      <c r="R510" s="28">
        <f t="shared" si="7"/>
        <v>0.13202841354278394</v>
      </c>
    </row>
    <row r="511" spans="1:18" x14ac:dyDescent="0.3">
      <c r="A511" s="7" t="s">
        <v>1022</v>
      </c>
      <c r="B511" s="8">
        <v>45665</v>
      </c>
      <c r="C511" s="7" t="s">
        <v>237</v>
      </c>
      <c r="D511" s="7" t="s">
        <v>39</v>
      </c>
      <c r="E511" s="7" t="s">
        <v>60</v>
      </c>
      <c r="F511" s="7" t="s">
        <v>68</v>
      </c>
      <c r="G511" s="7" t="s">
        <v>32</v>
      </c>
      <c r="H511" s="7" t="s">
        <v>143</v>
      </c>
      <c r="I511" s="7" t="s">
        <v>385</v>
      </c>
      <c r="J511" s="7">
        <v>3</v>
      </c>
      <c r="K511" s="9">
        <v>9802.42</v>
      </c>
      <c r="L511" s="9">
        <v>27936.9</v>
      </c>
      <c r="M511" s="10">
        <v>5</v>
      </c>
      <c r="N511" s="49">
        <v>5639.28</v>
      </c>
      <c r="O511" s="9">
        <v>375.93</v>
      </c>
      <c r="P511" s="7" t="s">
        <v>25</v>
      </c>
      <c r="Q511" s="7" t="s">
        <v>65</v>
      </c>
      <c r="R511" s="28">
        <f t="shared" si="7"/>
        <v>0.20185775801896413</v>
      </c>
    </row>
    <row r="512" spans="1:18" x14ac:dyDescent="0.3">
      <c r="A512" s="3" t="s">
        <v>1023</v>
      </c>
      <c r="B512" s="4">
        <v>45666</v>
      </c>
      <c r="C512" s="3" t="s">
        <v>1024</v>
      </c>
      <c r="D512" s="3" t="s">
        <v>29</v>
      </c>
      <c r="E512" s="3" t="s">
        <v>40</v>
      </c>
      <c r="F512" s="3" t="s">
        <v>77</v>
      </c>
      <c r="G512" s="3" t="s">
        <v>42</v>
      </c>
      <c r="H512" s="3" t="s">
        <v>43</v>
      </c>
      <c r="I512" s="3" t="s">
        <v>44</v>
      </c>
      <c r="J512" s="3">
        <v>2</v>
      </c>
      <c r="K512" s="5">
        <v>892.01</v>
      </c>
      <c r="L512" s="5">
        <v>1516.42</v>
      </c>
      <c r="M512" s="6">
        <v>15</v>
      </c>
      <c r="N512" s="48">
        <v>9.92</v>
      </c>
      <c r="O512" s="5">
        <v>198.12</v>
      </c>
      <c r="P512" s="3" t="s">
        <v>25</v>
      </c>
      <c r="Q512" s="3" t="s">
        <v>65</v>
      </c>
      <c r="R512" s="28">
        <f t="shared" si="7"/>
        <v>6.5417232692789595E-3</v>
      </c>
    </row>
    <row r="513" spans="1:18" x14ac:dyDescent="0.3">
      <c r="A513" s="7" t="s">
        <v>1025</v>
      </c>
      <c r="B513" s="8">
        <v>45666</v>
      </c>
      <c r="C513" s="7" t="s">
        <v>1026</v>
      </c>
      <c r="D513" s="7" t="s">
        <v>39</v>
      </c>
      <c r="E513" s="7" t="s">
        <v>60</v>
      </c>
      <c r="F513" s="7" t="s">
        <v>68</v>
      </c>
      <c r="G513" s="7" t="s">
        <v>117</v>
      </c>
      <c r="H513" s="7" t="s">
        <v>125</v>
      </c>
      <c r="I513" s="7" t="s">
        <v>196</v>
      </c>
      <c r="J513" s="7">
        <v>2</v>
      </c>
      <c r="K513" s="9">
        <v>1425.15</v>
      </c>
      <c r="L513" s="9">
        <v>2850.3</v>
      </c>
      <c r="M513" s="10">
        <v>0</v>
      </c>
      <c r="N513" s="49">
        <v>687.42</v>
      </c>
      <c r="O513" s="9">
        <v>114.9</v>
      </c>
      <c r="P513" s="7" t="s">
        <v>83</v>
      </c>
      <c r="Q513" s="7" t="s">
        <v>36</v>
      </c>
      <c r="R513" s="28">
        <f t="shared" si="7"/>
        <v>0.24117461319861064</v>
      </c>
    </row>
    <row r="514" spans="1:18" x14ac:dyDescent="0.3">
      <c r="A514" s="3" t="s">
        <v>1027</v>
      </c>
      <c r="B514" s="4">
        <v>45667</v>
      </c>
      <c r="C514" s="3" t="s">
        <v>937</v>
      </c>
      <c r="D514" s="3" t="s">
        <v>29</v>
      </c>
      <c r="E514" s="3" t="s">
        <v>20</v>
      </c>
      <c r="F514" s="3" t="s">
        <v>21</v>
      </c>
      <c r="G514" s="3" t="s">
        <v>49</v>
      </c>
      <c r="H514" s="3" t="s">
        <v>98</v>
      </c>
      <c r="I514" s="3" t="s">
        <v>763</v>
      </c>
      <c r="J514" s="3">
        <v>1</v>
      </c>
      <c r="K514" s="5">
        <v>14669.67</v>
      </c>
      <c r="L514" s="5">
        <v>12469.22</v>
      </c>
      <c r="M514" s="6">
        <v>15</v>
      </c>
      <c r="N514" s="48">
        <v>1460.06</v>
      </c>
      <c r="O514" s="5">
        <v>200.21</v>
      </c>
      <c r="P514" s="3" t="s">
        <v>64</v>
      </c>
      <c r="Q514" s="3" t="s">
        <v>36</v>
      </c>
      <c r="R514" s="28">
        <f t="shared" si="7"/>
        <v>0.1170931301236164</v>
      </c>
    </row>
    <row r="515" spans="1:18" x14ac:dyDescent="0.3">
      <c r="A515" s="7" t="s">
        <v>1028</v>
      </c>
      <c r="B515" s="8">
        <v>45667</v>
      </c>
      <c r="C515" s="7" t="s">
        <v>1029</v>
      </c>
      <c r="D515" s="7" t="s">
        <v>29</v>
      </c>
      <c r="E515" s="7" t="s">
        <v>40</v>
      </c>
      <c r="F515" s="7" t="s">
        <v>41</v>
      </c>
      <c r="G515" s="7" t="s">
        <v>32</v>
      </c>
      <c r="H515" s="7" t="s">
        <v>143</v>
      </c>
      <c r="I515" s="7" t="s">
        <v>144</v>
      </c>
      <c r="J515" s="7">
        <v>1</v>
      </c>
      <c r="K515" s="9">
        <v>6507.39</v>
      </c>
      <c r="L515" s="9">
        <v>6182.02</v>
      </c>
      <c r="M515" s="10">
        <v>5</v>
      </c>
      <c r="N515" s="49">
        <v>880.83</v>
      </c>
      <c r="O515" s="9">
        <v>65.94</v>
      </c>
      <c r="P515" s="7" t="s">
        <v>64</v>
      </c>
      <c r="Q515" s="7" t="s">
        <v>26</v>
      </c>
      <c r="R515" s="28">
        <f t="shared" ref="R515:R578" si="8">N515/L515</f>
        <v>0.14248255424602313</v>
      </c>
    </row>
    <row r="516" spans="1:18" x14ac:dyDescent="0.3">
      <c r="A516" s="3" t="s">
        <v>1030</v>
      </c>
      <c r="B516" s="4">
        <v>45667</v>
      </c>
      <c r="C516" s="3" t="s">
        <v>440</v>
      </c>
      <c r="D516" s="3" t="s">
        <v>39</v>
      </c>
      <c r="E516" s="3" t="s">
        <v>60</v>
      </c>
      <c r="F516" s="3" t="s">
        <v>68</v>
      </c>
      <c r="G516" s="3" t="s">
        <v>134</v>
      </c>
      <c r="H516" s="3" t="s">
        <v>135</v>
      </c>
      <c r="I516" s="3" t="s">
        <v>185</v>
      </c>
      <c r="J516" s="3">
        <v>2</v>
      </c>
      <c r="K516" s="5">
        <v>4461.8999999999996</v>
      </c>
      <c r="L516" s="5">
        <v>7139.04</v>
      </c>
      <c r="M516" s="6">
        <v>20</v>
      </c>
      <c r="N516" s="48">
        <v>532.42999999999995</v>
      </c>
      <c r="O516" s="5">
        <v>341.46</v>
      </c>
      <c r="P516" s="3" t="s">
        <v>35</v>
      </c>
      <c r="Q516" s="3" t="s">
        <v>26</v>
      </c>
      <c r="R516" s="28">
        <f t="shared" si="8"/>
        <v>7.4580055581702859E-2</v>
      </c>
    </row>
    <row r="517" spans="1:18" x14ac:dyDescent="0.3">
      <c r="A517" s="7" t="s">
        <v>1031</v>
      </c>
      <c r="B517" s="8">
        <v>45667</v>
      </c>
      <c r="C517" s="7" t="s">
        <v>1032</v>
      </c>
      <c r="D517" s="7" t="s">
        <v>39</v>
      </c>
      <c r="E517" s="7" t="s">
        <v>40</v>
      </c>
      <c r="F517" s="7" t="s">
        <v>109</v>
      </c>
      <c r="G517" s="7" t="s">
        <v>117</v>
      </c>
      <c r="H517" s="7" t="s">
        <v>130</v>
      </c>
      <c r="I517" s="7" t="s">
        <v>131</v>
      </c>
      <c r="J517" s="7">
        <v>1</v>
      </c>
      <c r="K517" s="9">
        <v>390.29</v>
      </c>
      <c r="L517" s="9">
        <v>390.29</v>
      </c>
      <c r="M517" s="10">
        <v>0</v>
      </c>
      <c r="N517" s="49">
        <v>114.88</v>
      </c>
      <c r="O517" s="9">
        <v>185.05</v>
      </c>
      <c r="P517" s="7" t="s">
        <v>35</v>
      </c>
      <c r="Q517" s="7" t="s">
        <v>57</v>
      </c>
      <c r="R517" s="28">
        <f t="shared" si="8"/>
        <v>0.29434523046965072</v>
      </c>
    </row>
    <row r="518" spans="1:18" x14ac:dyDescent="0.3">
      <c r="A518" s="3" t="s">
        <v>1033</v>
      </c>
      <c r="B518" s="4">
        <v>45668</v>
      </c>
      <c r="C518" s="3" t="s">
        <v>1034</v>
      </c>
      <c r="D518" s="3" t="s">
        <v>39</v>
      </c>
      <c r="E518" s="3" t="s">
        <v>30</v>
      </c>
      <c r="F518" s="3" t="s">
        <v>226</v>
      </c>
      <c r="G518" s="3" t="s">
        <v>49</v>
      </c>
      <c r="H518" s="3" t="s">
        <v>62</v>
      </c>
      <c r="I518" s="3" t="s">
        <v>424</v>
      </c>
      <c r="J518" s="3">
        <v>4</v>
      </c>
      <c r="K518" s="5">
        <v>9838.66</v>
      </c>
      <c r="L518" s="5">
        <v>39354.639999999999</v>
      </c>
      <c r="M518" s="6">
        <v>0</v>
      </c>
      <c r="N518" s="48">
        <v>6158.4</v>
      </c>
      <c r="O518" s="5">
        <v>245.91</v>
      </c>
      <c r="P518" s="3" t="s">
        <v>35</v>
      </c>
      <c r="Q518" s="3" t="s">
        <v>65</v>
      </c>
      <c r="R518" s="28">
        <f t="shared" si="8"/>
        <v>0.1564847245458223</v>
      </c>
    </row>
    <row r="519" spans="1:18" x14ac:dyDescent="0.3">
      <c r="A519" s="7" t="s">
        <v>1035</v>
      </c>
      <c r="B519" s="8">
        <v>45668</v>
      </c>
      <c r="C519" s="7" t="s">
        <v>203</v>
      </c>
      <c r="D519" s="7" t="s">
        <v>39</v>
      </c>
      <c r="E519" s="7" t="s">
        <v>30</v>
      </c>
      <c r="F519" s="7" t="s">
        <v>48</v>
      </c>
      <c r="G519" s="7" t="s">
        <v>117</v>
      </c>
      <c r="H519" s="7" t="s">
        <v>125</v>
      </c>
      <c r="I519" s="7" t="s">
        <v>196</v>
      </c>
      <c r="J519" s="7">
        <v>3</v>
      </c>
      <c r="K519" s="9">
        <v>745.62</v>
      </c>
      <c r="L519" s="9">
        <v>2013.17</v>
      </c>
      <c r="M519" s="10">
        <v>10</v>
      </c>
      <c r="N519" s="49">
        <v>635.1</v>
      </c>
      <c r="O519" s="9">
        <v>92.57</v>
      </c>
      <c r="P519" s="7" t="s">
        <v>64</v>
      </c>
      <c r="Q519" s="7" t="s">
        <v>26</v>
      </c>
      <c r="R519" s="28">
        <f t="shared" si="8"/>
        <v>0.31547261284441952</v>
      </c>
    </row>
    <row r="520" spans="1:18" x14ac:dyDescent="0.3">
      <c r="A520" s="3" t="s">
        <v>1036</v>
      </c>
      <c r="B520" s="4">
        <v>45669</v>
      </c>
      <c r="C520" s="3" t="s">
        <v>1037</v>
      </c>
      <c r="D520" s="3" t="s">
        <v>39</v>
      </c>
      <c r="E520" s="3" t="s">
        <v>20</v>
      </c>
      <c r="F520" s="3" t="s">
        <v>54</v>
      </c>
      <c r="G520" s="3" t="s">
        <v>117</v>
      </c>
      <c r="H520" s="3" t="s">
        <v>153</v>
      </c>
      <c r="I520" s="3" t="s">
        <v>154</v>
      </c>
      <c r="J520" s="3">
        <v>2</v>
      </c>
      <c r="K520" s="5">
        <v>1393.77</v>
      </c>
      <c r="L520" s="5">
        <v>2369.41</v>
      </c>
      <c r="M520" s="6">
        <v>15</v>
      </c>
      <c r="N520" s="48">
        <v>310.3</v>
      </c>
      <c r="O520" s="5">
        <v>292.68</v>
      </c>
      <c r="P520" s="3" t="s">
        <v>35</v>
      </c>
      <c r="Q520" s="3" t="s">
        <v>26</v>
      </c>
      <c r="R520" s="28">
        <f t="shared" si="8"/>
        <v>0.1309608721158432</v>
      </c>
    </row>
    <row r="521" spans="1:18" x14ac:dyDescent="0.3">
      <c r="A521" s="7" t="s">
        <v>1038</v>
      </c>
      <c r="B521" s="8">
        <v>45670</v>
      </c>
      <c r="C521" s="7" t="s">
        <v>1039</v>
      </c>
      <c r="D521" s="7" t="s">
        <v>29</v>
      </c>
      <c r="E521" s="7" t="s">
        <v>30</v>
      </c>
      <c r="F521" s="7" t="s">
        <v>31</v>
      </c>
      <c r="G521" s="7" t="s">
        <v>49</v>
      </c>
      <c r="H521" s="7" t="s">
        <v>98</v>
      </c>
      <c r="I521" s="7" t="s">
        <v>258</v>
      </c>
      <c r="J521" s="7">
        <v>1</v>
      </c>
      <c r="K521" s="9">
        <v>5923.15</v>
      </c>
      <c r="L521" s="9">
        <v>5034.68</v>
      </c>
      <c r="M521" s="10">
        <v>15</v>
      </c>
      <c r="N521" s="49">
        <v>552.46</v>
      </c>
      <c r="O521" s="9">
        <v>278.2</v>
      </c>
      <c r="P521" s="7" t="s">
        <v>25</v>
      </c>
      <c r="Q521" s="7" t="s">
        <v>65</v>
      </c>
      <c r="R521" s="28">
        <f t="shared" si="8"/>
        <v>0.10973090643298085</v>
      </c>
    </row>
    <row r="522" spans="1:18" x14ac:dyDescent="0.3">
      <c r="A522" s="3" t="s">
        <v>1040</v>
      </c>
      <c r="B522" s="4">
        <v>45670</v>
      </c>
      <c r="C522" s="3" t="s">
        <v>1041</v>
      </c>
      <c r="D522" s="3" t="s">
        <v>39</v>
      </c>
      <c r="E522" s="3" t="s">
        <v>30</v>
      </c>
      <c r="F522" s="3" t="s">
        <v>226</v>
      </c>
      <c r="G522" s="3" t="s">
        <v>42</v>
      </c>
      <c r="H522" s="3" t="s">
        <v>172</v>
      </c>
      <c r="I522" s="3" t="s">
        <v>1014</v>
      </c>
      <c r="J522" s="3">
        <v>1</v>
      </c>
      <c r="K522" s="5">
        <v>227.75</v>
      </c>
      <c r="L522" s="5">
        <v>193.59</v>
      </c>
      <c r="M522" s="6">
        <v>15</v>
      </c>
      <c r="N522" s="48">
        <v>2.84</v>
      </c>
      <c r="O522" s="5">
        <v>144.71</v>
      </c>
      <c r="P522" s="3" t="s">
        <v>35</v>
      </c>
      <c r="Q522" s="3" t="s">
        <v>26</v>
      </c>
      <c r="R522" s="28">
        <f t="shared" si="8"/>
        <v>1.4670179244795701E-2</v>
      </c>
    </row>
    <row r="523" spans="1:18" x14ac:dyDescent="0.3">
      <c r="A523" s="7" t="s">
        <v>1042</v>
      </c>
      <c r="B523" s="8">
        <v>45671</v>
      </c>
      <c r="C523" s="7" t="s">
        <v>113</v>
      </c>
      <c r="D523" s="7" t="s">
        <v>39</v>
      </c>
      <c r="E523" s="7" t="s">
        <v>30</v>
      </c>
      <c r="F523" s="7" t="s">
        <v>48</v>
      </c>
      <c r="G523" s="7" t="s">
        <v>22</v>
      </c>
      <c r="H523" s="7" t="s">
        <v>110</v>
      </c>
      <c r="I523" s="7" t="s">
        <v>542</v>
      </c>
      <c r="J523" s="7">
        <v>1</v>
      </c>
      <c r="K523" s="9">
        <v>45120.24</v>
      </c>
      <c r="L523" s="9">
        <v>31584.17</v>
      </c>
      <c r="M523" s="10">
        <v>30</v>
      </c>
      <c r="N523" s="49">
        <v>-677.09</v>
      </c>
      <c r="O523" s="9">
        <v>149.86000000000001</v>
      </c>
      <c r="P523" s="7" t="s">
        <v>64</v>
      </c>
      <c r="Q523" s="7" t="s">
        <v>36</v>
      </c>
      <c r="R523" s="28">
        <f t="shared" si="8"/>
        <v>-2.1437637905317761E-2</v>
      </c>
    </row>
    <row r="524" spans="1:18" x14ac:dyDescent="0.3">
      <c r="A524" s="3" t="s">
        <v>1043</v>
      </c>
      <c r="B524" s="4">
        <v>45671</v>
      </c>
      <c r="C524" s="3" t="s">
        <v>67</v>
      </c>
      <c r="D524" s="3" t="s">
        <v>29</v>
      </c>
      <c r="E524" s="3" t="s">
        <v>60</v>
      </c>
      <c r="F524" s="3" t="s">
        <v>68</v>
      </c>
      <c r="G524" s="3" t="s">
        <v>134</v>
      </c>
      <c r="H524" s="3" t="s">
        <v>91</v>
      </c>
      <c r="I524" s="3" t="s">
        <v>92</v>
      </c>
      <c r="J524" s="3">
        <v>1</v>
      </c>
      <c r="K524" s="5">
        <v>3269.76</v>
      </c>
      <c r="L524" s="5">
        <v>2615.81</v>
      </c>
      <c r="M524" s="6">
        <v>20</v>
      </c>
      <c r="N524" s="48">
        <v>365.29</v>
      </c>
      <c r="O524" s="5">
        <v>46.07</v>
      </c>
      <c r="P524" s="3" t="s">
        <v>64</v>
      </c>
      <c r="Q524" s="3" t="s">
        <v>26</v>
      </c>
      <c r="R524" s="28">
        <f t="shared" si="8"/>
        <v>0.13964699270971517</v>
      </c>
    </row>
    <row r="525" spans="1:18" x14ac:dyDescent="0.3">
      <c r="A525" s="7" t="s">
        <v>1044</v>
      </c>
      <c r="B525" s="8">
        <v>45672</v>
      </c>
      <c r="C525" s="7" t="s">
        <v>138</v>
      </c>
      <c r="D525" s="7" t="s">
        <v>39</v>
      </c>
      <c r="E525" s="7" t="s">
        <v>20</v>
      </c>
      <c r="F525" s="7" t="s">
        <v>54</v>
      </c>
      <c r="G525" s="7" t="s">
        <v>42</v>
      </c>
      <c r="H525" s="7" t="s">
        <v>172</v>
      </c>
      <c r="I525" s="7" t="s">
        <v>1014</v>
      </c>
      <c r="J525" s="7">
        <v>1</v>
      </c>
      <c r="K525" s="9">
        <v>483.41</v>
      </c>
      <c r="L525" s="9">
        <v>459.24</v>
      </c>
      <c r="M525" s="10">
        <v>5</v>
      </c>
      <c r="N525" s="49">
        <v>48.22</v>
      </c>
      <c r="O525" s="9">
        <v>334.9</v>
      </c>
      <c r="P525" s="7" t="s">
        <v>64</v>
      </c>
      <c r="Q525" s="7" t="s">
        <v>65</v>
      </c>
      <c r="R525" s="28">
        <f t="shared" si="8"/>
        <v>0.10499956449786603</v>
      </c>
    </row>
    <row r="526" spans="1:18" x14ac:dyDescent="0.3">
      <c r="A526" s="3" t="s">
        <v>1045</v>
      </c>
      <c r="B526" s="4">
        <v>45672</v>
      </c>
      <c r="C526" s="3" t="s">
        <v>190</v>
      </c>
      <c r="D526" s="3" t="s">
        <v>39</v>
      </c>
      <c r="E526" s="3" t="s">
        <v>40</v>
      </c>
      <c r="F526" s="3" t="s">
        <v>41</v>
      </c>
      <c r="G526" s="3" t="s">
        <v>134</v>
      </c>
      <c r="H526" s="3" t="s">
        <v>91</v>
      </c>
      <c r="I526" s="3" t="s">
        <v>206</v>
      </c>
      <c r="J526" s="3">
        <v>3</v>
      </c>
      <c r="K526" s="5">
        <v>2170.2800000000002</v>
      </c>
      <c r="L526" s="5">
        <v>6510.84</v>
      </c>
      <c r="M526" s="6">
        <v>0</v>
      </c>
      <c r="N526" s="48">
        <v>1386.15</v>
      </c>
      <c r="O526" s="5">
        <v>224.74</v>
      </c>
      <c r="P526" s="3" t="s">
        <v>35</v>
      </c>
      <c r="Q526" s="3" t="s">
        <v>57</v>
      </c>
      <c r="R526" s="28">
        <f t="shared" si="8"/>
        <v>0.21289879646865842</v>
      </c>
    </row>
    <row r="527" spans="1:18" x14ac:dyDescent="0.3">
      <c r="A527" s="7" t="s">
        <v>1046</v>
      </c>
      <c r="B527" s="8">
        <v>45672</v>
      </c>
      <c r="C527" s="7" t="s">
        <v>977</v>
      </c>
      <c r="D527" s="7" t="s">
        <v>19</v>
      </c>
      <c r="E527" s="7" t="s">
        <v>30</v>
      </c>
      <c r="F527" s="7" t="s">
        <v>48</v>
      </c>
      <c r="G527" s="7" t="s">
        <v>49</v>
      </c>
      <c r="H527" s="7" t="s">
        <v>62</v>
      </c>
      <c r="I527" s="7" t="s">
        <v>63</v>
      </c>
      <c r="J527" s="7">
        <v>2</v>
      </c>
      <c r="K527" s="9">
        <v>7042.98</v>
      </c>
      <c r="L527" s="9">
        <v>11973.07</v>
      </c>
      <c r="M527" s="10">
        <v>15</v>
      </c>
      <c r="N527" s="49">
        <v>1816.03</v>
      </c>
      <c r="O527" s="9">
        <v>105.9</v>
      </c>
      <c r="P527" s="7" t="s">
        <v>35</v>
      </c>
      <c r="Q527" s="7" t="s">
        <v>26</v>
      </c>
      <c r="R527" s="28">
        <f t="shared" si="8"/>
        <v>0.15167622005049666</v>
      </c>
    </row>
    <row r="528" spans="1:18" x14ac:dyDescent="0.3">
      <c r="A528" s="3" t="s">
        <v>1047</v>
      </c>
      <c r="B528" s="4">
        <v>45674</v>
      </c>
      <c r="C528" s="3" t="s">
        <v>1048</v>
      </c>
      <c r="D528" s="3" t="s">
        <v>39</v>
      </c>
      <c r="E528" s="3" t="s">
        <v>40</v>
      </c>
      <c r="F528" s="3" t="s">
        <v>109</v>
      </c>
      <c r="G528" s="3" t="s">
        <v>49</v>
      </c>
      <c r="H528" s="3" t="s">
        <v>50</v>
      </c>
      <c r="I528" s="3" t="s">
        <v>193</v>
      </c>
      <c r="J528" s="3">
        <v>3</v>
      </c>
      <c r="K528" s="5">
        <v>13170.71</v>
      </c>
      <c r="L528" s="5">
        <v>35560.92</v>
      </c>
      <c r="M528" s="6">
        <v>10</v>
      </c>
      <c r="N528" s="48">
        <v>6576.37</v>
      </c>
      <c r="O528" s="5">
        <v>370.7</v>
      </c>
      <c r="P528" s="3" t="s">
        <v>64</v>
      </c>
      <c r="Q528" s="3" t="s">
        <v>26</v>
      </c>
      <c r="R528" s="28">
        <f t="shared" si="8"/>
        <v>0.18493250455837476</v>
      </c>
    </row>
    <row r="529" spans="1:18" x14ac:dyDescent="0.3">
      <c r="A529" s="7" t="s">
        <v>1049</v>
      </c>
      <c r="B529" s="8">
        <v>45674</v>
      </c>
      <c r="C529" s="7" t="s">
        <v>1050</v>
      </c>
      <c r="D529" s="7" t="s">
        <v>39</v>
      </c>
      <c r="E529" s="7" t="s">
        <v>60</v>
      </c>
      <c r="F529" s="7" t="s">
        <v>72</v>
      </c>
      <c r="G529" s="7" t="s">
        <v>49</v>
      </c>
      <c r="H529" s="7" t="s">
        <v>62</v>
      </c>
      <c r="I529" s="7" t="s">
        <v>341</v>
      </c>
      <c r="J529" s="7">
        <v>2</v>
      </c>
      <c r="K529" s="9">
        <v>9600.8700000000008</v>
      </c>
      <c r="L529" s="9">
        <v>18241.650000000001</v>
      </c>
      <c r="M529" s="10">
        <v>5</v>
      </c>
      <c r="N529" s="49">
        <v>1518.68</v>
      </c>
      <c r="O529" s="9">
        <v>296.01</v>
      </c>
      <c r="P529" s="7" t="s">
        <v>25</v>
      </c>
      <c r="Q529" s="7" t="s">
        <v>26</v>
      </c>
      <c r="R529" s="28">
        <f t="shared" si="8"/>
        <v>8.3253433762844914E-2</v>
      </c>
    </row>
    <row r="530" spans="1:18" x14ac:dyDescent="0.3">
      <c r="A530" s="3" t="s">
        <v>1051</v>
      </c>
      <c r="B530" s="4">
        <v>45674</v>
      </c>
      <c r="C530" s="3" t="s">
        <v>1052</v>
      </c>
      <c r="D530" s="3" t="s">
        <v>39</v>
      </c>
      <c r="E530" s="3" t="s">
        <v>20</v>
      </c>
      <c r="F530" s="3" t="s">
        <v>129</v>
      </c>
      <c r="G530" s="3" t="s">
        <v>134</v>
      </c>
      <c r="H530" s="3" t="s">
        <v>244</v>
      </c>
      <c r="I530" s="3" t="s">
        <v>334</v>
      </c>
      <c r="J530" s="3">
        <v>1</v>
      </c>
      <c r="K530" s="5">
        <v>1405.64</v>
      </c>
      <c r="L530" s="5">
        <v>1405.64</v>
      </c>
      <c r="M530" s="6">
        <v>0</v>
      </c>
      <c r="N530" s="48">
        <v>191.98</v>
      </c>
      <c r="O530" s="5">
        <v>30.21</v>
      </c>
      <c r="P530" s="3" t="s">
        <v>25</v>
      </c>
      <c r="Q530" s="3" t="s">
        <v>57</v>
      </c>
      <c r="R530" s="28">
        <f t="shared" si="8"/>
        <v>0.13657835576676813</v>
      </c>
    </row>
    <row r="531" spans="1:18" x14ac:dyDescent="0.3">
      <c r="A531" s="7" t="s">
        <v>1053</v>
      </c>
      <c r="B531" s="8">
        <v>45675</v>
      </c>
      <c r="C531" s="7" t="s">
        <v>555</v>
      </c>
      <c r="D531" s="7" t="s">
        <v>39</v>
      </c>
      <c r="E531" s="7" t="s">
        <v>40</v>
      </c>
      <c r="F531" s="7" t="s">
        <v>109</v>
      </c>
      <c r="G531" s="7" t="s">
        <v>49</v>
      </c>
      <c r="H531" s="7" t="s">
        <v>98</v>
      </c>
      <c r="I531" s="7" t="s">
        <v>258</v>
      </c>
      <c r="J531" s="7">
        <v>2</v>
      </c>
      <c r="K531" s="9">
        <v>3853.44</v>
      </c>
      <c r="L531" s="9">
        <v>7706.88</v>
      </c>
      <c r="M531" s="10">
        <v>0</v>
      </c>
      <c r="N531" s="49">
        <v>1459.96</v>
      </c>
      <c r="O531" s="9">
        <v>208.94</v>
      </c>
      <c r="P531" s="7" t="s">
        <v>25</v>
      </c>
      <c r="Q531" s="7" t="s">
        <v>65</v>
      </c>
      <c r="R531" s="28">
        <f t="shared" si="8"/>
        <v>0.18943593256934063</v>
      </c>
    </row>
    <row r="532" spans="1:18" x14ac:dyDescent="0.3">
      <c r="A532" s="3" t="s">
        <v>1054</v>
      </c>
      <c r="B532" s="4">
        <v>45676</v>
      </c>
      <c r="C532" s="3" t="s">
        <v>387</v>
      </c>
      <c r="D532" s="3" t="s">
        <v>39</v>
      </c>
      <c r="E532" s="3" t="s">
        <v>60</v>
      </c>
      <c r="F532" s="3" t="s">
        <v>68</v>
      </c>
      <c r="G532" s="3" t="s">
        <v>134</v>
      </c>
      <c r="H532" s="3" t="s">
        <v>135</v>
      </c>
      <c r="I532" s="3" t="s">
        <v>136</v>
      </c>
      <c r="J532" s="3">
        <v>5</v>
      </c>
      <c r="K532" s="5">
        <v>4180.91</v>
      </c>
      <c r="L532" s="5">
        <v>15678.41</v>
      </c>
      <c r="M532" s="6">
        <v>25</v>
      </c>
      <c r="N532" s="48">
        <v>1130.79</v>
      </c>
      <c r="O532" s="5">
        <v>341.69</v>
      </c>
      <c r="P532" s="3" t="s">
        <v>35</v>
      </c>
      <c r="Q532" s="3" t="s">
        <v>57</v>
      </c>
      <c r="R532" s="28">
        <f t="shared" si="8"/>
        <v>7.2124022780371222E-2</v>
      </c>
    </row>
    <row r="533" spans="1:18" x14ac:dyDescent="0.3">
      <c r="A533" s="7" t="s">
        <v>1055</v>
      </c>
      <c r="B533" s="8">
        <v>45676</v>
      </c>
      <c r="C533" s="7" t="s">
        <v>232</v>
      </c>
      <c r="D533" s="7" t="s">
        <v>29</v>
      </c>
      <c r="E533" s="7" t="s">
        <v>40</v>
      </c>
      <c r="F533" s="7" t="s">
        <v>90</v>
      </c>
      <c r="G533" s="7" t="s">
        <v>42</v>
      </c>
      <c r="H533" s="7" t="s">
        <v>164</v>
      </c>
      <c r="I533" s="7" t="s">
        <v>329</v>
      </c>
      <c r="J533" s="7">
        <v>2</v>
      </c>
      <c r="K533" s="9">
        <v>401.54</v>
      </c>
      <c r="L533" s="9">
        <v>602.30999999999995</v>
      </c>
      <c r="M533" s="10">
        <v>25</v>
      </c>
      <c r="N533" s="49">
        <v>-1.05</v>
      </c>
      <c r="O533" s="9">
        <v>360.41</v>
      </c>
      <c r="P533" s="7" t="s">
        <v>45</v>
      </c>
      <c r="Q533" s="7" t="s">
        <v>65</v>
      </c>
      <c r="R533" s="28">
        <f t="shared" si="8"/>
        <v>-1.7432883398914184E-3</v>
      </c>
    </row>
    <row r="534" spans="1:18" x14ac:dyDescent="0.3">
      <c r="A534" s="3" t="s">
        <v>1056</v>
      </c>
      <c r="B534" s="4">
        <v>45676</v>
      </c>
      <c r="C534" s="3" t="s">
        <v>1057</v>
      </c>
      <c r="D534" s="3" t="s">
        <v>39</v>
      </c>
      <c r="E534" s="3" t="s">
        <v>20</v>
      </c>
      <c r="F534" s="3" t="s">
        <v>129</v>
      </c>
      <c r="G534" s="3" t="s">
        <v>22</v>
      </c>
      <c r="H534" s="3" t="s">
        <v>55</v>
      </c>
      <c r="I534" s="3" t="s">
        <v>56</v>
      </c>
      <c r="J534" s="3">
        <v>2</v>
      </c>
      <c r="K534" s="5">
        <v>2072.27</v>
      </c>
      <c r="L534" s="5">
        <v>3937.31</v>
      </c>
      <c r="M534" s="6">
        <v>5</v>
      </c>
      <c r="N534" s="48">
        <v>519.29999999999995</v>
      </c>
      <c r="O534" s="5">
        <v>69.11</v>
      </c>
      <c r="P534" s="3" t="s">
        <v>64</v>
      </c>
      <c r="Q534" s="3" t="s">
        <v>65</v>
      </c>
      <c r="R534" s="28">
        <f t="shared" si="8"/>
        <v>0.13189207860188809</v>
      </c>
    </row>
    <row r="535" spans="1:18" x14ac:dyDescent="0.3">
      <c r="A535" s="7" t="s">
        <v>1058</v>
      </c>
      <c r="B535" s="8">
        <v>45677</v>
      </c>
      <c r="C535" s="7" t="s">
        <v>555</v>
      </c>
      <c r="D535" s="7" t="s">
        <v>29</v>
      </c>
      <c r="E535" s="7" t="s">
        <v>60</v>
      </c>
      <c r="F535" s="7" t="s">
        <v>104</v>
      </c>
      <c r="G535" s="7" t="s">
        <v>32</v>
      </c>
      <c r="H535" s="7" t="s">
        <v>73</v>
      </c>
      <c r="I535" s="7" t="s">
        <v>74</v>
      </c>
      <c r="J535" s="7">
        <v>1</v>
      </c>
      <c r="K535" s="9">
        <v>4141.59</v>
      </c>
      <c r="L535" s="9">
        <v>3520.35</v>
      </c>
      <c r="M535" s="10">
        <v>15</v>
      </c>
      <c r="N535" s="49">
        <v>396</v>
      </c>
      <c r="O535" s="9">
        <v>124.88</v>
      </c>
      <c r="P535" s="7" t="s">
        <v>25</v>
      </c>
      <c r="Q535" s="7" t="s">
        <v>36</v>
      </c>
      <c r="R535" s="28">
        <f t="shared" si="8"/>
        <v>0.1124888150325962</v>
      </c>
    </row>
    <row r="536" spans="1:18" x14ac:dyDescent="0.3">
      <c r="A536" s="3" t="s">
        <v>1059</v>
      </c>
      <c r="B536" s="4">
        <v>45677</v>
      </c>
      <c r="C536" s="3" t="s">
        <v>1060</v>
      </c>
      <c r="D536" s="3" t="s">
        <v>19</v>
      </c>
      <c r="E536" s="3" t="s">
        <v>30</v>
      </c>
      <c r="F536" s="3" t="s">
        <v>226</v>
      </c>
      <c r="G536" s="3" t="s">
        <v>117</v>
      </c>
      <c r="H536" s="3" t="s">
        <v>153</v>
      </c>
      <c r="I536" s="3" t="s">
        <v>356</v>
      </c>
      <c r="J536" s="3">
        <v>2</v>
      </c>
      <c r="K536" s="5">
        <v>1035.04</v>
      </c>
      <c r="L536" s="5">
        <v>1656.06</v>
      </c>
      <c r="M536" s="6">
        <v>20</v>
      </c>
      <c r="N536" s="48">
        <v>286.66000000000003</v>
      </c>
      <c r="O536" s="5">
        <v>55.95</v>
      </c>
      <c r="P536" s="3" t="s">
        <v>83</v>
      </c>
      <c r="Q536" s="3" t="s">
        <v>65</v>
      </c>
      <c r="R536" s="28">
        <f t="shared" si="8"/>
        <v>0.17309759308237627</v>
      </c>
    </row>
    <row r="537" spans="1:18" x14ac:dyDescent="0.3">
      <c r="A537" s="7" t="s">
        <v>1061</v>
      </c>
      <c r="B537" s="8">
        <v>45677</v>
      </c>
      <c r="C537" s="7" t="s">
        <v>408</v>
      </c>
      <c r="D537" s="7" t="s">
        <v>19</v>
      </c>
      <c r="E537" s="7" t="s">
        <v>20</v>
      </c>
      <c r="F537" s="7" t="s">
        <v>21</v>
      </c>
      <c r="G537" s="7" t="s">
        <v>134</v>
      </c>
      <c r="H537" s="7" t="s">
        <v>135</v>
      </c>
      <c r="I537" s="7" t="s">
        <v>185</v>
      </c>
      <c r="J537" s="7">
        <v>5</v>
      </c>
      <c r="K537" s="9">
        <v>1063.6600000000001</v>
      </c>
      <c r="L537" s="9">
        <v>4254.6400000000003</v>
      </c>
      <c r="M537" s="10">
        <v>20</v>
      </c>
      <c r="N537" s="49">
        <v>460.39</v>
      </c>
      <c r="O537" s="9">
        <v>148.69</v>
      </c>
      <c r="P537" s="7" t="s">
        <v>45</v>
      </c>
      <c r="Q537" s="7" t="s">
        <v>65</v>
      </c>
      <c r="R537" s="28">
        <f t="shared" si="8"/>
        <v>0.10820892014365492</v>
      </c>
    </row>
    <row r="538" spans="1:18" x14ac:dyDescent="0.3">
      <c r="A538" s="3" t="s">
        <v>1062</v>
      </c>
      <c r="B538" s="4">
        <v>45678</v>
      </c>
      <c r="C538" s="3" t="s">
        <v>336</v>
      </c>
      <c r="D538" s="3" t="s">
        <v>19</v>
      </c>
      <c r="E538" s="3" t="s">
        <v>30</v>
      </c>
      <c r="F538" s="3" t="s">
        <v>31</v>
      </c>
      <c r="G538" s="3" t="s">
        <v>134</v>
      </c>
      <c r="H538" s="3" t="s">
        <v>244</v>
      </c>
      <c r="I538" s="3" t="s">
        <v>334</v>
      </c>
      <c r="J538" s="3">
        <v>3</v>
      </c>
      <c r="K538" s="5">
        <v>4054.74</v>
      </c>
      <c r="L538" s="5">
        <v>12164.22</v>
      </c>
      <c r="M538" s="6">
        <v>0</v>
      </c>
      <c r="N538" s="48">
        <v>2070.3200000000002</v>
      </c>
      <c r="O538" s="5">
        <v>167.99</v>
      </c>
      <c r="P538" s="3" t="s">
        <v>45</v>
      </c>
      <c r="Q538" s="3" t="s">
        <v>26</v>
      </c>
      <c r="R538" s="28">
        <f t="shared" si="8"/>
        <v>0.17019751369179448</v>
      </c>
    </row>
    <row r="539" spans="1:18" x14ac:dyDescent="0.3">
      <c r="A539" s="7" t="s">
        <v>1063</v>
      </c>
      <c r="B539" s="8">
        <v>45678</v>
      </c>
      <c r="C539" s="7" t="s">
        <v>1064</v>
      </c>
      <c r="D539" s="7" t="s">
        <v>39</v>
      </c>
      <c r="E539" s="7" t="s">
        <v>40</v>
      </c>
      <c r="F539" s="7" t="s">
        <v>90</v>
      </c>
      <c r="G539" s="7" t="s">
        <v>117</v>
      </c>
      <c r="H539" s="7" t="s">
        <v>125</v>
      </c>
      <c r="I539" s="7" t="s">
        <v>217</v>
      </c>
      <c r="J539" s="7">
        <v>1</v>
      </c>
      <c r="K539" s="9">
        <v>917.49</v>
      </c>
      <c r="L539" s="9">
        <v>779.87</v>
      </c>
      <c r="M539" s="10">
        <v>15</v>
      </c>
      <c r="N539" s="49">
        <v>193.54</v>
      </c>
      <c r="O539" s="9">
        <v>268.67</v>
      </c>
      <c r="P539" s="7" t="s">
        <v>45</v>
      </c>
      <c r="Q539" s="7" t="s">
        <v>57</v>
      </c>
      <c r="R539" s="28">
        <f t="shared" si="8"/>
        <v>0.24816956672265889</v>
      </c>
    </row>
    <row r="540" spans="1:18" x14ac:dyDescent="0.3">
      <c r="A540" s="3" t="s">
        <v>1065</v>
      </c>
      <c r="B540" s="4">
        <v>45679</v>
      </c>
      <c r="C540" s="3" t="s">
        <v>1066</v>
      </c>
      <c r="D540" s="3" t="s">
        <v>19</v>
      </c>
      <c r="E540" s="3" t="s">
        <v>20</v>
      </c>
      <c r="F540" s="3" t="s">
        <v>21</v>
      </c>
      <c r="G540" s="3" t="s">
        <v>22</v>
      </c>
      <c r="H540" s="3" t="s">
        <v>55</v>
      </c>
      <c r="I540" s="3" t="s">
        <v>150</v>
      </c>
      <c r="J540" s="3">
        <v>1</v>
      </c>
      <c r="K540" s="5">
        <v>61312.47</v>
      </c>
      <c r="L540" s="5">
        <v>58246.85</v>
      </c>
      <c r="M540" s="6">
        <v>5</v>
      </c>
      <c r="N540" s="48">
        <v>-1825.22</v>
      </c>
      <c r="O540" s="5">
        <v>35.11</v>
      </c>
      <c r="P540" s="3" t="s">
        <v>35</v>
      </c>
      <c r="Q540" s="3" t="s">
        <v>26</v>
      </c>
      <c r="R540" s="28">
        <f t="shared" si="8"/>
        <v>-3.1335943488789521E-2</v>
      </c>
    </row>
    <row r="541" spans="1:18" x14ac:dyDescent="0.3">
      <c r="A541" s="7" t="s">
        <v>1067</v>
      </c>
      <c r="B541" s="8">
        <v>45680</v>
      </c>
      <c r="C541" s="7" t="s">
        <v>301</v>
      </c>
      <c r="D541" s="7" t="s">
        <v>19</v>
      </c>
      <c r="E541" s="7" t="s">
        <v>40</v>
      </c>
      <c r="F541" s="7" t="s">
        <v>109</v>
      </c>
      <c r="G541" s="7" t="s">
        <v>134</v>
      </c>
      <c r="H541" s="7" t="s">
        <v>91</v>
      </c>
      <c r="I541" s="7" t="s">
        <v>92</v>
      </c>
      <c r="J541" s="7">
        <v>2</v>
      </c>
      <c r="K541" s="9">
        <v>671.31</v>
      </c>
      <c r="L541" s="9">
        <v>939.83</v>
      </c>
      <c r="M541" s="10">
        <v>30</v>
      </c>
      <c r="N541" s="49">
        <v>79.55</v>
      </c>
      <c r="O541" s="9">
        <v>298.38</v>
      </c>
      <c r="P541" s="7" t="s">
        <v>35</v>
      </c>
      <c r="Q541" s="7" t="s">
        <v>57</v>
      </c>
      <c r="R541" s="28">
        <f t="shared" si="8"/>
        <v>8.4642967345158165E-2</v>
      </c>
    </row>
    <row r="542" spans="1:18" x14ac:dyDescent="0.3">
      <c r="A542" s="3" t="s">
        <v>1068</v>
      </c>
      <c r="B542" s="4">
        <v>45680</v>
      </c>
      <c r="C542" s="3" t="s">
        <v>1069</v>
      </c>
      <c r="D542" s="3" t="s">
        <v>29</v>
      </c>
      <c r="E542" s="3" t="s">
        <v>40</v>
      </c>
      <c r="F542" s="3" t="s">
        <v>109</v>
      </c>
      <c r="G542" s="3" t="s">
        <v>32</v>
      </c>
      <c r="H542" s="3" t="s">
        <v>86</v>
      </c>
      <c r="I542" s="3" t="s">
        <v>233</v>
      </c>
      <c r="J542" s="3">
        <v>1</v>
      </c>
      <c r="K542" s="5">
        <v>4190.21</v>
      </c>
      <c r="L542" s="5">
        <v>3980.7</v>
      </c>
      <c r="M542" s="6">
        <v>5</v>
      </c>
      <c r="N542" s="48">
        <v>614.20000000000005</v>
      </c>
      <c r="O542" s="5">
        <v>331.16</v>
      </c>
      <c r="P542" s="3" t="s">
        <v>64</v>
      </c>
      <c r="Q542" s="3" t="s">
        <v>26</v>
      </c>
      <c r="R542" s="28">
        <f t="shared" si="8"/>
        <v>0.1542944708217148</v>
      </c>
    </row>
    <row r="543" spans="1:18" x14ac:dyDescent="0.3">
      <c r="A543" s="7" t="s">
        <v>1070</v>
      </c>
      <c r="B543" s="8">
        <v>45680</v>
      </c>
      <c r="C543" s="7" t="s">
        <v>1071</v>
      </c>
      <c r="D543" s="7" t="s">
        <v>29</v>
      </c>
      <c r="E543" s="7" t="s">
        <v>30</v>
      </c>
      <c r="F543" s="7" t="s">
        <v>31</v>
      </c>
      <c r="G543" s="7" t="s">
        <v>22</v>
      </c>
      <c r="H543" s="7" t="s">
        <v>110</v>
      </c>
      <c r="I543" s="7" t="s">
        <v>480</v>
      </c>
      <c r="J543" s="7">
        <v>3</v>
      </c>
      <c r="K543" s="9">
        <v>47918.94</v>
      </c>
      <c r="L543" s="9">
        <v>136568.98000000001</v>
      </c>
      <c r="M543" s="10">
        <v>5</v>
      </c>
      <c r="N543" s="49">
        <v>5768.51</v>
      </c>
      <c r="O543" s="9">
        <v>61.07</v>
      </c>
      <c r="P543" s="7" t="s">
        <v>64</v>
      </c>
      <c r="Q543" s="7" t="s">
        <v>65</v>
      </c>
      <c r="R543" s="28">
        <f t="shared" si="8"/>
        <v>4.2238801227042919E-2</v>
      </c>
    </row>
    <row r="544" spans="1:18" x14ac:dyDescent="0.3">
      <c r="A544" s="3" t="s">
        <v>1072</v>
      </c>
      <c r="B544" s="4">
        <v>45681</v>
      </c>
      <c r="C544" s="3" t="s">
        <v>584</v>
      </c>
      <c r="D544" s="3" t="s">
        <v>39</v>
      </c>
      <c r="E544" s="3" t="s">
        <v>40</v>
      </c>
      <c r="F544" s="3" t="s">
        <v>109</v>
      </c>
      <c r="G544" s="3" t="s">
        <v>134</v>
      </c>
      <c r="H544" s="3" t="s">
        <v>244</v>
      </c>
      <c r="I544" s="3" t="s">
        <v>334</v>
      </c>
      <c r="J544" s="3">
        <v>2</v>
      </c>
      <c r="K544" s="5">
        <v>1453.76</v>
      </c>
      <c r="L544" s="5">
        <v>2762.14</v>
      </c>
      <c r="M544" s="6">
        <v>5</v>
      </c>
      <c r="N544" s="48">
        <v>499.89</v>
      </c>
      <c r="O544" s="5">
        <v>219.9</v>
      </c>
      <c r="P544" s="3" t="s">
        <v>35</v>
      </c>
      <c r="Q544" s="3" t="s">
        <v>57</v>
      </c>
      <c r="R544" s="28">
        <f t="shared" si="8"/>
        <v>0.18097924073363408</v>
      </c>
    </row>
    <row r="545" spans="1:18" x14ac:dyDescent="0.3">
      <c r="A545" s="7" t="s">
        <v>1073</v>
      </c>
      <c r="B545" s="8">
        <v>45681</v>
      </c>
      <c r="C545" s="7" t="s">
        <v>544</v>
      </c>
      <c r="D545" s="7" t="s">
        <v>29</v>
      </c>
      <c r="E545" s="7" t="s">
        <v>40</v>
      </c>
      <c r="F545" s="7" t="s">
        <v>77</v>
      </c>
      <c r="G545" s="7" t="s">
        <v>117</v>
      </c>
      <c r="H545" s="7" t="s">
        <v>130</v>
      </c>
      <c r="I545" s="7" t="s">
        <v>326</v>
      </c>
      <c r="J545" s="7">
        <v>3</v>
      </c>
      <c r="K545" s="9">
        <v>1505.77</v>
      </c>
      <c r="L545" s="9">
        <v>4291.4399999999996</v>
      </c>
      <c r="M545" s="10">
        <v>5</v>
      </c>
      <c r="N545" s="49">
        <v>997.5</v>
      </c>
      <c r="O545" s="9">
        <v>266.32</v>
      </c>
      <c r="P545" s="7" t="s">
        <v>64</v>
      </c>
      <c r="Q545" s="7" t="s">
        <v>57</v>
      </c>
      <c r="R545" s="28">
        <f t="shared" si="8"/>
        <v>0.23243946088026399</v>
      </c>
    </row>
    <row r="546" spans="1:18" x14ac:dyDescent="0.3">
      <c r="A546" s="3" t="s">
        <v>1074</v>
      </c>
      <c r="B546" s="4">
        <v>45681</v>
      </c>
      <c r="C546" s="3" t="s">
        <v>1075</v>
      </c>
      <c r="D546" s="3" t="s">
        <v>19</v>
      </c>
      <c r="E546" s="3" t="s">
        <v>60</v>
      </c>
      <c r="F546" s="3" t="s">
        <v>68</v>
      </c>
      <c r="G546" s="3" t="s">
        <v>117</v>
      </c>
      <c r="H546" s="3" t="s">
        <v>118</v>
      </c>
      <c r="I546" s="3" t="s">
        <v>553</v>
      </c>
      <c r="J546" s="3">
        <v>1</v>
      </c>
      <c r="K546" s="5">
        <v>200.76</v>
      </c>
      <c r="L546" s="5">
        <v>180.68</v>
      </c>
      <c r="M546" s="6">
        <v>10</v>
      </c>
      <c r="N546" s="48">
        <v>40.19</v>
      </c>
      <c r="O546" s="5">
        <v>146.74</v>
      </c>
      <c r="P546" s="3" t="s">
        <v>35</v>
      </c>
      <c r="Q546" s="3" t="s">
        <v>26</v>
      </c>
      <c r="R546" s="28">
        <f t="shared" si="8"/>
        <v>0.22243745849014832</v>
      </c>
    </row>
    <row r="547" spans="1:18" x14ac:dyDescent="0.3">
      <c r="A547" s="7" t="s">
        <v>1076</v>
      </c>
      <c r="B547" s="8">
        <v>45681</v>
      </c>
      <c r="C547" s="7" t="s">
        <v>1077</v>
      </c>
      <c r="D547" s="7" t="s">
        <v>39</v>
      </c>
      <c r="E547" s="7" t="s">
        <v>40</v>
      </c>
      <c r="F547" s="7" t="s">
        <v>41</v>
      </c>
      <c r="G547" s="7" t="s">
        <v>22</v>
      </c>
      <c r="H547" s="7" t="s">
        <v>110</v>
      </c>
      <c r="I547" s="7" t="s">
        <v>317</v>
      </c>
      <c r="J547" s="7">
        <v>2</v>
      </c>
      <c r="K547" s="9">
        <v>24543.51</v>
      </c>
      <c r="L547" s="9">
        <v>39269.620000000003</v>
      </c>
      <c r="M547" s="10">
        <v>20</v>
      </c>
      <c r="N547" s="49">
        <v>1417.45</v>
      </c>
      <c r="O547" s="9">
        <v>182.96</v>
      </c>
      <c r="P547" s="7" t="s">
        <v>64</v>
      </c>
      <c r="Q547" s="7" t="s">
        <v>57</v>
      </c>
      <c r="R547" s="28">
        <f t="shared" si="8"/>
        <v>3.6095332727945927E-2</v>
      </c>
    </row>
    <row r="548" spans="1:18" x14ac:dyDescent="0.3">
      <c r="A548" s="3" t="s">
        <v>1078</v>
      </c>
      <c r="B548" s="4">
        <v>45681</v>
      </c>
      <c r="C548" s="3" t="s">
        <v>1079</v>
      </c>
      <c r="D548" s="3" t="s">
        <v>19</v>
      </c>
      <c r="E548" s="3" t="s">
        <v>40</v>
      </c>
      <c r="F548" s="3" t="s">
        <v>109</v>
      </c>
      <c r="G548" s="3" t="s">
        <v>32</v>
      </c>
      <c r="H548" s="3" t="s">
        <v>86</v>
      </c>
      <c r="I548" s="3" t="s">
        <v>211</v>
      </c>
      <c r="J548" s="3">
        <v>3</v>
      </c>
      <c r="K548" s="5">
        <v>8775.9699999999993</v>
      </c>
      <c r="L548" s="5">
        <v>26327.91</v>
      </c>
      <c r="M548" s="6">
        <v>0</v>
      </c>
      <c r="N548" s="48">
        <v>4605.57</v>
      </c>
      <c r="O548" s="5">
        <v>225.21</v>
      </c>
      <c r="P548" s="3" t="s">
        <v>45</v>
      </c>
      <c r="Q548" s="3" t="s">
        <v>57</v>
      </c>
      <c r="R548" s="28">
        <f t="shared" si="8"/>
        <v>0.17493109023845796</v>
      </c>
    </row>
    <row r="549" spans="1:18" x14ac:dyDescent="0.3">
      <c r="A549" s="7" t="s">
        <v>1080</v>
      </c>
      <c r="B549" s="8">
        <v>45681</v>
      </c>
      <c r="C549" s="7" t="s">
        <v>446</v>
      </c>
      <c r="D549" s="7" t="s">
        <v>19</v>
      </c>
      <c r="E549" s="7" t="s">
        <v>20</v>
      </c>
      <c r="F549" s="7" t="s">
        <v>21</v>
      </c>
      <c r="G549" s="7" t="s">
        <v>134</v>
      </c>
      <c r="H549" s="7" t="s">
        <v>244</v>
      </c>
      <c r="I549" s="7" t="s">
        <v>270</v>
      </c>
      <c r="J549" s="7">
        <v>1</v>
      </c>
      <c r="K549" s="9">
        <v>1336.66</v>
      </c>
      <c r="L549" s="9">
        <v>1269.83</v>
      </c>
      <c r="M549" s="10">
        <v>5</v>
      </c>
      <c r="N549" s="49">
        <v>186.76</v>
      </c>
      <c r="O549" s="9">
        <v>62.61</v>
      </c>
      <c r="P549" s="7" t="s">
        <v>35</v>
      </c>
      <c r="Q549" s="7" t="s">
        <v>26</v>
      </c>
      <c r="R549" s="28">
        <f t="shared" si="8"/>
        <v>0.14707480528889694</v>
      </c>
    </row>
    <row r="550" spans="1:18" x14ac:dyDescent="0.3">
      <c r="A550" s="3" t="s">
        <v>1081</v>
      </c>
      <c r="B550" s="4">
        <v>45683</v>
      </c>
      <c r="C550" s="3" t="s">
        <v>71</v>
      </c>
      <c r="D550" s="3" t="s">
        <v>19</v>
      </c>
      <c r="E550" s="3" t="s">
        <v>60</v>
      </c>
      <c r="F550" s="3" t="s">
        <v>104</v>
      </c>
      <c r="G550" s="3" t="s">
        <v>42</v>
      </c>
      <c r="H550" s="3" t="s">
        <v>81</v>
      </c>
      <c r="I550" s="3" t="s">
        <v>621</v>
      </c>
      <c r="J550" s="3">
        <v>5</v>
      </c>
      <c r="K550" s="5">
        <v>910.5</v>
      </c>
      <c r="L550" s="5">
        <v>4097.25</v>
      </c>
      <c r="M550" s="6">
        <v>10</v>
      </c>
      <c r="N550" s="48">
        <v>455.91</v>
      </c>
      <c r="O550" s="5">
        <v>329.73</v>
      </c>
      <c r="P550" s="3" t="s">
        <v>45</v>
      </c>
      <c r="Q550" s="3" t="s">
        <v>65</v>
      </c>
      <c r="R550" s="28">
        <f t="shared" si="8"/>
        <v>0.11127219476478126</v>
      </c>
    </row>
    <row r="551" spans="1:18" x14ac:dyDescent="0.3">
      <c r="A551" s="7" t="s">
        <v>1082</v>
      </c>
      <c r="B551" s="8">
        <v>45683</v>
      </c>
      <c r="C551" s="7" t="s">
        <v>565</v>
      </c>
      <c r="D551" s="7" t="s">
        <v>39</v>
      </c>
      <c r="E551" s="7" t="s">
        <v>30</v>
      </c>
      <c r="F551" s="7" t="s">
        <v>48</v>
      </c>
      <c r="G551" s="7" t="s">
        <v>117</v>
      </c>
      <c r="H551" s="7" t="s">
        <v>130</v>
      </c>
      <c r="I551" s="7" t="s">
        <v>326</v>
      </c>
      <c r="J551" s="7">
        <v>4</v>
      </c>
      <c r="K551" s="9">
        <v>271.64</v>
      </c>
      <c r="L551" s="9">
        <v>814.92</v>
      </c>
      <c r="M551" s="10">
        <v>25</v>
      </c>
      <c r="N551" s="49">
        <v>92.39</v>
      </c>
      <c r="O551" s="9">
        <v>253.35</v>
      </c>
      <c r="P551" s="7" t="s">
        <v>35</v>
      </c>
      <c r="Q551" s="7" t="s">
        <v>65</v>
      </c>
      <c r="R551" s="28">
        <f t="shared" si="8"/>
        <v>0.11337309183723557</v>
      </c>
    </row>
    <row r="552" spans="1:18" x14ac:dyDescent="0.3">
      <c r="A552" s="3" t="s">
        <v>1083</v>
      </c>
      <c r="B552" s="4">
        <v>45683</v>
      </c>
      <c r="C552" s="3" t="s">
        <v>1077</v>
      </c>
      <c r="D552" s="3" t="s">
        <v>39</v>
      </c>
      <c r="E552" s="3" t="s">
        <v>60</v>
      </c>
      <c r="F552" s="3" t="s">
        <v>104</v>
      </c>
      <c r="G552" s="3" t="s">
        <v>117</v>
      </c>
      <c r="H552" s="3" t="s">
        <v>130</v>
      </c>
      <c r="I552" s="3" t="s">
        <v>310</v>
      </c>
      <c r="J552" s="3">
        <v>3</v>
      </c>
      <c r="K552" s="5">
        <v>1296.22</v>
      </c>
      <c r="L552" s="5">
        <v>2916.49</v>
      </c>
      <c r="M552" s="6">
        <v>25</v>
      </c>
      <c r="N552" s="48">
        <v>316.32</v>
      </c>
      <c r="O552" s="5">
        <v>369.76</v>
      </c>
      <c r="P552" s="3" t="s">
        <v>35</v>
      </c>
      <c r="Q552" s="3" t="s">
        <v>65</v>
      </c>
      <c r="R552" s="28">
        <f t="shared" si="8"/>
        <v>0.10845914095368063</v>
      </c>
    </row>
    <row r="553" spans="1:18" x14ac:dyDescent="0.3">
      <c r="A553" s="7" t="s">
        <v>1084</v>
      </c>
      <c r="B553" s="8">
        <v>45684</v>
      </c>
      <c r="C553" s="7" t="s">
        <v>859</v>
      </c>
      <c r="D553" s="7" t="s">
        <v>39</v>
      </c>
      <c r="E553" s="7" t="s">
        <v>40</v>
      </c>
      <c r="F553" s="7" t="s">
        <v>41</v>
      </c>
      <c r="G553" s="7" t="s">
        <v>22</v>
      </c>
      <c r="H553" s="7" t="s">
        <v>23</v>
      </c>
      <c r="I553" s="7" t="s">
        <v>24</v>
      </c>
      <c r="J553" s="7">
        <v>1</v>
      </c>
      <c r="K553" s="9">
        <v>39705.14</v>
      </c>
      <c r="L553" s="9">
        <v>39705.14</v>
      </c>
      <c r="M553" s="10">
        <v>0</v>
      </c>
      <c r="N553" s="49">
        <v>6516.34</v>
      </c>
      <c r="O553" s="9">
        <v>68.52</v>
      </c>
      <c r="P553" s="7" t="s">
        <v>35</v>
      </c>
      <c r="Q553" s="7" t="s">
        <v>57</v>
      </c>
      <c r="R553" s="28">
        <f t="shared" si="8"/>
        <v>0.16411829803395733</v>
      </c>
    </row>
    <row r="554" spans="1:18" x14ac:dyDescent="0.3">
      <c r="A554" s="3" t="s">
        <v>1085</v>
      </c>
      <c r="B554" s="4">
        <v>45684</v>
      </c>
      <c r="C554" s="3" t="s">
        <v>216</v>
      </c>
      <c r="D554" s="3" t="s">
        <v>39</v>
      </c>
      <c r="E554" s="3" t="s">
        <v>40</v>
      </c>
      <c r="F554" s="3" t="s">
        <v>41</v>
      </c>
      <c r="G554" s="3" t="s">
        <v>32</v>
      </c>
      <c r="H554" s="3" t="s">
        <v>86</v>
      </c>
      <c r="I554" s="3" t="s">
        <v>227</v>
      </c>
      <c r="J554" s="3">
        <v>1</v>
      </c>
      <c r="K554" s="5">
        <v>8643.69</v>
      </c>
      <c r="L554" s="5">
        <v>6482.77</v>
      </c>
      <c r="M554" s="6">
        <v>25</v>
      </c>
      <c r="N554" s="48">
        <v>145.69</v>
      </c>
      <c r="O554" s="5">
        <v>94.55</v>
      </c>
      <c r="P554" s="3" t="s">
        <v>35</v>
      </c>
      <c r="Q554" s="3" t="s">
        <v>65</v>
      </c>
      <c r="R554" s="28">
        <f t="shared" si="8"/>
        <v>2.2473417998787555E-2</v>
      </c>
    </row>
    <row r="555" spans="1:18" x14ac:dyDescent="0.3">
      <c r="A555" s="7" t="s">
        <v>1086</v>
      </c>
      <c r="B555" s="8">
        <v>45684</v>
      </c>
      <c r="C555" s="7" t="s">
        <v>1087</v>
      </c>
      <c r="D555" s="7" t="s">
        <v>39</v>
      </c>
      <c r="E555" s="7" t="s">
        <v>60</v>
      </c>
      <c r="F555" s="7" t="s">
        <v>72</v>
      </c>
      <c r="G555" s="7" t="s">
        <v>117</v>
      </c>
      <c r="H555" s="7" t="s">
        <v>153</v>
      </c>
      <c r="I555" s="7" t="s">
        <v>296</v>
      </c>
      <c r="J555" s="7">
        <v>1</v>
      </c>
      <c r="K555" s="9">
        <v>750.07</v>
      </c>
      <c r="L555" s="9">
        <v>750.07</v>
      </c>
      <c r="M555" s="10">
        <v>0</v>
      </c>
      <c r="N555" s="49">
        <v>208.48</v>
      </c>
      <c r="O555" s="9">
        <v>199.84</v>
      </c>
      <c r="P555" s="7" t="s">
        <v>35</v>
      </c>
      <c r="Q555" s="7" t="s">
        <v>26</v>
      </c>
      <c r="R555" s="28">
        <f t="shared" si="8"/>
        <v>0.27794739157678611</v>
      </c>
    </row>
    <row r="556" spans="1:18" x14ac:dyDescent="0.3">
      <c r="A556" s="3" t="s">
        <v>1088</v>
      </c>
      <c r="B556" s="4">
        <v>45685</v>
      </c>
      <c r="C556" s="3" t="s">
        <v>491</v>
      </c>
      <c r="D556" s="3" t="s">
        <v>39</v>
      </c>
      <c r="E556" s="3" t="s">
        <v>60</v>
      </c>
      <c r="F556" s="3" t="s">
        <v>104</v>
      </c>
      <c r="G556" s="3" t="s">
        <v>32</v>
      </c>
      <c r="H556" s="3" t="s">
        <v>73</v>
      </c>
      <c r="I556" s="3" t="s">
        <v>230</v>
      </c>
      <c r="J556" s="3">
        <v>2</v>
      </c>
      <c r="K556" s="5">
        <v>9554.39</v>
      </c>
      <c r="L556" s="5">
        <v>14331.58</v>
      </c>
      <c r="M556" s="6">
        <v>25</v>
      </c>
      <c r="N556" s="48">
        <v>-196.32</v>
      </c>
      <c r="O556" s="5">
        <v>216.87</v>
      </c>
      <c r="P556" s="3" t="s">
        <v>25</v>
      </c>
      <c r="Q556" s="3" t="s">
        <v>36</v>
      </c>
      <c r="R556" s="28">
        <f t="shared" si="8"/>
        <v>-1.3698419853219254E-2</v>
      </c>
    </row>
    <row r="557" spans="1:18" x14ac:dyDescent="0.3">
      <c r="A557" s="7" t="s">
        <v>1089</v>
      </c>
      <c r="B557" s="8">
        <v>45686</v>
      </c>
      <c r="C557" s="7" t="s">
        <v>1090</v>
      </c>
      <c r="D557" s="7" t="s">
        <v>39</v>
      </c>
      <c r="E557" s="7" t="s">
        <v>60</v>
      </c>
      <c r="F557" s="7" t="s">
        <v>72</v>
      </c>
      <c r="G557" s="7" t="s">
        <v>22</v>
      </c>
      <c r="H557" s="7" t="s">
        <v>105</v>
      </c>
      <c r="I557" s="7" t="s">
        <v>251</v>
      </c>
      <c r="J557" s="7">
        <v>4</v>
      </c>
      <c r="K557" s="9">
        <v>58702.69</v>
      </c>
      <c r="L557" s="9">
        <v>223070.22</v>
      </c>
      <c r="M557" s="10">
        <v>5</v>
      </c>
      <c r="N557" s="49">
        <v>803.76</v>
      </c>
      <c r="O557" s="9">
        <v>156.38</v>
      </c>
      <c r="P557" s="7" t="s">
        <v>35</v>
      </c>
      <c r="Q557" s="7" t="s">
        <v>65</v>
      </c>
      <c r="R557" s="28">
        <f t="shared" si="8"/>
        <v>3.6031703380218121E-3</v>
      </c>
    </row>
    <row r="558" spans="1:18" x14ac:dyDescent="0.3">
      <c r="A558" s="3" t="s">
        <v>1091</v>
      </c>
      <c r="B558" s="4">
        <v>45690</v>
      </c>
      <c r="C558" s="3" t="s">
        <v>695</v>
      </c>
      <c r="D558" s="3" t="s">
        <v>39</v>
      </c>
      <c r="E558" s="3" t="s">
        <v>30</v>
      </c>
      <c r="F558" s="3" t="s">
        <v>48</v>
      </c>
      <c r="G558" s="3" t="s">
        <v>22</v>
      </c>
      <c r="H558" s="3" t="s">
        <v>110</v>
      </c>
      <c r="I558" s="3" t="s">
        <v>480</v>
      </c>
      <c r="J558" s="3">
        <v>3</v>
      </c>
      <c r="K558" s="5">
        <v>26910.14</v>
      </c>
      <c r="L558" s="5">
        <v>64584.34</v>
      </c>
      <c r="M558" s="6">
        <v>20</v>
      </c>
      <c r="N558" s="48">
        <v>440.82</v>
      </c>
      <c r="O558" s="5">
        <v>170.75</v>
      </c>
      <c r="P558" s="3" t="s">
        <v>35</v>
      </c>
      <c r="Q558" s="3" t="s">
        <v>65</v>
      </c>
      <c r="R558" s="28">
        <f t="shared" si="8"/>
        <v>6.8254936103705642E-3</v>
      </c>
    </row>
    <row r="559" spans="1:18" x14ac:dyDescent="0.3">
      <c r="A559" s="7" t="s">
        <v>1092</v>
      </c>
      <c r="B559" s="8">
        <v>45690</v>
      </c>
      <c r="C559" s="7" t="s">
        <v>1093</v>
      </c>
      <c r="D559" s="7" t="s">
        <v>39</v>
      </c>
      <c r="E559" s="7" t="s">
        <v>20</v>
      </c>
      <c r="F559" s="7" t="s">
        <v>21</v>
      </c>
      <c r="G559" s="7" t="s">
        <v>117</v>
      </c>
      <c r="H559" s="7" t="s">
        <v>130</v>
      </c>
      <c r="I559" s="7" t="s">
        <v>131</v>
      </c>
      <c r="J559" s="7">
        <v>3</v>
      </c>
      <c r="K559" s="9">
        <v>658.27</v>
      </c>
      <c r="L559" s="9">
        <v>1974.81</v>
      </c>
      <c r="M559" s="10">
        <v>0</v>
      </c>
      <c r="N559" s="49">
        <v>445.12</v>
      </c>
      <c r="O559" s="9">
        <v>74.39</v>
      </c>
      <c r="P559" s="7" t="s">
        <v>64</v>
      </c>
      <c r="Q559" s="7" t="s">
        <v>65</v>
      </c>
      <c r="R559" s="28">
        <f t="shared" si="8"/>
        <v>0.22539889913460029</v>
      </c>
    </row>
    <row r="560" spans="1:18" x14ac:dyDescent="0.3">
      <c r="A560" s="3" t="s">
        <v>1094</v>
      </c>
      <c r="B560" s="4">
        <v>45690</v>
      </c>
      <c r="C560" s="3" t="s">
        <v>1095</v>
      </c>
      <c r="D560" s="3" t="s">
        <v>19</v>
      </c>
      <c r="E560" s="3" t="s">
        <v>40</v>
      </c>
      <c r="F560" s="3" t="s">
        <v>109</v>
      </c>
      <c r="G560" s="3" t="s">
        <v>42</v>
      </c>
      <c r="H560" s="3" t="s">
        <v>43</v>
      </c>
      <c r="I560" s="3" t="s">
        <v>44</v>
      </c>
      <c r="J560" s="3">
        <v>1</v>
      </c>
      <c r="K560" s="5">
        <v>721.73</v>
      </c>
      <c r="L560" s="5">
        <v>721.73</v>
      </c>
      <c r="M560" s="6">
        <v>0</v>
      </c>
      <c r="N560" s="48">
        <v>93.63</v>
      </c>
      <c r="O560" s="5">
        <v>95.43</v>
      </c>
      <c r="P560" s="3" t="s">
        <v>25</v>
      </c>
      <c r="Q560" s="3" t="s">
        <v>65</v>
      </c>
      <c r="R560" s="28">
        <f t="shared" si="8"/>
        <v>0.12972995441508597</v>
      </c>
    </row>
    <row r="561" spans="1:18" x14ac:dyDescent="0.3">
      <c r="A561" s="7" t="s">
        <v>1096</v>
      </c>
      <c r="B561" s="8">
        <v>45691</v>
      </c>
      <c r="C561" s="7" t="s">
        <v>1097</v>
      </c>
      <c r="D561" s="7" t="s">
        <v>39</v>
      </c>
      <c r="E561" s="7" t="s">
        <v>60</v>
      </c>
      <c r="F561" s="7" t="s">
        <v>61</v>
      </c>
      <c r="G561" s="7" t="s">
        <v>42</v>
      </c>
      <c r="H561" s="7" t="s">
        <v>81</v>
      </c>
      <c r="I561" s="7" t="s">
        <v>248</v>
      </c>
      <c r="J561" s="7">
        <v>3</v>
      </c>
      <c r="K561" s="9">
        <v>581.75</v>
      </c>
      <c r="L561" s="9">
        <v>1657.99</v>
      </c>
      <c r="M561" s="10">
        <v>5</v>
      </c>
      <c r="N561" s="49">
        <v>299.66000000000003</v>
      </c>
      <c r="O561" s="9">
        <v>241.18</v>
      </c>
      <c r="P561" s="7" t="s">
        <v>64</v>
      </c>
      <c r="Q561" s="7" t="s">
        <v>26</v>
      </c>
      <c r="R561" s="28">
        <f t="shared" si="8"/>
        <v>0.18073691638670922</v>
      </c>
    </row>
    <row r="562" spans="1:18" x14ac:dyDescent="0.3">
      <c r="A562" s="3" t="s">
        <v>1098</v>
      </c>
      <c r="B562" s="4">
        <v>45692</v>
      </c>
      <c r="C562" s="3" t="s">
        <v>1099</v>
      </c>
      <c r="D562" s="3" t="s">
        <v>39</v>
      </c>
      <c r="E562" s="3" t="s">
        <v>40</v>
      </c>
      <c r="F562" s="3" t="s">
        <v>41</v>
      </c>
      <c r="G562" s="3" t="s">
        <v>32</v>
      </c>
      <c r="H562" s="3" t="s">
        <v>143</v>
      </c>
      <c r="I562" s="3" t="s">
        <v>321</v>
      </c>
      <c r="J562" s="3">
        <v>2</v>
      </c>
      <c r="K562" s="5">
        <v>9286.35</v>
      </c>
      <c r="L562" s="5">
        <v>14858.16</v>
      </c>
      <c r="M562" s="6">
        <v>20</v>
      </c>
      <c r="N562" s="48">
        <v>508.4</v>
      </c>
      <c r="O562" s="5">
        <v>297.3</v>
      </c>
      <c r="P562" s="3" t="s">
        <v>35</v>
      </c>
      <c r="Q562" s="3" t="s">
        <v>65</v>
      </c>
      <c r="R562" s="28">
        <f t="shared" si="8"/>
        <v>3.4216888228421283E-2</v>
      </c>
    </row>
    <row r="563" spans="1:18" x14ac:dyDescent="0.3">
      <c r="A563" s="7" t="s">
        <v>1100</v>
      </c>
      <c r="B563" s="8">
        <v>45692</v>
      </c>
      <c r="C563" s="7" t="s">
        <v>958</v>
      </c>
      <c r="D563" s="7" t="s">
        <v>29</v>
      </c>
      <c r="E563" s="7" t="s">
        <v>60</v>
      </c>
      <c r="F563" s="7" t="s">
        <v>68</v>
      </c>
      <c r="G563" s="7" t="s">
        <v>32</v>
      </c>
      <c r="H563" s="7" t="s">
        <v>143</v>
      </c>
      <c r="I563" s="7" t="s">
        <v>321</v>
      </c>
      <c r="J563" s="7">
        <v>1</v>
      </c>
      <c r="K563" s="9">
        <v>3395.48</v>
      </c>
      <c r="L563" s="9">
        <v>2376.84</v>
      </c>
      <c r="M563" s="10">
        <v>30</v>
      </c>
      <c r="N563" s="49">
        <v>-149.94</v>
      </c>
      <c r="O563" s="9">
        <v>277.77999999999997</v>
      </c>
      <c r="P563" s="7" t="s">
        <v>35</v>
      </c>
      <c r="Q563" s="7" t="s">
        <v>65</v>
      </c>
      <c r="R563" s="28">
        <f t="shared" si="8"/>
        <v>-6.3083758267279244E-2</v>
      </c>
    </row>
    <row r="564" spans="1:18" x14ac:dyDescent="0.3">
      <c r="A564" s="3" t="s">
        <v>1101</v>
      </c>
      <c r="B564" s="4">
        <v>45692</v>
      </c>
      <c r="C564" s="3" t="s">
        <v>776</v>
      </c>
      <c r="D564" s="3" t="s">
        <v>29</v>
      </c>
      <c r="E564" s="3" t="s">
        <v>30</v>
      </c>
      <c r="F564" s="3" t="s">
        <v>31</v>
      </c>
      <c r="G564" s="3" t="s">
        <v>49</v>
      </c>
      <c r="H564" s="3" t="s">
        <v>91</v>
      </c>
      <c r="I564" s="3" t="s">
        <v>168</v>
      </c>
      <c r="J564" s="3">
        <v>1</v>
      </c>
      <c r="K564" s="5">
        <v>2313.3200000000002</v>
      </c>
      <c r="L564" s="5">
        <v>1619.32</v>
      </c>
      <c r="M564" s="6">
        <v>30</v>
      </c>
      <c r="N564" s="48">
        <v>152.94999999999999</v>
      </c>
      <c r="O564" s="5">
        <v>98.15</v>
      </c>
      <c r="P564" s="3" t="s">
        <v>64</v>
      </c>
      <c r="Q564" s="3" t="s">
        <v>65</v>
      </c>
      <c r="R564" s="28">
        <f t="shared" si="8"/>
        <v>9.4453227280586916E-2</v>
      </c>
    </row>
    <row r="565" spans="1:18" x14ac:dyDescent="0.3">
      <c r="A565" s="7" t="s">
        <v>1102</v>
      </c>
      <c r="B565" s="8">
        <v>45693</v>
      </c>
      <c r="C565" s="7" t="s">
        <v>410</v>
      </c>
      <c r="D565" s="7" t="s">
        <v>19</v>
      </c>
      <c r="E565" s="7" t="s">
        <v>30</v>
      </c>
      <c r="F565" s="7" t="s">
        <v>31</v>
      </c>
      <c r="G565" s="7" t="s">
        <v>22</v>
      </c>
      <c r="H565" s="7" t="s">
        <v>105</v>
      </c>
      <c r="I565" s="7" t="s">
        <v>629</v>
      </c>
      <c r="J565" s="7">
        <v>1</v>
      </c>
      <c r="K565" s="9">
        <v>15530.48</v>
      </c>
      <c r="L565" s="9">
        <v>13977.43</v>
      </c>
      <c r="M565" s="10">
        <v>10</v>
      </c>
      <c r="N565" s="49">
        <v>-171.09</v>
      </c>
      <c r="O565" s="9">
        <v>170.61</v>
      </c>
      <c r="P565" s="7" t="s">
        <v>25</v>
      </c>
      <c r="Q565" s="7" t="s">
        <v>57</v>
      </c>
      <c r="R565" s="28">
        <f t="shared" si="8"/>
        <v>-1.2240447635938796E-2</v>
      </c>
    </row>
    <row r="566" spans="1:18" x14ac:dyDescent="0.3">
      <c r="A566" s="3" t="s">
        <v>1103</v>
      </c>
      <c r="B566" s="4">
        <v>45695</v>
      </c>
      <c r="C566" s="3" t="s">
        <v>1066</v>
      </c>
      <c r="D566" s="3" t="s">
        <v>39</v>
      </c>
      <c r="E566" s="3" t="s">
        <v>20</v>
      </c>
      <c r="F566" s="3" t="s">
        <v>21</v>
      </c>
      <c r="G566" s="3" t="s">
        <v>22</v>
      </c>
      <c r="H566" s="3" t="s">
        <v>110</v>
      </c>
      <c r="I566" s="3" t="s">
        <v>480</v>
      </c>
      <c r="J566" s="3">
        <v>3</v>
      </c>
      <c r="K566" s="5">
        <v>18927.009999999998</v>
      </c>
      <c r="L566" s="5">
        <v>53941.98</v>
      </c>
      <c r="M566" s="6">
        <v>5</v>
      </c>
      <c r="N566" s="48">
        <v>5559.86</v>
      </c>
      <c r="O566" s="5">
        <v>148.41999999999999</v>
      </c>
      <c r="P566" s="3" t="s">
        <v>35</v>
      </c>
      <c r="Q566" s="3" t="s">
        <v>36</v>
      </c>
      <c r="R566" s="28">
        <f t="shared" si="8"/>
        <v>0.10307111455678859</v>
      </c>
    </row>
    <row r="567" spans="1:18" x14ac:dyDescent="0.3">
      <c r="A567" s="7" t="s">
        <v>1104</v>
      </c>
      <c r="B567" s="8">
        <v>45695</v>
      </c>
      <c r="C567" s="7" t="s">
        <v>898</v>
      </c>
      <c r="D567" s="7" t="s">
        <v>39</v>
      </c>
      <c r="E567" s="7" t="s">
        <v>60</v>
      </c>
      <c r="F567" s="7" t="s">
        <v>68</v>
      </c>
      <c r="G567" s="7" t="s">
        <v>49</v>
      </c>
      <c r="H567" s="7" t="s">
        <v>98</v>
      </c>
      <c r="I567" s="7" t="s">
        <v>763</v>
      </c>
      <c r="J567" s="7">
        <v>3</v>
      </c>
      <c r="K567" s="9">
        <v>10391.040000000001</v>
      </c>
      <c r="L567" s="9">
        <v>28055.81</v>
      </c>
      <c r="M567" s="10">
        <v>10</v>
      </c>
      <c r="N567" s="49">
        <v>1131.74</v>
      </c>
      <c r="O567" s="9">
        <v>279.42</v>
      </c>
      <c r="P567" s="7" t="s">
        <v>35</v>
      </c>
      <c r="Q567" s="7" t="s">
        <v>26</v>
      </c>
      <c r="R567" s="28">
        <f t="shared" si="8"/>
        <v>4.0338881679053286E-2</v>
      </c>
    </row>
    <row r="568" spans="1:18" x14ac:dyDescent="0.3">
      <c r="A568" s="3" t="s">
        <v>1105</v>
      </c>
      <c r="B568" s="4">
        <v>45696</v>
      </c>
      <c r="C568" s="3" t="s">
        <v>314</v>
      </c>
      <c r="D568" s="3" t="s">
        <v>39</v>
      </c>
      <c r="E568" s="3" t="s">
        <v>60</v>
      </c>
      <c r="F568" s="3" t="s">
        <v>61</v>
      </c>
      <c r="G568" s="3" t="s">
        <v>22</v>
      </c>
      <c r="H568" s="3" t="s">
        <v>624</v>
      </c>
      <c r="I568" s="3" t="s">
        <v>640</v>
      </c>
      <c r="J568" s="3">
        <v>1</v>
      </c>
      <c r="K568" s="5">
        <v>36208.04</v>
      </c>
      <c r="L568" s="5">
        <v>28966.43</v>
      </c>
      <c r="M568" s="6">
        <v>20</v>
      </c>
      <c r="N568" s="48">
        <v>-3687.22</v>
      </c>
      <c r="O568" s="5">
        <v>316.14999999999998</v>
      </c>
      <c r="P568" s="3" t="s">
        <v>35</v>
      </c>
      <c r="Q568" s="3" t="s">
        <v>36</v>
      </c>
      <c r="R568" s="28">
        <f t="shared" si="8"/>
        <v>-0.12729286971159373</v>
      </c>
    </row>
    <row r="569" spans="1:18" x14ac:dyDescent="0.3">
      <c r="A569" s="7" t="s">
        <v>1106</v>
      </c>
      <c r="B569" s="8">
        <v>45697</v>
      </c>
      <c r="C569" s="7" t="s">
        <v>1107</v>
      </c>
      <c r="D569" s="7" t="s">
        <v>39</v>
      </c>
      <c r="E569" s="7" t="s">
        <v>20</v>
      </c>
      <c r="F569" s="7" t="s">
        <v>129</v>
      </c>
      <c r="G569" s="7" t="s">
        <v>22</v>
      </c>
      <c r="H569" s="7" t="s">
        <v>23</v>
      </c>
      <c r="I569" s="7" t="s">
        <v>24</v>
      </c>
      <c r="J569" s="7">
        <v>2</v>
      </c>
      <c r="K569" s="9">
        <v>39932.32</v>
      </c>
      <c r="L569" s="9">
        <v>79864.639999999999</v>
      </c>
      <c r="M569" s="10">
        <v>0</v>
      </c>
      <c r="N569" s="49">
        <v>7547.46</v>
      </c>
      <c r="O569" s="9">
        <v>247.02</v>
      </c>
      <c r="P569" s="7" t="s">
        <v>64</v>
      </c>
      <c r="Q569" s="7" t="s">
        <v>65</v>
      </c>
      <c r="R569" s="28">
        <f t="shared" si="8"/>
        <v>9.4503149328664104E-2</v>
      </c>
    </row>
    <row r="570" spans="1:18" x14ac:dyDescent="0.3">
      <c r="A570" s="3" t="s">
        <v>1108</v>
      </c>
      <c r="B570" s="4">
        <v>45698</v>
      </c>
      <c r="C570" s="3" t="s">
        <v>1109</v>
      </c>
      <c r="D570" s="3" t="s">
        <v>39</v>
      </c>
      <c r="E570" s="3" t="s">
        <v>40</v>
      </c>
      <c r="F570" s="3" t="s">
        <v>77</v>
      </c>
      <c r="G570" s="3" t="s">
        <v>42</v>
      </c>
      <c r="H570" s="3" t="s">
        <v>172</v>
      </c>
      <c r="I570" s="3" t="s">
        <v>173</v>
      </c>
      <c r="J570" s="3">
        <v>1</v>
      </c>
      <c r="K570" s="5">
        <v>278.95</v>
      </c>
      <c r="L570" s="5">
        <v>251.06</v>
      </c>
      <c r="M570" s="6">
        <v>10</v>
      </c>
      <c r="N570" s="48">
        <v>14.72</v>
      </c>
      <c r="O570" s="5">
        <v>89.62</v>
      </c>
      <c r="P570" s="3" t="s">
        <v>25</v>
      </c>
      <c r="Q570" s="3" t="s">
        <v>65</v>
      </c>
      <c r="R570" s="28">
        <f t="shared" si="8"/>
        <v>5.8631402851907911E-2</v>
      </c>
    </row>
    <row r="571" spans="1:18" x14ac:dyDescent="0.3">
      <c r="A571" s="7" t="s">
        <v>1110</v>
      </c>
      <c r="B571" s="8">
        <v>45699</v>
      </c>
      <c r="C571" s="7" t="s">
        <v>723</v>
      </c>
      <c r="D571" s="7" t="s">
        <v>39</v>
      </c>
      <c r="E571" s="7" t="s">
        <v>40</v>
      </c>
      <c r="F571" s="7" t="s">
        <v>41</v>
      </c>
      <c r="G571" s="7" t="s">
        <v>22</v>
      </c>
      <c r="H571" s="7" t="s">
        <v>624</v>
      </c>
      <c r="I571" s="7" t="s">
        <v>640</v>
      </c>
      <c r="J571" s="7">
        <v>5</v>
      </c>
      <c r="K571" s="9">
        <v>19700.09</v>
      </c>
      <c r="L571" s="9">
        <v>98500.45</v>
      </c>
      <c r="M571" s="10">
        <v>0</v>
      </c>
      <c r="N571" s="49">
        <v>20777.39</v>
      </c>
      <c r="O571" s="9">
        <v>270.25</v>
      </c>
      <c r="P571" s="7" t="s">
        <v>64</v>
      </c>
      <c r="Q571" s="7" t="s">
        <v>26</v>
      </c>
      <c r="R571" s="28">
        <f t="shared" si="8"/>
        <v>0.21093700587154679</v>
      </c>
    </row>
    <row r="572" spans="1:18" x14ac:dyDescent="0.3">
      <c r="A572" s="3" t="s">
        <v>1111</v>
      </c>
      <c r="B572" s="4">
        <v>45702</v>
      </c>
      <c r="C572" s="3" t="s">
        <v>1020</v>
      </c>
      <c r="D572" s="3" t="s">
        <v>39</v>
      </c>
      <c r="E572" s="3" t="s">
        <v>30</v>
      </c>
      <c r="F572" s="3" t="s">
        <v>31</v>
      </c>
      <c r="G572" s="3" t="s">
        <v>49</v>
      </c>
      <c r="H572" s="3" t="s">
        <v>91</v>
      </c>
      <c r="I572" s="3" t="s">
        <v>168</v>
      </c>
      <c r="J572" s="3">
        <v>2</v>
      </c>
      <c r="K572" s="5">
        <v>11248.81</v>
      </c>
      <c r="L572" s="5">
        <v>20247.86</v>
      </c>
      <c r="M572" s="6">
        <v>10</v>
      </c>
      <c r="N572" s="48">
        <v>3086</v>
      </c>
      <c r="O572" s="5">
        <v>55.73</v>
      </c>
      <c r="P572" s="3" t="s">
        <v>45</v>
      </c>
      <c r="Q572" s="3" t="s">
        <v>65</v>
      </c>
      <c r="R572" s="28">
        <f t="shared" si="8"/>
        <v>0.15241116839014099</v>
      </c>
    </row>
    <row r="573" spans="1:18" x14ac:dyDescent="0.3">
      <c r="A573" s="7" t="s">
        <v>1112</v>
      </c>
      <c r="B573" s="8">
        <v>45703</v>
      </c>
      <c r="C573" s="7" t="s">
        <v>1113</v>
      </c>
      <c r="D573" s="7" t="s">
        <v>39</v>
      </c>
      <c r="E573" s="7" t="s">
        <v>20</v>
      </c>
      <c r="F573" s="7" t="s">
        <v>54</v>
      </c>
      <c r="G573" s="7" t="s">
        <v>117</v>
      </c>
      <c r="H573" s="7" t="s">
        <v>153</v>
      </c>
      <c r="I573" s="7" t="s">
        <v>356</v>
      </c>
      <c r="J573" s="7">
        <v>4</v>
      </c>
      <c r="K573" s="9">
        <v>1515.4</v>
      </c>
      <c r="L573" s="9">
        <v>6061.6</v>
      </c>
      <c r="M573" s="10">
        <v>0</v>
      </c>
      <c r="N573" s="49">
        <v>1526.08</v>
      </c>
      <c r="O573" s="9">
        <v>390.6</v>
      </c>
      <c r="P573" s="7" t="s">
        <v>35</v>
      </c>
      <c r="Q573" s="7" t="s">
        <v>36</v>
      </c>
      <c r="R573" s="28">
        <f t="shared" si="8"/>
        <v>0.25176191104658835</v>
      </c>
    </row>
    <row r="574" spans="1:18" x14ac:dyDescent="0.3">
      <c r="A574" s="3" t="s">
        <v>1114</v>
      </c>
      <c r="B574" s="4">
        <v>45705</v>
      </c>
      <c r="C574" s="3" t="s">
        <v>269</v>
      </c>
      <c r="D574" s="3" t="s">
        <v>19</v>
      </c>
      <c r="E574" s="3" t="s">
        <v>30</v>
      </c>
      <c r="F574" s="3" t="s">
        <v>31</v>
      </c>
      <c r="G574" s="3" t="s">
        <v>22</v>
      </c>
      <c r="H574" s="3" t="s">
        <v>105</v>
      </c>
      <c r="I574" s="3" t="s">
        <v>251</v>
      </c>
      <c r="J574" s="3">
        <v>2</v>
      </c>
      <c r="K574" s="5">
        <v>2375.69</v>
      </c>
      <c r="L574" s="5">
        <v>4276.24</v>
      </c>
      <c r="M574" s="6">
        <v>10</v>
      </c>
      <c r="N574" s="48">
        <v>424.71</v>
      </c>
      <c r="O574" s="5">
        <v>170.49</v>
      </c>
      <c r="P574" s="3" t="s">
        <v>45</v>
      </c>
      <c r="Q574" s="3" t="s">
        <v>65</v>
      </c>
      <c r="R574" s="28">
        <f t="shared" si="8"/>
        <v>9.9318560230482855E-2</v>
      </c>
    </row>
    <row r="575" spans="1:18" x14ac:dyDescent="0.3">
      <c r="A575" s="7" t="s">
        <v>1115</v>
      </c>
      <c r="B575" s="8">
        <v>45705</v>
      </c>
      <c r="C575" s="7" t="s">
        <v>1116</v>
      </c>
      <c r="D575" s="7" t="s">
        <v>29</v>
      </c>
      <c r="E575" s="7" t="s">
        <v>20</v>
      </c>
      <c r="F575" s="7" t="s">
        <v>54</v>
      </c>
      <c r="G575" s="7" t="s">
        <v>134</v>
      </c>
      <c r="H575" s="7" t="s">
        <v>135</v>
      </c>
      <c r="I575" s="7" t="s">
        <v>136</v>
      </c>
      <c r="J575" s="7">
        <v>4</v>
      </c>
      <c r="K575" s="9">
        <v>2144.6799999999998</v>
      </c>
      <c r="L575" s="9">
        <v>8578.7199999999993</v>
      </c>
      <c r="M575" s="10">
        <v>0</v>
      </c>
      <c r="N575" s="49">
        <v>1980.75</v>
      </c>
      <c r="O575" s="9">
        <v>270.37</v>
      </c>
      <c r="P575" s="7" t="s">
        <v>25</v>
      </c>
      <c r="Q575" s="7" t="s">
        <v>57</v>
      </c>
      <c r="R575" s="28">
        <f t="shared" si="8"/>
        <v>0.23089108864725741</v>
      </c>
    </row>
    <row r="576" spans="1:18" x14ac:dyDescent="0.3">
      <c r="A576" s="3" t="s">
        <v>1117</v>
      </c>
      <c r="B576" s="4">
        <v>45705</v>
      </c>
      <c r="C576" s="3" t="s">
        <v>1118</v>
      </c>
      <c r="D576" s="3" t="s">
        <v>29</v>
      </c>
      <c r="E576" s="3" t="s">
        <v>40</v>
      </c>
      <c r="F576" s="3" t="s">
        <v>41</v>
      </c>
      <c r="G576" s="3" t="s">
        <v>22</v>
      </c>
      <c r="H576" s="3" t="s">
        <v>110</v>
      </c>
      <c r="I576" s="3" t="s">
        <v>111</v>
      </c>
      <c r="J576" s="3">
        <v>2</v>
      </c>
      <c r="K576" s="5">
        <v>60426.66</v>
      </c>
      <c r="L576" s="5">
        <v>114810.65</v>
      </c>
      <c r="M576" s="6">
        <v>5</v>
      </c>
      <c r="N576" s="48">
        <v>-3251.19</v>
      </c>
      <c r="O576" s="5">
        <v>261.31</v>
      </c>
      <c r="P576" s="3" t="s">
        <v>64</v>
      </c>
      <c r="Q576" s="3" t="s">
        <v>57</v>
      </c>
      <c r="R576" s="28">
        <f t="shared" si="8"/>
        <v>-2.8317843335962302E-2</v>
      </c>
    </row>
    <row r="577" spans="1:18" x14ac:dyDescent="0.3">
      <c r="A577" s="7" t="s">
        <v>1119</v>
      </c>
      <c r="B577" s="8">
        <v>45706</v>
      </c>
      <c r="C577" s="7" t="s">
        <v>1120</v>
      </c>
      <c r="D577" s="7" t="s">
        <v>39</v>
      </c>
      <c r="E577" s="7" t="s">
        <v>40</v>
      </c>
      <c r="F577" s="7" t="s">
        <v>90</v>
      </c>
      <c r="G577" s="7" t="s">
        <v>49</v>
      </c>
      <c r="H577" s="7" t="s">
        <v>62</v>
      </c>
      <c r="I577" s="7" t="s">
        <v>122</v>
      </c>
      <c r="J577" s="7">
        <v>2</v>
      </c>
      <c r="K577" s="9">
        <v>4590.29</v>
      </c>
      <c r="L577" s="9">
        <v>7344.46</v>
      </c>
      <c r="M577" s="10">
        <v>20</v>
      </c>
      <c r="N577" s="49">
        <v>997.17</v>
      </c>
      <c r="O577" s="9">
        <v>194.66</v>
      </c>
      <c r="P577" s="7" t="s">
        <v>64</v>
      </c>
      <c r="Q577" s="7" t="s">
        <v>65</v>
      </c>
      <c r="R577" s="28">
        <f t="shared" si="8"/>
        <v>0.13577172453795106</v>
      </c>
    </row>
    <row r="578" spans="1:18" x14ac:dyDescent="0.3">
      <c r="A578" s="3" t="s">
        <v>1121</v>
      </c>
      <c r="B578" s="4">
        <v>45706</v>
      </c>
      <c r="C578" s="3" t="s">
        <v>1122</v>
      </c>
      <c r="D578" s="3" t="s">
        <v>39</v>
      </c>
      <c r="E578" s="3" t="s">
        <v>30</v>
      </c>
      <c r="F578" s="3" t="s">
        <v>226</v>
      </c>
      <c r="G578" s="3" t="s">
        <v>134</v>
      </c>
      <c r="H578" s="3" t="s">
        <v>91</v>
      </c>
      <c r="I578" s="3" t="s">
        <v>206</v>
      </c>
      <c r="J578" s="3">
        <v>1</v>
      </c>
      <c r="K578" s="5">
        <v>1573.8</v>
      </c>
      <c r="L578" s="5">
        <v>1573.8</v>
      </c>
      <c r="M578" s="6">
        <v>0</v>
      </c>
      <c r="N578" s="48">
        <v>361.22</v>
      </c>
      <c r="O578" s="5">
        <v>200.1</v>
      </c>
      <c r="P578" s="3" t="s">
        <v>45</v>
      </c>
      <c r="Q578" s="3" t="s">
        <v>57</v>
      </c>
      <c r="R578" s="28">
        <f t="shared" si="8"/>
        <v>0.22952090481636805</v>
      </c>
    </row>
    <row r="579" spans="1:18" x14ac:dyDescent="0.3">
      <c r="A579" s="7" t="s">
        <v>1123</v>
      </c>
      <c r="B579" s="8">
        <v>45706</v>
      </c>
      <c r="C579" s="7" t="s">
        <v>509</v>
      </c>
      <c r="D579" s="7" t="s">
        <v>39</v>
      </c>
      <c r="E579" s="7" t="s">
        <v>40</v>
      </c>
      <c r="F579" s="7" t="s">
        <v>77</v>
      </c>
      <c r="G579" s="7" t="s">
        <v>42</v>
      </c>
      <c r="H579" s="7" t="s">
        <v>164</v>
      </c>
      <c r="I579" s="7" t="s">
        <v>853</v>
      </c>
      <c r="J579" s="7">
        <v>3</v>
      </c>
      <c r="K579" s="9">
        <v>655.75</v>
      </c>
      <c r="L579" s="9">
        <v>1672.16</v>
      </c>
      <c r="M579" s="10">
        <v>15</v>
      </c>
      <c r="N579" s="49">
        <v>223.92</v>
      </c>
      <c r="O579" s="9">
        <v>139.59</v>
      </c>
      <c r="P579" s="7" t="s">
        <v>35</v>
      </c>
      <c r="Q579" s="7" t="s">
        <v>65</v>
      </c>
      <c r="R579" s="28">
        <f t="shared" ref="R579:R642" si="9">N579/L579</f>
        <v>0.13391063056166871</v>
      </c>
    </row>
    <row r="580" spans="1:18" x14ac:dyDescent="0.3">
      <c r="A580" s="3" t="s">
        <v>1124</v>
      </c>
      <c r="B580" s="4">
        <v>45707</v>
      </c>
      <c r="C580" s="3" t="s">
        <v>1125</v>
      </c>
      <c r="D580" s="3" t="s">
        <v>29</v>
      </c>
      <c r="E580" s="3" t="s">
        <v>30</v>
      </c>
      <c r="F580" s="3" t="s">
        <v>48</v>
      </c>
      <c r="G580" s="3" t="s">
        <v>32</v>
      </c>
      <c r="H580" s="3" t="s">
        <v>86</v>
      </c>
      <c r="I580" s="3" t="s">
        <v>87</v>
      </c>
      <c r="J580" s="3">
        <v>3</v>
      </c>
      <c r="K580" s="5">
        <v>11218.04</v>
      </c>
      <c r="L580" s="5">
        <v>31971.41</v>
      </c>
      <c r="M580" s="6">
        <v>5</v>
      </c>
      <c r="N580" s="48">
        <v>4756.8999999999996</v>
      </c>
      <c r="O580" s="5">
        <v>245.84</v>
      </c>
      <c r="P580" s="3" t="s">
        <v>35</v>
      </c>
      <c r="Q580" s="3" t="s">
        <v>65</v>
      </c>
      <c r="R580" s="28">
        <f t="shared" si="9"/>
        <v>0.14878605604194498</v>
      </c>
    </row>
    <row r="581" spans="1:18" x14ac:dyDescent="0.3">
      <c r="A581" s="7" t="s">
        <v>1126</v>
      </c>
      <c r="B581" s="8">
        <v>45707</v>
      </c>
      <c r="C581" s="7" t="s">
        <v>1120</v>
      </c>
      <c r="D581" s="7" t="s">
        <v>39</v>
      </c>
      <c r="E581" s="7" t="s">
        <v>20</v>
      </c>
      <c r="F581" s="7" t="s">
        <v>129</v>
      </c>
      <c r="G581" s="7" t="s">
        <v>134</v>
      </c>
      <c r="H581" s="7" t="s">
        <v>139</v>
      </c>
      <c r="I581" s="7" t="s">
        <v>587</v>
      </c>
      <c r="J581" s="7">
        <v>2</v>
      </c>
      <c r="K581" s="9">
        <v>3277.86</v>
      </c>
      <c r="L581" s="9">
        <v>6227.93</v>
      </c>
      <c r="M581" s="10">
        <v>5</v>
      </c>
      <c r="N581" s="49">
        <v>972.65</v>
      </c>
      <c r="O581" s="9">
        <v>101.69</v>
      </c>
      <c r="P581" s="7" t="s">
        <v>35</v>
      </c>
      <c r="Q581" s="7" t="s">
        <v>65</v>
      </c>
      <c r="R581" s="28">
        <f t="shared" si="9"/>
        <v>0.15617548687926805</v>
      </c>
    </row>
    <row r="582" spans="1:18" x14ac:dyDescent="0.3">
      <c r="A582" s="3" t="s">
        <v>1127</v>
      </c>
      <c r="B582" s="4">
        <v>45707</v>
      </c>
      <c r="C582" s="3" t="s">
        <v>1128</v>
      </c>
      <c r="D582" s="3" t="s">
        <v>39</v>
      </c>
      <c r="E582" s="3" t="s">
        <v>30</v>
      </c>
      <c r="F582" s="3" t="s">
        <v>31</v>
      </c>
      <c r="G582" s="3" t="s">
        <v>42</v>
      </c>
      <c r="H582" s="3" t="s">
        <v>43</v>
      </c>
      <c r="I582" s="3" t="s">
        <v>44</v>
      </c>
      <c r="J582" s="3">
        <v>1</v>
      </c>
      <c r="K582" s="5">
        <v>1085.4000000000001</v>
      </c>
      <c r="L582" s="5">
        <v>759.78</v>
      </c>
      <c r="M582" s="6">
        <v>30</v>
      </c>
      <c r="N582" s="48">
        <v>-49.75</v>
      </c>
      <c r="O582" s="5">
        <v>63.71</v>
      </c>
      <c r="P582" s="3" t="s">
        <v>64</v>
      </c>
      <c r="Q582" s="3" t="s">
        <v>36</v>
      </c>
      <c r="R582" s="28">
        <f t="shared" si="9"/>
        <v>-6.547948090236648E-2</v>
      </c>
    </row>
    <row r="583" spans="1:18" x14ac:dyDescent="0.3">
      <c r="A583" s="7" t="s">
        <v>1129</v>
      </c>
      <c r="B583" s="8">
        <v>45708</v>
      </c>
      <c r="C583" s="7" t="s">
        <v>1130</v>
      </c>
      <c r="D583" s="7" t="s">
        <v>19</v>
      </c>
      <c r="E583" s="7" t="s">
        <v>20</v>
      </c>
      <c r="F583" s="7" t="s">
        <v>54</v>
      </c>
      <c r="G583" s="7" t="s">
        <v>117</v>
      </c>
      <c r="H583" s="7" t="s">
        <v>118</v>
      </c>
      <c r="I583" s="7" t="s">
        <v>279</v>
      </c>
      <c r="J583" s="7">
        <v>1</v>
      </c>
      <c r="K583" s="9">
        <v>746.35</v>
      </c>
      <c r="L583" s="9">
        <v>709.03</v>
      </c>
      <c r="M583" s="10">
        <v>5</v>
      </c>
      <c r="N583" s="49">
        <v>118.98</v>
      </c>
      <c r="O583" s="9">
        <v>149.44</v>
      </c>
      <c r="P583" s="7" t="s">
        <v>35</v>
      </c>
      <c r="Q583" s="7" t="s">
        <v>26</v>
      </c>
      <c r="R583" s="28">
        <f t="shared" si="9"/>
        <v>0.16780672185944179</v>
      </c>
    </row>
    <row r="584" spans="1:18" x14ac:dyDescent="0.3">
      <c r="A584" s="3" t="s">
        <v>1131</v>
      </c>
      <c r="B584" s="4">
        <v>45711</v>
      </c>
      <c r="C584" s="3" t="s">
        <v>1132</v>
      </c>
      <c r="D584" s="3" t="s">
        <v>29</v>
      </c>
      <c r="E584" s="3" t="s">
        <v>40</v>
      </c>
      <c r="F584" s="3" t="s">
        <v>109</v>
      </c>
      <c r="G584" s="3" t="s">
        <v>117</v>
      </c>
      <c r="H584" s="3" t="s">
        <v>118</v>
      </c>
      <c r="I584" s="3" t="s">
        <v>119</v>
      </c>
      <c r="J584" s="3">
        <v>2</v>
      </c>
      <c r="K584" s="5">
        <v>1850.56</v>
      </c>
      <c r="L584" s="5">
        <v>2960.9</v>
      </c>
      <c r="M584" s="6">
        <v>20</v>
      </c>
      <c r="N584" s="48">
        <v>520.55999999999995</v>
      </c>
      <c r="O584" s="5">
        <v>308.42</v>
      </c>
      <c r="P584" s="3" t="s">
        <v>35</v>
      </c>
      <c r="Q584" s="3" t="s">
        <v>57</v>
      </c>
      <c r="R584" s="28">
        <f t="shared" si="9"/>
        <v>0.1758114086933027</v>
      </c>
    </row>
    <row r="585" spans="1:18" x14ac:dyDescent="0.3">
      <c r="A585" s="7" t="s">
        <v>1133</v>
      </c>
      <c r="B585" s="8">
        <v>45711</v>
      </c>
      <c r="C585" s="7" t="s">
        <v>437</v>
      </c>
      <c r="D585" s="7" t="s">
        <v>29</v>
      </c>
      <c r="E585" s="7" t="s">
        <v>30</v>
      </c>
      <c r="F585" s="7" t="s">
        <v>226</v>
      </c>
      <c r="G585" s="7" t="s">
        <v>22</v>
      </c>
      <c r="H585" s="7" t="s">
        <v>23</v>
      </c>
      <c r="I585" s="7" t="s">
        <v>24</v>
      </c>
      <c r="J585" s="7">
        <v>3</v>
      </c>
      <c r="K585" s="9">
        <v>24745.58</v>
      </c>
      <c r="L585" s="9">
        <v>70524.899999999994</v>
      </c>
      <c r="M585" s="10">
        <v>5</v>
      </c>
      <c r="N585" s="49">
        <v>4192.25</v>
      </c>
      <c r="O585" s="9">
        <v>300.38</v>
      </c>
      <c r="P585" s="7" t="s">
        <v>45</v>
      </c>
      <c r="Q585" s="7" t="s">
        <v>26</v>
      </c>
      <c r="R585" s="28">
        <f t="shared" si="9"/>
        <v>5.9443544053235105E-2</v>
      </c>
    </row>
    <row r="586" spans="1:18" x14ac:dyDescent="0.3">
      <c r="A586" s="3" t="s">
        <v>1134</v>
      </c>
      <c r="B586" s="4">
        <v>45713</v>
      </c>
      <c r="C586" s="3" t="s">
        <v>1135</v>
      </c>
      <c r="D586" s="3" t="s">
        <v>39</v>
      </c>
      <c r="E586" s="3" t="s">
        <v>60</v>
      </c>
      <c r="F586" s="3" t="s">
        <v>104</v>
      </c>
      <c r="G586" s="3" t="s">
        <v>42</v>
      </c>
      <c r="H586" s="3" t="s">
        <v>81</v>
      </c>
      <c r="I586" s="3" t="s">
        <v>82</v>
      </c>
      <c r="J586" s="3">
        <v>3</v>
      </c>
      <c r="K586" s="5">
        <v>562.01</v>
      </c>
      <c r="L586" s="5">
        <v>1517.43</v>
      </c>
      <c r="M586" s="6">
        <v>10</v>
      </c>
      <c r="N586" s="48">
        <v>158.68</v>
      </c>
      <c r="O586" s="5">
        <v>361.71</v>
      </c>
      <c r="P586" s="3" t="s">
        <v>64</v>
      </c>
      <c r="Q586" s="3" t="s">
        <v>65</v>
      </c>
      <c r="R586" s="28">
        <f t="shared" si="9"/>
        <v>0.10457154531016258</v>
      </c>
    </row>
    <row r="587" spans="1:18" x14ac:dyDescent="0.3">
      <c r="A587" s="7" t="s">
        <v>1136</v>
      </c>
      <c r="B587" s="8">
        <v>45713</v>
      </c>
      <c r="C587" s="7" t="s">
        <v>433</v>
      </c>
      <c r="D587" s="7" t="s">
        <v>39</v>
      </c>
      <c r="E587" s="7" t="s">
        <v>20</v>
      </c>
      <c r="F587" s="7" t="s">
        <v>129</v>
      </c>
      <c r="G587" s="7" t="s">
        <v>134</v>
      </c>
      <c r="H587" s="7" t="s">
        <v>135</v>
      </c>
      <c r="I587" s="7" t="s">
        <v>136</v>
      </c>
      <c r="J587" s="7">
        <v>2</v>
      </c>
      <c r="K587" s="9">
        <v>3109.75</v>
      </c>
      <c r="L587" s="9">
        <v>5597.55</v>
      </c>
      <c r="M587" s="10">
        <v>10</v>
      </c>
      <c r="N587" s="49">
        <v>992.57</v>
      </c>
      <c r="O587" s="9">
        <v>230.82</v>
      </c>
      <c r="P587" s="7" t="s">
        <v>25</v>
      </c>
      <c r="Q587" s="7" t="s">
        <v>26</v>
      </c>
      <c r="R587" s="28">
        <f t="shared" si="9"/>
        <v>0.17732222132897429</v>
      </c>
    </row>
    <row r="588" spans="1:18" x14ac:dyDescent="0.3">
      <c r="A588" s="3" t="s">
        <v>1137</v>
      </c>
      <c r="B588" s="4">
        <v>45713</v>
      </c>
      <c r="C588" s="3" t="s">
        <v>974</v>
      </c>
      <c r="D588" s="3" t="s">
        <v>39</v>
      </c>
      <c r="E588" s="3" t="s">
        <v>60</v>
      </c>
      <c r="F588" s="3" t="s">
        <v>72</v>
      </c>
      <c r="G588" s="3" t="s">
        <v>42</v>
      </c>
      <c r="H588" s="3" t="s">
        <v>81</v>
      </c>
      <c r="I588" s="3" t="s">
        <v>431</v>
      </c>
      <c r="J588" s="3">
        <v>1</v>
      </c>
      <c r="K588" s="5">
        <v>597.39</v>
      </c>
      <c r="L588" s="5">
        <v>597.39</v>
      </c>
      <c r="M588" s="6">
        <v>0</v>
      </c>
      <c r="N588" s="48">
        <v>116.86</v>
      </c>
      <c r="O588" s="5">
        <v>71.83</v>
      </c>
      <c r="P588" s="3" t="s">
        <v>64</v>
      </c>
      <c r="Q588" s="3" t="s">
        <v>65</v>
      </c>
      <c r="R588" s="28">
        <f t="shared" si="9"/>
        <v>0.19561760324076399</v>
      </c>
    </row>
    <row r="589" spans="1:18" x14ac:dyDescent="0.3">
      <c r="A589" s="7" t="s">
        <v>1138</v>
      </c>
      <c r="B589" s="8">
        <v>45714</v>
      </c>
      <c r="C589" s="7" t="s">
        <v>1139</v>
      </c>
      <c r="D589" s="7" t="s">
        <v>19</v>
      </c>
      <c r="E589" s="7" t="s">
        <v>60</v>
      </c>
      <c r="F589" s="7" t="s">
        <v>61</v>
      </c>
      <c r="G589" s="7" t="s">
        <v>42</v>
      </c>
      <c r="H589" s="7" t="s">
        <v>164</v>
      </c>
      <c r="I589" s="7" t="s">
        <v>199</v>
      </c>
      <c r="J589" s="7">
        <v>3</v>
      </c>
      <c r="K589" s="9">
        <v>1181.6500000000001</v>
      </c>
      <c r="L589" s="9">
        <v>2658.71</v>
      </c>
      <c r="M589" s="10">
        <v>25</v>
      </c>
      <c r="N589" s="49">
        <v>-89.72</v>
      </c>
      <c r="O589" s="9">
        <v>200.75</v>
      </c>
      <c r="P589" s="7" t="s">
        <v>35</v>
      </c>
      <c r="Q589" s="7" t="s">
        <v>57</v>
      </c>
      <c r="R589" s="28">
        <f t="shared" si="9"/>
        <v>-3.3745688698654609E-2</v>
      </c>
    </row>
    <row r="590" spans="1:18" x14ac:dyDescent="0.3">
      <c r="A590" s="3" t="s">
        <v>1140</v>
      </c>
      <c r="B590" s="4">
        <v>45715</v>
      </c>
      <c r="C590" s="3" t="s">
        <v>1141</v>
      </c>
      <c r="D590" s="3" t="s">
        <v>29</v>
      </c>
      <c r="E590" s="3" t="s">
        <v>30</v>
      </c>
      <c r="F590" s="3" t="s">
        <v>48</v>
      </c>
      <c r="G590" s="3" t="s">
        <v>134</v>
      </c>
      <c r="H590" s="3" t="s">
        <v>91</v>
      </c>
      <c r="I590" s="3" t="s">
        <v>92</v>
      </c>
      <c r="J590" s="3">
        <v>3</v>
      </c>
      <c r="K590" s="5">
        <v>830.82</v>
      </c>
      <c r="L590" s="5">
        <v>1869.35</v>
      </c>
      <c r="M590" s="6">
        <v>25</v>
      </c>
      <c r="N590" s="48">
        <v>-66.819999999999993</v>
      </c>
      <c r="O590" s="5">
        <v>68.91</v>
      </c>
      <c r="P590" s="3" t="s">
        <v>35</v>
      </c>
      <c r="Q590" s="3" t="s">
        <v>57</v>
      </c>
      <c r="R590" s="28">
        <f t="shared" si="9"/>
        <v>-3.5745045069141682E-2</v>
      </c>
    </row>
    <row r="591" spans="1:18" x14ac:dyDescent="0.3">
      <c r="A591" s="7" t="s">
        <v>1142</v>
      </c>
      <c r="B591" s="8">
        <v>45717</v>
      </c>
      <c r="C591" s="7" t="s">
        <v>361</v>
      </c>
      <c r="D591" s="7" t="s">
        <v>39</v>
      </c>
      <c r="E591" s="7" t="s">
        <v>60</v>
      </c>
      <c r="F591" s="7" t="s">
        <v>72</v>
      </c>
      <c r="G591" s="7" t="s">
        <v>22</v>
      </c>
      <c r="H591" s="7" t="s">
        <v>23</v>
      </c>
      <c r="I591" s="7" t="s">
        <v>78</v>
      </c>
      <c r="J591" s="7">
        <v>3</v>
      </c>
      <c r="K591" s="9">
        <v>54018</v>
      </c>
      <c r="L591" s="9">
        <v>162054</v>
      </c>
      <c r="M591" s="10">
        <v>0</v>
      </c>
      <c r="N591" s="49">
        <v>20385.900000000001</v>
      </c>
      <c r="O591" s="9">
        <v>312.07</v>
      </c>
      <c r="P591" s="7" t="s">
        <v>64</v>
      </c>
      <c r="Q591" s="7" t="s">
        <v>65</v>
      </c>
      <c r="R591" s="28">
        <f t="shared" si="9"/>
        <v>0.12579695657003223</v>
      </c>
    </row>
    <row r="592" spans="1:18" x14ac:dyDescent="0.3">
      <c r="A592" s="3" t="s">
        <v>1143</v>
      </c>
      <c r="B592" s="4">
        <v>45718</v>
      </c>
      <c r="C592" s="3" t="s">
        <v>1144</v>
      </c>
      <c r="D592" s="3" t="s">
        <v>39</v>
      </c>
      <c r="E592" s="3" t="s">
        <v>60</v>
      </c>
      <c r="F592" s="3" t="s">
        <v>68</v>
      </c>
      <c r="G592" s="3" t="s">
        <v>22</v>
      </c>
      <c r="H592" s="3" t="s">
        <v>624</v>
      </c>
      <c r="I592" s="3" t="s">
        <v>640</v>
      </c>
      <c r="J592" s="3">
        <v>1</v>
      </c>
      <c r="K592" s="5">
        <v>32388.41</v>
      </c>
      <c r="L592" s="5">
        <v>22671.89</v>
      </c>
      <c r="M592" s="6">
        <v>30</v>
      </c>
      <c r="N592" s="48">
        <v>-1420.97</v>
      </c>
      <c r="O592" s="5">
        <v>243.4</v>
      </c>
      <c r="P592" s="3" t="s">
        <v>64</v>
      </c>
      <c r="Q592" s="3" t="s">
        <v>57</v>
      </c>
      <c r="R592" s="28">
        <f t="shared" si="9"/>
        <v>-6.2675409945972746E-2</v>
      </c>
    </row>
    <row r="593" spans="1:18" x14ac:dyDescent="0.3">
      <c r="A593" s="7" t="s">
        <v>1145</v>
      </c>
      <c r="B593" s="8">
        <v>45718</v>
      </c>
      <c r="C593" s="7" t="s">
        <v>778</v>
      </c>
      <c r="D593" s="7" t="s">
        <v>29</v>
      </c>
      <c r="E593" s="7" t="s">
        <v>20</v>
      </c>
      <c r="F593" s="7" t="s">
        <v>21</v>
      </c>
      <c r="G593" s="7" t="s">
        <v>117</v>
      </c>
      <c r="H593" s="7" t="s">
        <v>125</v>
      </c>
      <c r="I593" s="7" t="s">
        <v>126</v>
      </c>
      <c r="J593" s="7">
        <v>3</v>
      </c>
      <c r="K593" s="9">
        <v>1087.51</v>
      </c>
      <c r="L593" s="9">
        <v>3262.53</v>
      </c>
      <c r="M593" s="10">
        <v>0</v>
      </c>
      <c r="N593" s="49">
        <v>984.7</v>
      </c>
      <c r="O593" s="9">
        <v>92.4</v>
      </c>
      <c r="P593" s="7" t="s">
        <v>35</v>
      </c>
      <c r="Q593" s="7" t="s">
        <v>57</v>
      </c>
      <c r="R593" s="28">
        <f t="shared" si="9"/>
        <v>0.30182097942394398</v>
      </c>
    </row>
    <row r="594" spans="1:18" x14ac:dyDescent="0.3">
      <c r="A594" s="3" t="s">
        <v>1146</v>
      </c>
      <c r="B594" s="4">
        <v>45718</v>
      </c>
      <c r="C594" s="3" t="s">
        <v>1147</v>
      </c>
      <c r="D594" s="3" t="s">
        <v>39</v>
      </c>
      <c r="E594" s="3" t="s">
        <v>20</v>
      </c>
      <c r="F594" s="3" t="s">
        <v>129</v>
      </c>
      <c r="G594" s="3" t="s">
        <v>134</v>
      </c>
      <c r="H594" s="3" t="s">
        <v>244</v>
      </c>
      <c r="I594" s="3" t="s">
        <v>245</v>
      </c>
      <c r="J594" s="3">
        <v>3</v>
      </c>
      <c r="K594" s="5">
        <v>497.29</v>
      </c>
      <c r="L594" s="5">
        <v>1268.0899999999999</v>
      </c>
      <c r="M594" s="6">
        <v>15</v>
      </c>
      <c r="N594" s="48">
        <v>159.72</v>
      </c>
      <c r="O594" s="5">
        <v>356.98</v>
      </c>
      <c r="P594" s="3" t="s">
        <v>83</v>
      </c>
      <c r="Q594" s="3" t="s">
        <v>65</v>
      </c>
      <c r="R594" s="28">
        <f t="shared" si="9"/>
        <v>0.12595320521414097</v>
      </c>
    </row>
    <row r="595" spans="1:18" x14ac:dyDescent="0.3">
      <c r="A595" s="7" t="s">
        <v>1148</v>
      </c>
      <c r="B595" s="8">
        <v>45719</v>
      </c>
      <c r="C595" s="7" t="s">
        <v>1149</v>
      </c>
      <c r="D595" s="7" t="s">
        <v>39</v>
      </c>
      <c r="E595" s="7" t="s">
        <v>30</v>
      </c>
      <c r="F595" s="7" t="s">
        <v>226</v>
      </c>
      <c r="G595" s="7" t="s">
        <v>49</v>
      </c>
      <c r="H595" s="7" t="s">
        <v>62</v>
      </c>
      <c r="I595" s="7" t="s">
        <v>424</v>
      </c>
      <c r="J595" s="7">
        <v>1</v>
      </c>
      <c r="K595" s="9">
        <v>13500.93</v>
      </c>
      <c r="L595" s="9">
        <v>12150.84</v>
      </c>
      <c r="M595" s="10">
        <v>10</v>
      </c>
      <c r="N595" s="49">
        <v>1191.58</v>
      </c>
      <c r="O595" s="9">
        <v>348.39</v>
      </c>
      <c r="P595" s="7" t="s">
        <v>25</v>
      </c>
      <c r="Q595" s="7" t="s">
        <v>65</v>
      </c>
      <c r="R595" s="28">
        <f t="shared" si="9"/>
        <v>9.8065648136260536E-2</v>
      </c>
    </row>
    <row r="596" spans="1:18" x14ac:dyDescent="0.3">
      <c r="A596" s="3" t="s">
        <v>1150</v>
      </c>
      <c r="B596" s="4">
        <v>45719</v>
      </c>
      <c r="C596" s="3" t="s">
        <v>828</v>
      </c>
      <c r="D596" s="3" t="s">
        <v>39</v>
      </c>
      <c r="E596" s="3" t="s">
        <v>20</v>
      </c>
      <c r="F596" s="3" t="s">
        <v>54</v>
      </c>
      <c r="G596" s="3" t="s">
        <v>49</v>
      </c>
      <c r="H596" s="3" t="s">
        <v>50</v>
      </c>
      <c r="I596" s="3" t="s">
        <v>193</v>
      </c>
      <c r="J596" s="3">
        <v>1</v>
      </c>
      <c r="K596" s="5">
        <v>8727</v>
      </c>
      <c r="L596" s="5">
        <v>8727</v>
      </c>
      <c r="M596" s="6">
        <v>0</v>
      </c>
      <c r="N596" s="48">
        <v>925.25</v>
      </c>
      <c r="O596" s="5">
        <v>329.62</v>
      </c>
      <c r="P596" s="3" t="s">
        <v>64</v>
      </c>
      <c r="Q596" s="3" t="s">
        <v>65</v>
      </c>
      <c r="R596" s="28">
        <f t="shared" si="9"/>
        <v>0.10602154233986479</v>
      </c>
    </row>
    <row r="597" spans="1:18" x14ac:dyDescent="0.3">
      <c r="A597" s="7" t="s">
        <v>1151</v>
      </c>
      <c r="B597" s="8">
        <v>45720</v>
      </c>
      <c r="C597" s="7" t="s">
        <v>28</v>
      </c>
      <c r="D597" s="7" t="s">
        <v>39</v>
      </c>
      <c r="E597" s="7" t="s">
        <v>20</v>
      </c>
      <c r="F597" s="7" t="s">
        <v>54</v>
      </c>
      <c r="G597" s="7" t="s">
        <v>49</v>
      </c>
      <c r="H597" s="7" t="s">
        <v>50</v>
      </c>
      <c r="I597" s="7" t="s">
        <v>51</v>
      </c>
      <c r="J597" s="7">
        <v>1</v>
      </c>
      <c r="K597" s="9">
        <v>2114.5500000000002</v>
      </c>
      <c r="L597" s="9">
        <v>1585.91</v>
      </c>
      <c r="M597" s="10">
        <v>25</v>
      </c>
      <c r="N597" s="49">
        <v>-35.770000000000003</v>
      </c>
      <c r="O597" s="9">
        <v>217.05</v>
      </c>
      <c r="P597" s="7" t="s">
        <v>35</v>
      </c>
      <c r="Q597" s="7" t="s">
        <v>65</v>
      </c>
      <c r="R597" s="28">
        <f t="shared" si="9"/>
        <v>-2.2554873857911231E-2</v>
      </c>
    </row>
    <row r="598" spans="1:18" x14ac:dyDescent="0.3">
      <c r="A598" s="3" t="s">
        <v>1152</v>
      </c>
      <c r="B598" s="4">
        <v>45720</v>
      </c>
      <c r="C598" s="3" t="s">
        <v>614</v>
      </c>
      <c r="D598" s="3" t="s">
        <v>39</v>
      </c>
      <c r="E598" s="3" t="s">
        <v>20</v>
      </c>
      <c r="F598" s="3" t="s">
        <v>54</v>
      </c>
      <c r="G598" s="3" t="s">
        <v>49</v>
      </c>
      <c r="H598" s="3" t="s">
        <v>50</v>
      </c>
      <c r="I598" s="3" t="s">
        <v>95</v>
      </c>
      <c r="J598" s="3">
        <v>2</v>
      </c>
      <c r="K598" s="5">
        <v>5545.21</v>
      </c>
      <c r="L598" s="5">
        <v>8317.82</v>
      </c>
      <c r="M598" s="6">
        <v>25</v>
      </c>
      <c r="N598" s="48">
        <v>-2.54</v>
      </c>
      <c r="O598" s="5">
        <v>119.75</v>
      </c>
      <c r="P598" s="3" t="s">
        <v>45</v>
      </c>
      <c r="Q598" s="3" t="s">
        <v>65</v>
      </c>
      <c r="R598" s="28">
        <f t="shared" si="9"/>
        <v>-3.053684739511074E-4</v>
      </c>
    </row>
    <row r="599" spans="1:18" x14ac:dyDescent="0.3">
      <c r="A599" s="7" t="s">
        <v>1153</v>
      </c>
      <c r="B599" s="8">
        <v>45720</v>
      </c>
      <c r="C599" s="7" t="s">
        <v>658</v>
      </c>
      <c r="D599" s="7" t="s">
        <v>39</v>
      </c>
      <c r="E599" s="7" t="s">
        <v>60</v>
      </c>
      <c r="F599" s="7" t="s">
        <v>104</v>
      </c>
      <c r="G599" s="7" t="s">
        <v>117</v>
      </c>
      <c r="H599" s="7" t="s">
        <v>153</v>
      </c>
      <c r="I599" s="7" t="s">
        <v>154</v>
      </c>
      <c r="J599" s="7">
        <v>1</v>
      </c>
      <c r="K599" s="9">
        <v>1337.4</v>
      </c>
      <c r="L599" s="9">
        <v>1337.4</v>
      </c>
      <c r="M599" s="10">
        <v>0</v>
      </c>
      <c r="N599" s="49">
        <v>337.59</v>
      </c>
      <c r="O599" s="9">
        <v>68.94</v>
      </c>
      <c r="P599" s="7" t="s">
        <v>35</v>
      </c>
      <c r="Q599" s="7" t="s">
        <v>65</v>
      </c>
      <c r="R599" s="28">
        <f t="shared" si="9"/>
        <v>0.25242261103633912</v>
      </c>
    </row>
    <row r="600" spans="1:18" x14ac:dyDescent="0.3">
      <c r="A600" s="3" t="s">
        <v>1154</v>
      </c>
      <c r="B600" s="4">
        <v>45725</v>
      </c>
      <c r="C600" s="3" t="s">
        <v>628</v>
      </c>
      <c r="D600" s="3" t="s">
        <v>29</v>
      </c>
      <c r="E600" s="3" t="s">
        <v>20</v>
      </c>
      <c r="F600" s="3" t="s">
        <v>21</v>
      </c>
      <c r="G600" s="3" t="s">
        <v>49</v>
      </c>
      <c r="H600" s="3" t="s">
        <v>62</v>
      </c>
      <c r="I600" s="3" t="s">
        <v>122</v>
      </c>
      <c r="J600" s="3">
        <v>5</v>
      </c>
      <c r="K600" s="5">
        <v>9793.26</v>
      </c>
      <c r="L600" s="5">
        <v>41621.360000000001</v>
      </c>
      <c r="M600" s="6">
        <v>15</v>
      </c>
      <c r="N600" s="48">
        <v>7638.19</v>
      </c>
      <c r="O600" s="5">
        <v>155.59</v>
      </c>
      <c r="P600" s="3" t="s">
        <v>64</v>
      </c>
      <c r="Q600" s="3" t="s">
        <v>57</v>
      </c>
      <c r="R600" s="28">
        <f t="shared" si="9"/>
        <v>0.18351610807527671</v>
      </c>
    </row>
    <row r="601" spans="1:18" x14ac:dyDescent="0.3">
      <c r="A601" s="7" t="s">
        <v>1155</v>
      </c>
      <c r="B601" s="8">
        <v>45726</v>
      </c>
      <c r="C601" s="7" t="s">
        <v>444</v>
      </c>
      <c r="D601" s="7" t="s">
        <v>39</v>
      </c>
      <c r="E601" s="7" t="s">
        <v>30</v>
      </c>
      <c r="F601" s="7" t="s">
        <v>226</v>
      </c>
      <c r="G601" s="7" t="s">
        <v>42</v>
      </c>
      <c r="H601" s="7" t="s">
        <v>172</v>
      </c>
      <c r="I601" s="7" t="s">
        <v>173</v>
      </c>
      <c r="J601" s="7">
        <v>4</v>
      </c>
      <c r="K601" s="9">
        <v>224.82</v>
      </c>
      <c r="L601" s="9">
        <v>854.32</v>
      </c>
      <c r="M601" s="10">
        <v>5</v>
      </c>
      <c r="N601" s="49">
        <v>68.239999999999995</v>
      </c>
      <c r="O601" s="9">
        <v>169.89</v>
      </c>
      <c r="P601" s="7" t="s">
        <v>64</v>
      </c>
      <c r="Q601" s="7" t="s">
        <v>57</v>
      </c>
      <c r="R601" s="28">
        <f t="shared" si="9"/>
        <v>7.9876392920685449E-2</v>
      </c>
    </row>
    <row r="602" spans="1:18" x14ac:dyDescent="0.3">
      <c r="A602" s="3" t="s">
        <v>1156</v>
      </c>
      <c r="B602" s="4">
        <v>45727</v>
      </c>
      <c r="C602" s="3" t="s">
        <v>593</v>
      </c>
      <c r="D602" s="3" t="s">
        <v>39</v>
      </c>
      <c r="E602" s="3" t="s">
        <v>20</v>
      </c>
      <c r="F602" s="3" t="s">
        <v>54</v>
      </c>
      <c r="G602" s="3" t="s">
        <v>134</v>
      </c>
      <c r="H602" s="3" t="s">
        <v>139</v>
      </c>
      <c r="I602" s="3" t="s">
        <v>140</v>
      </c>
      <c r="J602" s="3">
        <v>1</v>
      </c>
      <c r="K602" s="5">
        <v>4293</v>
      </c>
      <c r="L602" s="5">
        <v>4293</v>
      </c>
      <c r="M602" s="6">
        <v>0</v>
      </c>
      <c r="N602" s="48">
        <v>1083.49</v>
      </c>
      <c r="O602" s="5">
        <v>79.930000000000007</v>
      </c>
      <c r="P602" s="3" t="s">
        <v>35</v>
      </c>
      <c r="Q602" s="3" t="s">
        <v>65</v>
      </c>
      <c r="R602" s="28">
        <f t="shared" si="9"/>
        <v>0.25238527836012115</v>
      </c>
    </row>
    <row r="603" spans="1:18" x14ac:dyDescent="0.3">
      <c r="A603" s="7" t="s">
        <v>1157</v>
      </c>
      <c r="B603" s="8">
        <v>45728</v>
      </c>
      <c r="C603" s="7" t="s">
        <v>353</v>
      </c>
      <c r="D603" s="7" t="s">
        <v>29</v>
      </c>
      <c r="E603" s="7" t="s">
        <v>60</v>
      </c>
      <c r="F603" s="7" t="s">
        <v>61</v>
      </c>
      <c r="G603" s="7" t="s">
        <v>49</v>
      </c>
      <c r="H603" s="7" t="s">
        <v>62</v>
      </c>
      <c r="I603" s="7" t="s">
        <v>63</v>
      </c>
      <c r="J603" s="7">
        <v>1</v>
      </c>
      <c r="K603" s="9">
        <v>5740.33</v>
      </c>
      <c r="L603" s="9">
        <v>4879.28</v>
      </c>
      <c r="M603" s="10">
        <v>15</v>
      </c>
      <c r="N603" s="49">
        <v>320.2</v>
      </c>
      <c r="O603" s="9">
        <v>127.79</v>
      </c>
      <c r="P603" s="7" t="s">
        <v>25</v>
      </c>
      <c r="Q603" s="7" t="s">
        <v>26</v>
      </c>
      <c r="R603" s="28">
        <f t="shared" si="9"/>
        <v>6.5624436392254598E-2</v>
      </c>
    </row>
    <row r="604" spans="1:18" x14ac:dyDescent="0.3">
      <c r="A604" s="3" t="s">
        <v>1158</v>
      </c>
      <c r="B604" s="4">
        <v>45728</v>
      </c>
      <c r="C604" s="3" t="s">
        <v>880</v>
      </c>
      <c r="D604" s="3" t="s">
        <v>39</v>
      </c>
      <c r="E604" s="3" t="s">
        <v>30</v>
      </c>
      <c r="F604" s="3" t="s">
        <v>48</v>
      </c>
      <c r="G604" s="3" t="s">
        <v>22</v>
      </c>
      <c r="H604" s="3" t="s">
        <v>110</v>
      </c>
      <c r="I604" s="3" t="s">
        <v>542</v>
      </c>
      <c r="J604" s="3">
        <v>3</v>
      </c>
      <c r="K604" s="5">
        <v>53193.15</v>
      </c>
      <c r="L604" s="5">
        <v>151600.48000000001</v>
      </c>
      <c r="M604" s="6">
        <v>5</v>
      </c>
      <c r="N604" s="48">
        <v>16013.77</v>
      </c>
      <c r="O604" s="5">
        <v>120.07</v>
      </c>
      <c r="P604" s="3" t="s">
        <v>45</v>
      </c>
      <c r="Q604" s="3" t="s">
        <v>36</v>
      </c>
      <c r="R604" s="28">
        <f t="shared" si="9"/>
        <v>0.10563139377922813</v>
      </c>
    </row>
    <row r="605" spans="1:18" x14ac:dyDescent="0.3">
      <c r="A605" s="7" t="s">
        <v>1159</v>
      </c>
      <c r="B605" s="8">
        <v>45728</v>
      </c>
      <c r="C605" s="7" t="s">
        <v>415</v>
      </c>
      <c r="D605" s="7" t="s">
        <v>39</v>
      </c>
      <c r="E605" s="7" t="s">
        <v>40</v>
      </c>
      <c r="F605" s="7" t="s">
        <v>77</v>
      </c>
      <c r="G605" s="7" t="s">
        <v>22</v>
      </c>
      <c r="H605" s="7" t="s">
        <v>110</v>
      </c>
      <c r="I605" s="7" t="s">
        <v>359</v>
      </c>
      <c r="J605" s="7">
        <v>2</v>
      </c>
      <c r="K605" s="9">
        <v>35696.559999999998</v>
      </c>
      <c r="L605" s="9">
        <v>67823.460000000006</v>
      </c>
      <c r="M605" s="10">
        <v>5</v>
      </c>
      <c r="N605" s="49">
        <v>11839.55</v>
      </c>
      <c r="O605" s="9">
        <v>75.89</v>
      </c>
      <c r="P605" s="7" t="s">
        <v>25</v>
      </c>
      <c r="Q605" s="7" t="s">
        <v>57</v>
      </c>
      <c r="R605" s="28">
        <f t="shared" si="9"/>
        <v>0.17456422895558554</v>
      </c>
    </row>
    <row r="606" spans="1:18" x14ac:dyDescent="0.3">
      <c r="A606" s="3" t="s">
        <v>1160</v>
      </c>
      <c r="B606" s="4">
        <v>45729</v>
      </c>
      <c r="C606" s="3" t="s">
        <v>883</v>
      </c>
      <c r="D606" s="3" t="s">
        <v>29</v>
      </c>
      <c r="E606" s="3" t="s">
        <v>20</v>
      </c>
      <c r="F606" s="3" t="s">
        <v>21</v>
      </c>
      <c r="G606" s="3" t="s">
        <v>22</v>
      </c>
      <c r="H606" s="3" t="s">
        <v>23</v>
      </c>
      <c r="I606" s="3" t="s">
        <v>176</v>
      </c>
      <c r="J606" s="3">
        <v>1</v>
      </c>
      <c r="K606" s="5">
        <v>28222.36</v>
      </c>
      <c r="L606" s="5">
        <v>25400.12</v>
      </c>
      <c r="M606" s="6">
        <v>10</v>
      </c>
      <c r="N606" s="48">
        <v>129.69999999999999</v>
      </c>
      <c r="O606" s="5">
        <v>76.180000000000007</v>
      </c>
      <c r="P606" s="3" t="s">
        <v>64</v>
      </c>
      <c r="Q606" s="3" t="s">
        <v>57</v>
      </c>
      <c r="R606" s="28">
        <f t="shared" si="9"/>
        <v>5.1062750884641487E-3</v>
      </c>
    </row>
    <row r="607" spans="1:18" x14ac:dyDescent="0.3">
      <c r="A607" s="7" t="s">
        <v>1161</v>
      </c>
      <c r="B607" s="8">
        <v>45730</v>
      </c>
      <c r="C607" s="7" t="s">
        <v>1162</v>
      </c>
      <c r="D607" s="7" t="s">
        <v>39</v>
      </c>
      <c r="E607" s="7" t="s">
        <v>40</v>
      </c>
      <c r="F607" s="7" t="s">
        <v>77</v>
      </c>
      <c r="G607" s="7" t="s">
        <v>134</v>
      </c>
      <c r="H607" s="7" t="s">
        <v>244</v>
      </c>
      <c r="I607" s="7" t="s">
        <v>334</v>
      </c>
      <c r="J607" s="7">
        <v>2</v>
      </c>
      <c r="K607" s="9">
        <v>4286.95</v>
      </c>
      <c r="L607" s="9">
        <v>7716.51</v>
      </c>
      <c r="M607" s="10">
        <v>10</v>
      </c>
      <c r="N607" s="49">
        <v>1478.91</v>
      </c>
      <c r="O607" s="9">
        <v>326.47000000000003</v>
      </c>
      <c r="P607" s="7" t="s">
        <v>25</v>
      </c>
      <c r="Q607" s="7" t="s">
        <v>65</v>
      </c>
      <c r="R607" s="28">
        <f t="shared" si="9"/>
        <v>0.19165529494551295</v>
      </c>
    </row>
    <row r="608" spans="1:18" x14ac:dyDescent="0.3">
      <c r="A608" s="3" t="s">
        <v>1163</v>
      </c>
      <c r="B608" s="4">
        <v>45730</v>
      </c>
      <c r="C608" s="3" t="s">
        <v>1164</v>
      </c>
      <c r="D608" s="3" t="s">
        <v>39</v>
      </c>
      <c r="E608" s="3" t="s">
        <v>30</v>
      </c>
      <c r="F608" s="3" t="s">
        <v>226</v>
      </c>
      <c r="G608" s="3" t="s">
        <v>117</v>
      </c>
      <c r="H608" s="3" t="s">
        <v>130</v>
      </c>
      <c r="I608" s="3" t="s">
        <v>131</v>
      </c>
      <c r="J608" s="3">
        <v>2</v>
      </c>
      <c r="K608" s="5">
        <v>1549.2</v>
      </c>
      <c r="L608" s="5">
        <v>2788.56</v>
      </c>
      <c r="M608" s="6">
        <v>10</v>
      </c>
      <c r="N608" s="48">
        <v>686.59</v>
      </c>
      <c r="O608" s="5">
        <v>321.10000000000002</v>
      </c>
      <c r="P608" s="3" t="s">
        <v>64</v>
      </c>
      <c r="Q608" s="3" t="s">
        <v>65</v>
      </c>
      <c r="R608" s="28">
        <f t="shared" si="9"/>
        <v>0.24621668531428409</v>
      </c>
    </row>
    <row r="609" spans="1:18" x14ac:dyDescent="0.3">
      <c r="A609" s="7" t="s">
        <v>1165</v>
      </c>
      <c r="B609" s="8">
        <v>45730</v>
      </c>
      <c r="C609" s="7" t="s">
        <v>729</v>
      </c>
      <c r="D609" s="7" t="s">
        <v>39</v>
      </c>
      <c r="E609" s="7" t="s">
        <v>60</v>
      </c>
      <c r="F609" s="7" t="s">
        <v>104</v>
      </c>
      <c r="G609" s="7" t="s">
        <v>42</v>
      </c>
      <c r="H609" s="7" t="s">
        <v>43</v>
      </c>
      <c r="I609" s="7" t="s">
        <v>44</v>
      </c>
      <c r="J609" s="7">
        <v>2</v>
      </c>
      <c r="K609" s="9">
        <v>1077.06</v>
      </c>
      <c r="L609" s="9">
        <v>1938.71</v>
      </c>
      <c r="M609" s="10">
        <v>10</v>
      </c>
      <c r="N609" s="49">
        <v>160.04</v>
      </c>
      <c r="O609" s="9">
        <v>255.89</v>
      </c>
      <c r="P609" s="7" t="s">
        <v>35</v>
      </c>
      <c r="Q609" s="7" t="s">
        <v>36</v>
      </c>
      <c r="R609" s="28">
        <f t="shared" si="9"/>
        <v>8.2549736680576261E-2</v>
      </c>
    </row>
    <row r="610" spans="1:18" x14ac:dyDescent="0.3">
      <c r="A610" s="3" t="s">
        <v>1166</v>
      </c>
      <c r="B610" s="4">
        <v>45731</v>
      </c>
      <c r="C610" s="3" t="s">
        <v>1167</v>
      </c>
      <c r="D610" s="3" t="s">
        <v>29</v>
      </c>
      <c r="E610" s="3" t="s">
        <v>30</v>
      </c>
      <c r="F610" s="3" t="s">
        <v>48</v>
      </c>
      <c r="G610" s="3" t="s">
        <v>22</v>
      </c>
      <c r="H610" s="3" t="s">
        <v>110</v>
      </c>
      <c r="I610" s="3" t="s">
        <v>359</v>
      </c>
      <c r="J610" s="3">
        <v>1</v>
      </c>
      <c r="K610" s="5">
        <v>57611.89</v>
      </c>
      <c r="L610" s="5">
        <v>57611.89</v>
      </c>
      <c r="M610" s="6">
        <v>0</v>
      </c>
      <c r="N610" s="48">
        <v>8156.53</v>
      </c>
      <c r="O610" s="5">
        <v>346.54</v>
      </c>
      <c r="P610" s="3" t="s">
        <v>25</v>
      </c>
      <c r="Q610" s="3" t="s">
        <v>57</v>
      </c>
      <c r="R610" s="28">
        <f t="shared" si="9"/>
        <v>0.14157719873449734</v>
      </c>
    </row>
    <row r="611" spans="1:18" x14ac:dyDescent="0.3">
      <c r="A611" s="7" t="s">
        <v>1168</v>
      </c>
      <c r="B611" s="8">
        <v>45731</v>
      </c>
      <c r="C611" s="7" t="s">
        <v>76</v>
      </c>
      <c r="D611" s="7" t="s">
        <v>39</v>
      </c>
      <c r="E611" s="7" t="s">
        <v>20</v>
      </c>
      <c r="F611" s="7" t="s">
        <v>129</v>
      </c>
      <c r="G611" s="7" t="s">
        <v>32</v>
      </c>
      <c r="H611" s="7" t="s">
        <v>143</v>
      </c>
      <c r="I611" s="7" t="s">
        <v>321</v>
      </c>
      <c r="J611" s="7">
        <v>1</v>
      </c>
      <c r="K611" s="9">
        <v>2321.29</v>
      </c>
      <c r="L611" s="9">
        <v>1973.1</v>
      </c>
      <c r="M611" s="10">
        <v>15</v>
      </c>
      <c r="N611" s="49">
        <v>137.69999999999999</v>
      </c>
      <c r="O611" s="9">
        <v>273.81</v>
      </c>
      <c r="P611" s="7" t="s">
        <v>64</v>
      </c>
      <c r="Q611" s="7" t="s">
        <v>36</v>
      </c>
      <c r="R611" s="28">
        <f t="shared" si="9"/>
        <v>6.9788657442603014E-2</v>
      </c>
    </row>
    <row r="612" spans="1:18" x14ac:dyDescent="0.3">
      <c r="A612" s="3" t="s">
        <v>1169</v>
      </c>
      <c r="B612" s="4">
        <v>45734</v>
      </c>
      <c r="C612" s="3" t="s">
        <v>1170</v>
      </c>
      <c r="D612" s="3" t="s">
        <v>29</v>
      </c>
      <c r="E612" s="3" t="s">
        <v>30</v>
      </c>
      <c r="F612" s="3" t="s">
        <v>226</v>
      </c>
      <c r="G612" s="3" t="s">
        <v>117</v>
      </c>
      <c r="H612" s="3" t="s">
        <v>118</v>
      </c>
      <c r="I612" s="3" t="s">
        <v>438</v>
      </c>
      <c r="J612" s="3">
        <v>3</v>
      </c>
      <c r="K612" s="5">
        <v>818.75</v>
      </c>
      <c r="L612" s="5">
        <v>2087.81</v>
      </c>
      <c r="M612" s="6">
        <v>15</v>
      </c>
      <c r="N612" s="48">
        <v>420.55</v>
      </c>
      <c r="O612" s="5">
        <v>225.63</v>
      </c>
      <c r="P612" s="3" t="s">
        <v>35</v>
      </c>
      <c r="Q612" s="3" t="s">
        <v>65</v>
      </c>
      <c r="R612" s="28">
        <f t="shared" si="9"/>
        <v>0.20143116471326414</v>
      </c>
    </row>
    <row r="613" spans="1:18" x14ac:dyDescent="0.3">
      <c r="A613" s="7" t="s">
        <v>1171</v>
      </c>
      <c r="B613" s="8">
        <v>45735</v>
      </c>
      <c r="C613" s="7" t="s">
        <v>1024</v>
      </c>
      <c r="D613" s="7" t="s">
        <v>39</v>
      </c>
      <c r="E613" s="7" t="s">
        <v>20</v>
      </c>
      <c r="F613" s="7" t="s">
        <v>21</v>
      </c>
      <c r="G613" s="7" t="s">
        <v>32</v>
      </c>
      <c r="H613" s="7" t="s">
        <v>86</v>
      </c>
      <c r="I613" s="7" t="s">
        <v>233</v>
      </c>
      <c r="J613" s="7">
        <v>5</v>
      </c>
      <c r="K613" s="9">
        <v>5542.36</v>
      </c>
      <c r="L613" s="9">
        <v>27711.8</v>
      </c>
      <c r="M613" s="10">
        <v>0</v>
      </c>
      <c r="N613" s="49">
        <v>4139.8100000000004</v>
      </c>
      <c r="O613" s="9">
        <v>267.08</v>
      </c>
      <c r="P613" s="7" t="s">
        <v>45</v>
      </c>
      <c r="Q613" s="7" t="s">
        <v>26</v>
      </c>
      <c r="R613" s="28">
        <f t="shared" si="9"/>
        <v>0.14938798634516706</v>
      </c>
    </row>
    <row r="614" spans="1:18" x14ac:dyDescent="0.3">
      <c r="A614" s="3" t="s">
        <v>1172</v>
      </c>
      <c r="B614" s="4">
        <v>45736</v>
      </c>
      <c r="C614" s="3" t="s">
        <v>1020</v>
      </c>
      <c r="D614" s="3" t="s">
        <v>39</v>
      </c>
      <c r="E614" s="3" t="s">
        <v>40</v>
      </c>
      <c r="F614" s="3" t="s">
        <v>77</v>
      </c>
      <c r="G614" s="3" t="s">
        <v>42</v>
      </c>
      <c r="H614" s="3" t="s">
        <v>172</v>
      </c>
      <c r="I614" s="3" t="s">
        <v>223</v>
      </c>
      <c r="J614" s="3">
        <v>1</v>
      </c>
      <c r="K614" s="5">
        <v>1100.6500000000001</v>
      </c>
      <c r="L614" s="5">
        <v>825.49</v>
      </c>
      <c r="M614" s="6">
        <v>25</v>
      </c>
      <c r="N614" s="48">
        <v>-34.78</v>
      </c>
      <c r="O614" s="5">
        <v>59.21</v>
      </c>
      <c r="P614" s="3" t="s">
        <v>64</v>
      </c>
      <c r="Q614" s="3" t="s">
        <v>57</v>
      </c>
      <c r="R614" s="28">
        <f t="shared" si="9"/>
        <v>-4.2132551575427932E-2</v>
      </c>
    </row>
    <row r="615" spans="1:18" x14ac:dyDescent="0.3">
      <c r="A615" s="7" t="s">
        <v>1173</v>
      </c>
      <c r="B615" s="8">
        <v>45738</v>
      </c>
      <c r="C615" s="7" t="s">
        <v>1174</v>
      </c>
      <c r="D615" s="7" t="s">
        <v>29</v>
      </c>
      <c r="E615" s="7" t="s">
        <v>20</v>
      </c>
      <c r="F615" s="7" t="s">
        <v>21</v>
      </c>
      <c r="G615" s="7" t="s">
        <v>117</v>
      </c>
      <c r="H615" s="7" t="s">
        <v>153</v>
      </c>
      <c r="I615" s="7" t="s">
        <v>356</v>
      </c>
      <c r="J615" s="7">
        <v>4</v>
      </c>
      <c r="K615" s="9">
        <v>2465.15</v>
      </c>
      <c r="L615" s="9">
        <v>8874.5400000000009</v>
      </c>
      <c r="M615" s="10">
        <v>10</v>
      </c>
      <c r="N615" s="49">
        <v>1384.71</v>
      </c>
      <c r="O615" s="9">
        <v>375.48</v>
      </c>
      <c r="P615" s="7" t="s">
        <v>64</v>
      </c>
      <c r="Q615" s="7" t="s">
        <v>65</v>
      </c>
      <c r="R615" s="28">
        <f t="shared" si="9"/>
        <v>0.15603174925122879</v>
      </c>
    </row>
    <row r="616" spans="1:18" x14ac:dyDescent="0.3">
      <c r="A616" s="3" t="s">
        <v>1175</v>
      </c>
      <c r="B616" s="4">
        <v>45739</v>
      </c>
      <c r="C616" s="3" t="s">
        <v>1095</v>
      </c>
      <c r="D616" s="3" t="s">
        <v>39</v>
      </c>
      <c r="E616" s="3" t="s">
        <v>20</v>
      </c>
      <c r="F616" s="3" t="s">
        <v>21</v>
      </c>
      <c r="G616" s="3" t="s">
        <v>49</v>
      </c>
      <c r="H616" s="3" t="s">
        <v>50</v>
      </c>
      <c r="I616" s="3" t="s">
        <v>51</v>
      </c>
      <c r="J616" s="3">
        <v>1</v>
      </c>
      <c r="K616" s="5">
        <v>9421.85</v>
      </c>
      <c r="L616" s="5">
        <v>9421.85</v>
      </c>
      <c r="M616" s="6">
        <v>0</v>
      </c>
      <c r="N616" s="48">
        <v>2138.16</v>
      </c>
      <c r="O616" s="5">
        <v>300.36</v>
      </c>
      <c r="P616" s="3" t="s">
        <v>35</v>
      </c>
      <c r="Q616" s="3" t="s">
        <v>36</v>
      </c>
      <c r="R616" s="28">
        <f t="shared" si="9"/>
        <v>0.22693632354580043</v>
      </c>
    </row>
    <row r="617" spans="1:18" x14ac:dyDescent="0.3">
      <c r="A617" s="7" t="s">
        <v>1176</v>
      </c>
      <c r="B617" s="8">
        <v>45739</v>
      </c>
      <c r="C617" s="7" t="s">
        <v>314</v>
      </c>
      <c r="D617" s="7" t="s">
        <v>19</v>
      </c>
      <c r="E617" s="7" t="s">
        <v>20</v>
      </c>
      <c r="F617" s="7" t="s">
        <v>21</v>
      </c>
      <c r="G617" s="7" t="s">
        <v>42</v>
      </c>
      <c r="H617" s="7" t="s">
        <v>172</v>
      </c>
      <c r="I617" s="7" t="s">
        <v>173</v>
      </c>
      <c r="J617" s="7">
        <v>1</v>
      </c>
      <c r="K617" s="9">
        <v>325.07</v>
      </c>
      <c r="L617" s="9">
        <v>325.07</v>
      </c>
      <c r="M617" s="10">
        <v>0</v>
      </c>
      <c r="N617" s="49">
        <v>72.040000000000006</v>
      </c>
      <c r="O617" s="9">
        <v>311.16000000000003</v>
      </c>
      <c r="P617" s="7" t="s">
        <v>25</v>
      </c>
      <c r="Q617" s="7" t="s">
        <v>26</v>
      </c>
      <c r="R617" s="28">
        <f t="shared" si="9"/>
        <v>0.22161380625711388</v>
      </c>
    </row>
    <row r="618" spans="1:18" x14ac:dyDescent="0.3">
      <c r="A618" s="3" t="s">
        <v>1177</v>
      </c>
      <c r="B618" s="4">
        <v>45740</v>
      </c>
      <c r="C618" s="3" t="s">
        <v>786</v>
      </c>
      <c r="D618" s="3" t="s">
        <v>39</v>
      </c>
      <c r="E618" s="3" t="s">
        <v>30</v>
      </c>
      <c r="F618" s="3" t="s">
        <v>31</v>
      </c>
      <c r="G618" s="3" t="s">
        <v>32</v>
      </c>
      <c r="H618" s="3" t="s">
        <v>33</v>
      </c>
      <c r="I618" s="3" t="s">
        <v>470</v>
      </c>
      <c r="J618" s="3">
        <v>2</v>
      </c>
      <c r="K618" s="5">
        <v>578.58000000000004</v>
      </c>
      <c r="L618" s="5">
        <v>1157.1600000000001</v>
      </c>
      <c r="M618" s="6">
        <v>0</v>
      </c>
      <c r="N618" s="48">
        <v>119.7</v>
      </c>
      <c r="O618" s="5">
        <v>189.08</v>
      </c>
      <c r="P618" s="3" t="s">
        <v>83</v>
      </c>
      <c r="Q618" s="3" t="s">
        <v>57</v>
      </c>
      <c r="R618" s="28">
        <f t="shared" si="9"/>
        <v>0.1034429119568599</v>
      </c>
    </row>
    <row r="619" spans="1:18" x14ac:dyDescent="0.3">
      <c r="A619" s="7" t="s">
        <v>1178</v>
      </c>
      <c r="B619" s="8">
        <v>45740</v>
      </c>
      <c r="C619" s="7" t="s">
        <v>1179</v>
      </c>
      <c r="D619" s="7" t="s">
        <v>29</v>
      </c>
      <c r="E619" s="7" t="s">
        <v>30</v>
      </c>
      <c r="F619" s="7" t="s">
        <v>31</v>
      </c>
      <c r="G619" s="7" t="s">
        <v>32</v>
      </c>
      <c r="H619" s="7" t="s">
        <v>86</v>
      </c>
      <c r="I619" s="7" t="s">
        <v>211</v>
      </c>
      <c r="J619" s="7">
        <v>2</v>
      </c>
      <c r="K619" s="9">
        <v>2762.54</v>
      </c>
      <c r="L619" s="9">
        <v>4972.57</v>
      </c>
      <c r="M619" s="10">
        <v>10</v>
      </c>
      <c r="N619" s="49">
        <v>17.239999999999998</v>
      </c>
      <c r="O619" s="9">
        <v>149.82</v>
      </c>
      <c r="P619" s="7" t="s">
        <v>83</v>
      </c>
      <c r="Q619" s="7" t="s">
        <v>26</v>
      </c>
      <c r="R619" s="28">
        <f t="shared" si="9"/>
        <v>3.4670200721156263E-3</v>
      </c>
    </row>
    <row r="620" spans="1:18" x14ac:dyDescent="0.3">
      <c r="A620" s="3" t="s">
        <v>1180</v>
      </c>
      <c r="B620" s="4">
        <v>45740</v>
      </c>
      <c r="C620" s="3" t="s">
        <v>316</v>
      </c>
      <c r="D620" s="3" t="s">
        <v>29</v>
      </c>
      <c r="E620" s="3" t="s">
        <v>40</v>
      </c>
      <c r="F620" s="3" t="s">
        <v>109</v>
      </c>
      <c r="G620" s="3" t="s">
        <v>42</v>
      </c>
      <c r="H620" s="3" t="s">
        <v>172</v>
      </c>
      <c r="I620" s="3" t="s">
        <v>173</v>
      </c>
      <c r="J620" s="3">
        <v>2</v>
      </c>
      <c r="K620" s="5">
        <v>441.8</v>
      </c>
      <c r="L620" s="5">
        <v>751.06</v>
      </c>
      <c r="M620" s="6">
        <v>15</v>
      </c>
      <c r="N620" s="48">
        <v>54.26</v>
      </c>
      <c r="O620" s="5">
        <v>255.42</v>
      </c>
      <c r="P620" s="3" t="s">
        <v>25</v>
      </c>
      <c r="Q620" s="3" t="s">
        <v>57</v>
      </c>
      <c r="R620" s="28">
        <f t="shared" si="9"/>
        <v>7.2244561020424466E-2</v>
      </c>
    </row>
    <row r="621" spans="1:18" x14ac:dyDescent="0.3">
      <c r="A621" s="7" t="s">
        <v>1181</v>
      </c>
      <c r="B621" s="8">
        <v>45741</v>
      </c>
      <c r="C621" s="7" t="s">
        <v>937</v>
      </c>
      <c r="D621" s="7" t="s">
        <v>39</v>
      </c>
      <c r="E621" s="7" t="s">
        <v>60</v>
      </c>
      <c r="F621" s="7" t="s">
        <v>104</v>
      </c>
      <c r="G621" s="7" t="s">
        <v>49</v>
      </c>
      <c r="H621" s="7" t="s">
        <v>62</v>
      </c>
      <c r="I621" s="7" t="s">
        <v>424</v>
      </c>
      <c r="J621" s="7">
        <v>3</v>
      </c>
      <c r="K621" s="9">
        <v>14517.32</v>
      </c>
      <c r="L621" s="9">
        <v>37019.17</v>
      </c>
      <c r="M621" s="10">
        <v>15</v>
      </c>
      <c r="N621" s="49">
        <v>6015.59</v>
      </c>
      <c r="O621" s="9">
        <v>307.39</v>
      </c>
      <c r="P621" s="7" t="s">
        <v>45</v>
      </c>
      <c r="Q621" s="7" t="s">
        <v>65</v>
      </c>
      <c r="R621" s="28">
        <f t="shared" si="9"/>
        <v>0.16249932129758718</v>
      </c>
    </row>
    <row r="622" spans="1:18" x14ac:dyDescent="0.3">
      <c r="A622" s="3" t="s">
        <v>1182</v>
      </c>
      <c r="B622" s="4">
        <v>45741</v>
      </c>
      <c r="C622" s="3" t="s">
        <v>1183</v>
      </c>
      <c r="D622" s="3" t="s">
        <v>19</v>
      </c>
      <c r="E622" s="3" t="s">
        <v>60</v>
      </c>
      <c r="F622" s="3" t="s">
        <v>104</v>
      </c>
      <c r="G622" s="3" t="s">
        <v>42</v>
      </c>
      <c r="H622" s="3" t="s">
        <v>43</v>
      </c>
      <c r="I622" s="3" t="s">
        <v>751</v>
      </c>
      <c r="J622" s="3">
        <v>2</v>
      </c>
      <c r="K622" s="5">
        <v>895.62</v>
      </c>
      <c r="L622" s="5">
        <v>1522.55</v>
      </c>
      <c r="M622" s="6">
        <v>15</v>
      </c>
      <c r="N622" s="48">
        <v>7.49</v>
      </c>
      <c r="O622" s="5">
        <v>321.29000000000002</v>
      </c>
      <c r="P622" s="3" t="s">
        <v>64</v>
      </c>
      <c r="Q622" s="3" t="s">
        <v>57</v>
      </c>
      <c r="R622" s="28">
        <f t="shared" si="9"/>
        <v>4.9193786739351745E-3</v>
      </c>
    </row>
    <row r="623" spans="1:18" x14ac:dyDescent="0.3">
      <c r="A623" s="7" t="s">
        <v>1184</v>
      </c>
      <c r="B623" s="8">
        <v>45742</v>
      </c>
      <c r="C623" s="7" t="s">
        <v>1185</v>
      </c>
      <c r="D623" s="7" t="s">
        <v>19</v>
      </c>
      <c r="E623" s="7" t="s">
        <v>30</v>
      </c>
      <c r="F623" s="7" t="s">
        <v>48</v>
      </c>
      <c r="G623" s="7" t="s">
        <v>32</v>
      </c>
      <c r="H623" s="7" t="s">
        <v>33</v>
      </c>
      <c r="I623" s="7" t="s">
        <v>470</v>
      </c>
      <c r="J623" s="7">
        <v>1</v>
      </c>
      <c r="K623" s="9">
        <v>10777.86</v>
      </c>
      <c r="L623" s="9">
        <v>9700.07</v>
      </c>
      <c r="M623" s="10">
        <v>10</v>
      </c>
      <c r="N623" s="49">
        <v>1532.98</v>
      </c>
      <c r="O623" s="9">
        <v>30.14</v>
      </c>
      <c r="P623" s="7" t="s">
        <v>45</v>
      </c>
      <c r="Q623" s="7" t="s">
        <v>26</v>
      </c>
      <c r="R623" s="28">
        <f t="shared" si="9"/>
        <v>0.15803803477706863</v>
      </c>
    </row>
    <row r="624" spans="1:18" x14ac:dyDescent="0.3">
      <c r="A624" s="3" t="s">
        <v>1186</v>
      </c>
      <c r="B624" s="4">
        <v>45743</v>
      </c>
      <c r="C624" s="3" t="s">
        <v>765</v>
      </c>
      <c r="D624" s="3" t="s">
        <v>39</v>
      </c>
      <c r="E624" s="3" t="s">
        <v>20</v>
      </c>
      <c r="F624" s="3" t="s">
        <v>129</v>
      </c>
      <c r="G624" s="3" t="s">
        <v>49</v>
      </c>
      <c r="H624" s="3" t="s">
        <v>50</v>
      </c>
      <c r="I624" s="3" t="s">
        <v>95</v>
      </c>
      <c r="J624" s="3">
        <v>3</v>
      </c>
      <c r="K624" s="5">
        <v>5980.8</v>
      </c>
      <c r="L624" s="5">
        <v>14353.92</v>
      </c>
      <c r="M624" s="6">
        <v>20</v>
      </c>
      <c r="N624" s="48">
        <v>1105.04</v>
      </c>
      <c r="O624" s="5">
        <v>135.19</v>
      </c>
      <c r="P624" s="3" t="s">
        <v>35</v>
      </c>
      <c r="Q624" s="3" t="s">
        <v>36</v>
      </c>
      <c r="R624" s="28">
        <f t="shared" si="9"/>
        <v>7.6985241662207951E-2</v>
      </c>
    </row>
    <row r="625" spans="1:18" x14ac:dyDescent="0.3">
      <c r="A625" s="7" t="s">
        <v>1187</v>
      </c>
      <c r="B625" s="8">
        <v>45743</v>
      </c>
      <c r="C625" s="7" t="s">
        <v>707</v>
      </c>
      <c r="D625" s="7" t="s">
        <v>19</v>
      </c>
      <c r="E625" s="7" t="s">
        <v>20</v>
      </c>
      <c r="F625" s="7" t="s">
        <v>21</v>
      </c>
      <c r="G625" s="7" t="s">
        <v>117</v>
      </c>
      <c r="H625" s="7" t="s">
        <v>125</v>
      </c>
      <c r="I625" s="7" t="s">
        <v>217</v>
      </c>
      <c r="J625" s="7">
        <v>2</v>
      </c>
      <c r="K625" s="9">
        <v>1815.84</v>
      </c>
      <c r="L625" s="9">
        <v>3086.93</v>
      </c>
      <c r="M625" s="10">
        <v>15</v>
      </c>
      <c r="N625" s="49">
        <v>491.18</v>
      </c>
      <c r="O625" s="9">
        <v>295.18</v>
      </c>
      <c r="P625" s="7" t="s">
        <v>64</v>
      </c>
      <c r="Q625" s="7" t="s">
        <v>26</v>
      </c>
      <c r="R625" s="28">
        <f t="shared" si="9"/>
        <v>0.15911601494041006</v>
      </c>
    </row>
    <row r="626" spans="1:18" x14ac:dyDescent="0.3">
      <c r="A626" s="3" t="s">
        <v>1188</v>
      </c>
      <c r="B626" s="4">
        <v>45746</v>
      </c>
      <c r="C626" s="3" t="s">
        <v>523</v>
      </c>
      <c r="D626" s="3" t="s">
        <v>39</v>
      </c>
      <c r="E626" s="3" t="s">
        <v>60</v>
      </c>
      <c r="F626" s="3" t="s">
        <v>61</v>
      </c>
      <c r="G626" s="3" t="s">
        <v>32</v>
      </c>
      <c r="H626" s="3" t="s">
        <v>73</v>
      </c>
      <c r="I626" s="3" t="s">
        <v>214</v>
      </c>
      <c r="J626" s="3">
        <v>1</v>
      </c>
      <c r="K626" s="5">
        <v>11498.89</v>
      </c>
      <c r="L626" s="5">
        <v>9774.06</v>
      </c>
      <c r="M626" s="6">
        <v>15</v>
      </c>
      <c r="N626" s="48">
        <v>781.82</v>
      </c>
      <c r="O626" s="5">
        <v>187.77</v>
      </c>
      <c r="P626" s="3" t="s">
        <v>35</v>
      </c>
      <c r="Q626" s="3" t="s">
        <v>65</v>
      </c>
      <c r="R626" s="28">
        <f t="shared" si="9"/>
        <v>7.9989277741286641E-2</v>
      </c>
    </row>
    <row r="627" spans="1:18" x14ac:dyDescent="0.3">
      <c r="A627" s="7" t="s">
        <v>1189</v>
      </c>
      <c r="B627" s="8">
        <v>45746</v>
      </c>
      <c r="C627" s="7" t="s">
        <v>1190</v>
      </c>
      <c r="D627" s="7" t="s">
        <v>39</v>
      </c>
      <c r="E627" s="7" t="s">
        <v>30</v>
      </c>
      <c r="F627" s="7" t="s">
        <v>48</v>
      </c>
      <c r="G627" s="7" t="s">
        <v>134</v>
      </c>
      <c r="H627" s="7" t="s">
        <v>139</v>
      </c>
      <c r="I627" s="7" t="s">
        <v>587</v>
      </c>
      <c r="J627" s="7">
        <v>2</v>
      </c>
      <c r="K627" s="9">
        <v>3523.78</v>
      </c>
      <c r="L627" s="9">
        <v>7047.56</v>
      </c>
      <c r="M627" s="10">
        <v>0</v>
      </c>
      <c r="N627" s="49">
        <v>1985.69</v>
      </c>
      <c r="O627" s="9">
        <v>317.11</v>
      </c>
      <c r="P627" s="7" t="s">
        <v>25</v>
      </c>
      <c r="Q627" s="7" t="s">
        <v>26</v>
      </c>
      <c r="R627" s="28">
        <f t="shared" si="9"/>
        <v>0.2817556714664366</v>
      </c>
    </row>
    <row r="628" spans="1:18" x14ac:dyDescent="0.3">
      <c r="A628" s="3" t="s">
        <v>1191</v>
      </c>
      <c r="B628" s="4">
        <v>45747</v>
      </c>
      <c r="C628" s="3" t="s">
        <v>479</v>
      </c>
      <c r="D628" s="3" t="s">
        <v>39</v>
      </c>
      <c r="E628" s="3" t="s">
        <v>60</v>
      </c>
      <c r="F628" s="3" t="s">
        <v>104</v>
      </c>
      <c r="G628" s="3" t="s">
        <v>22</v>
      </c>
      <c r="H628" s="3" t="s">
        <v>110</v>
      </c>
      <c r="I628" s="3" t="s">
        <v>111</v>
      </c>
      <c r="J628" s="3">
        <v>2</v>
      </c>
      <c r="K628" s="5">
        <v>36587.14</v>
      </c>
      <c r="L628" s="5">
        <v>69515.570000000007</v>
      </c>
      <c r="M628" s="6">
        <v>5</v>
      </c>
      <c r="N628" s="48">
        <v>6344.35</v>
      </c>
      <c r="O628" s="5">
        <v>193.22</v>
      </c>
      <c r="P628" s="3" t="s">
        <v>35</v>
      </c>
      <c r="Q628" s="3" t="s">
        <v>36</v>
      </c>
      <c r="R628" s="28">
        <f t="shared" si="9"/>
        <v>9.1265165487386488E-2</v>
      </c>
    </row>
    <row r="629" spans="1:18" x14ac:dyDescent="0.3">
      <c r="A629" s="7" t="s">
        <v>1192</v>
      </c>
      <c r="B629" s="8">
        <v>45750</v>
      </c>
      <c r="C629" s="7" t="s">
        <v>1193</v>
      </c>
      <c r="D629" s="7" t="s">
        <v>39</v>
      </c>
      <c r="E629" s="7" t="s">
        <v>60</v>
      </c>
      <c r="F629" s="7" t="s">
        <v>68</v>
      </c>
      <c r="G629" s="7" t="s">
        <v>22</v>
      </c>
      <c r="H629" s="7" t="s">
        <v>105</v>
      </c>
      <c r="I629" s="7" t="s">
        <v>157</v>
      </c>
      <c r="J629" s="7">
        <v>1</v>
      </c>
      <c r="K629" s="9">
        <v>64442.13</v>
      </c>
      <c r="L629" s="9">
        <v>61220.02</v>
      </c>
      <c r="M629" s="10">
        <v>5</v>
      </c>
      <c r="N629" s="49">
        <v>9302.74</v>
      </c>
      <c r="O629" s="9">
        <v>71.09</v>
      </c>
      <c r="P629" s="7" t="s">
        <v>35</v>
      </c>
      <c r="Q629" s="7" t="s">
        <v>26</v>
      </c>
      <c r="R629" s="28">
        <f t="shared" si="9"/>
        <v>0.15195584712321231</v>
      </c>
    </row>
    <row r="630" spans="1:18" x14ac:dyDescent="0.3">
      <c r="A630" s="3" t="s">
        <v>1194</v>
      </c>
      <c r="B630" s="4">
        <v>45750</v>
      </c>
      <c r="C630" s="3" t="s">
        <v>757</v>
      </c>
      <c r="D630" s="3" t="s">
        <v>39</v>
      </c>
      <c r="E630" s="3" t="s">
        <v>20</v>
      </c>
      <c r="F630" s="3" t="s">
        <v>129</v>
      </c>
      <c r="G630" s="3" t="s">
        <v>49</v>
      </c>
      <c r="H630" s="3" t="s">
        <v>50</v>
      </c>
      <c r="I630" s="3" t="s">
        <v>51</v>
      </c>
      <c r="J630" s="3">
        <v>2</v>
      </c>
      <c r="K630" s="5">
        <v>4353.25</v>
      </c>
      <c r="L630" s="5">
        <v>7400.52</v>
      </c>
      <c r="M630" s="6">
        <v>15</v>
      </c>
      <c r="N630" s="48">
        <v>1054.6500000000001</v>
      </c>
      <c r="O630" s="5">
        <v>179.31</v>
      </c>
      <c r="P630" s="3" t="s">
        <v>35</v>
      </c>
      <c r="Q630" s="3" t="s">
        <v>65</v>
      </c>
      <c r="R630" s="28">
        <f t="shared" si="9"/>
        <v>0.14251025603606232</v>
      </c>
    </row>
    <row r="631" spans="1:18" x14ac:dyDescent="0.3">
      <c r="A631" s="7" t="s">
        <v>1195</v>
      </c>
      <c r="B631" s="8">
        <v>45751</v>
      </c>
      <c r="C631" s="7" t="s">
        <v>1196</v>
      </c>
      <c r="D631" s="7" t="s">
        <v>19</v>
      </c>
      <c r="E631" s="7" t="s">
        <v>30</v>
      </c>
      <c r="F631" s="7" t="s">
        <v>226</v>
      </c>
      <c r="G631" s="7" t="s">
        <v>49</v>
      </c>
      <c r="H631" s="7" t="s">
        <v>98</v>
      </c>
      <c r="I631" s="7" t="s">
        <v>763</v>
      </c>
      <c r="J631" s="7">
        <v>3</v>
      </c>
      <c r="K631" s="9">
        <v>11806.71</v>
      </c>
      <c r="L631" s="9">
        <v>35420.129999999997</v>
      </c>
      <c r="M631" s="10">
        <v>0</v>
      </c>
      <c r="N631" s="49">
        <v>8481.91</v>
      </c>
      <c r="O631" s="9">
        <v>286.8</v>
      </c>
      <c r="P631" s="7" t="s">
        <v>35</v>
      </c>
      <c r="Q631" s="7" t="s">
        <v>65</v>
      </c>
      <c r="R631" s="28">
        <f t="shared" si="9"/>
        <v>0.23946580659077199</v>
      </c>
    </row>
    <row r="632" spans="1:18" x14ac:dyDescent="0.3">
      <c r="A632" s="3" t="s">
        <v>1197</v>
      </c>
      <c r="B632" s="4">
        <v>45751</v>
      </c>
      <c r="C632" s="3" t="s">
        <v>267</v>
      </c>
      <c r="D632" s="3" t="s">
        <v>39</v>
      </c>
      <c r="E632" s="3" t="s">
        <v>40</v>
      </c>
      <c r="F632" s="3" t="s">
        <v>77</v>
      </c>
      <c r="G632" s="3" t="s">
        <v>22</v>
      </c>
      <c r="H632" s="3" t="s">
        <v>624</v>
      </c>
      <c r="I632" s="3" t="s">
        <v>625</v>
      </c>
      <c r="J632" s="3">
        <v>5</v>
      </c>
      <c r="K632" s="5">
        <v>2768.65</v>
      </c>
      <c r="L632" s="5">
        <v>13151.09</v>
      </c>
      <c r="M632" s="6">
        <v>5</v>
      </c>
      <c r="N632" s="48">
        <v>2177.0300000000002</v>
      </c>
      <c r="O632" s="5">
        <v>97.08</v>
      </c>
      <c r="P632" s="3" t="s">
        <v>35</v>
      </c>
      <c r="Q632" s="3" t="s">
        <v>26</v>
      </c>
      <c r="R632" s="28">
        <f t="shared" si="9"/>
        <v>0.16553989060982779</v>
      </c>
    </row>
    <row r="633" spans="1:18" x14ac:dyDescent="0.3">
      <c r="A633" s="7" t="s">
        <v>1198</v>
      </c>
      <c r="B633" s="8">
        <v>45751</v>
      </c>
      <c r="C633" s="7" t="s">
        <v>1199</v>
      </c>
      <c r="D633" s="7" t="s">
        <v>19</v>
      </c>
      <c r="E633" s="7" t="s">
        <v>20</v>
      </c>
      <c r="F633" s="7" t="s">
        <v>54</v>
      </c>
      <c r="G633" s="7" t="s">
        <v>32</v>
      </c>
      <c r="H633" s="7" t="s">
        <v>143</v>
      </c>
      <c r="I633" s="7" t="s">
        <v>516</v>
      </c>
      <c r="J633" s="7">
        <v>2</v>
      </c>
      <c r="K633" s="9">
        <v>7495.18</v>
      </c>
      <c r="L633" s="9">
        <v>14990.36</v>
      </c>
      <c r="M633" s="10">
        <v>0</v>
      </c>
      <c r="N633" s="49">
        <v>870.11</v>
      </c>
      <c r="O633" s="9">
        <v>59.93</v>
      </c>
      <c r="P633" s="7" t="s">
        <v>64</v>
      </c>
      <c r="Q633" s="7" t="s">
        <v>65</v>
      </c>
      <c r="R633" s="28">
        <f t="shared" si="9"/>
        <v>5.8044636686510533E-2</v>
      </c>
    </row>
    <row r="634" spans="1:18" x14ac:dyDescent="0.3">
      <c r="A634" s="3" t="s">
        <v>1200</v>
      </c>
      <c r="B634" s="4">
        <v>45753</v>
      </c>
      <c r="C634" s="3" t="s">
        <v>1052</v>
      </c>
      <c r="D634" s="3" t="s">
        <v>39</v>
      </c>
      <c r="E634" s="3" t="s">
        <v>40</v>
      </c>
      <c r="F634" s="3" t="s">
        <v>90</v>
      </c>
      <c r="G634" s="3" t="s">
        <v>134</v>
      </c>
      <c r="H634" s="3" t="s">
        <v>244</v>
      </c>
      <c r="I634" s="3" t="s">
        <v>270</v>
      </c>
      <c r="J634" s="3">
        <v>3</v>
      </c>
      <c r="K634" s="5">
        <v>4149.7299999999996</v>
      </c>
      <c r="L634" s="5">
        <v>12449.19</v>
      </c>
      <c r="M634" s="6">
        <v>0</v>
      </c>
      <c r="N634" s="48">
        <v>2096.61</v>
      </c>
      <c r="O634" s="5">
        <v>102.45</v>
      </c>
      <c r="P634" s="3" t="s">
        <v>45</v>
      </c>
      <c r="Q634" s="3" t="s">
        <v>26</v>
      </c>
      <c r="R634" s="28">
        <f t="shared" si="9"/>
        <v>0.16841336665277018</v>
      </c>
    </row>
    <row r="635" spans="1:18" x14ac:dyDescent="0.3">
      <c r="A635" s="7" t="s">
        <v>1201</v>
      </c>
      <c r="B635" s="8">
        <v>45753</v>
      </c>
      <c r="C635" s="7" t="s">
        <v>645</v>
      </c>
      <c r="D635" s="7" t="s">
        <v>39</v>
      </c>
      <c r="E635" s="7" t="s">
        <v>40</v>
      </c>
      <c r="F635" s="7" t="s">
        <v>77</v>
      </c>
      <c r="G635" s="7" t="s">
        <v>49</v>
      </c>
      <c r="H635" s="7" t="s">
        <v>50</v>
      </c>
      <c r="I635" s="7" t="s">
        <v>95</v>
      </c>
      <c r="J635" s="7">
        <v>1</v>
      </c>
      <c r="K635" s="9">
        <v>14038.48</v>
      </c>
      <c r="L635" s="9">
        <v>13336.56</v>
      </c>
      <c r="M635" s="10">
        <v>5</v>
      </c>
      <c r="N635" s="49">
        <v>3135.32</v>
      </c>
      <c r="O635" s="9">
        <v>326.18</v>
      </c>
      <c r="P635" s="7" t="s">
        <v>25</v>
      </c>
      <c r="Q635" s="7" t="s">
        <v>26</v>
      </c>
      <c r="R635" s="28">
        <f t="shared" si="9"/>
        <v>0.23509210770993422</v>
      </c>
    </row>
    <row r="636" spans="1:18" x14ac:dyDescent="0.3">
      <c r="A636" s="3" t="s">
        <v>1202</v>
      </c>
      <c r="B636" s="4">
        <v>45753</v>
      </c>
      <c r="C636" s="3" t="s">
        <v>1203</v>
      </c>
      <c r="D636" s="3" t="s">
        <v>19</v>
      </c>
      <c r="E636" s="3" t="s">
        <v>40</v>
      </c>
      <c r="F636" s="3" t="s">
        <v>41</v>
      </c>
      <c r="G636" s="3" t="s">
        <v>134</v>
      </c>
      <c r="H636" s="3" t="s">
        <v>139</v>
      </c>
      <c r="I636" s="3" t="s">
        <v>587</v>
      </c>
      <c r="J636" s="3">
        <v>3</v>
      </c>
      <c r="K636" s="5">
        <v>2157.94</v>
      </c>
      <c r="L636" s="5">
        <v>5826.44</v>
      </c>
      <c r="M636" s="6">
        <v>10</v>
      </c>
      <c r="N636" s="48">
        <v>600.79999999999995</v>
      </c>
      <c r="O636" s="5">
        <v>73.59</v>
      </c>
      <c r="P636" s="3" t="s">
        <v>25</v>
      </c>
      <c r="Q636" s="3" t="s">
        <v>65</v>
      </c>
      <c r="R636" s="28">
        <f t="shared" si="9"/>
        <v>0.10311613952945538</v>
      </c>
    </row>
    <row r="637" spans="1:18" x14ac:dyDescent="0.3">
      <c r="A637" s="7" t="s">
        <v>1204</v>
      </c>
      <c r="B637" s="8">
        <v>45754</v>
      </c>
      <c r="C637" s="7" t="s">
        <v>331</v>
      </c>
      <c r="D637" s="7" t="s">
        <v>39</v>
      </c>
      <c r="E637" s="7" t="s">
        <v>20</v>
      </c>
      <c r="F637" s="7" t="s">
        <v>129</v>
      </c>
      <c r="G637" s="7" t="s">
        <v>134</v>
      </c>
      <c r="H637" s="7" t="s">
        <v>244</v>
      </c>
      <c r="I637" s="7" t="s">
        <v>411</v>
      </c>
      <c r="J637" s="7">
        <v>4</v>
      </c>
      <c r="K637" s="9">
        <v>2424.58</v>
      </c>
      <c r="L637" s="9">
        <v>8728.49</v>
      </c>
      <c r="M637" s="10">
        <v>10</v>
      </c>
      <c r="N637" s="49">
        <v>1515.86</v>
      </c>
      <c r="O637" s="9">
        <v>344.02</v>
      </c>
      <c r="P637" s="7" t="s">
        <v>35</v>
      </c>
      <c r="Q637" s="7" t="s">
        <v>26</v>
      </c>
      <c r="R637" s="28">
        <f t="shared" si="9"/>
        <v>0.17366806858918324</v>
      </c>
    </row>
    <row r="638" spans="1:18" x14ac:dyDescent="0.3">
      <c r="A638" s="3" t="s">
        <v>1205</v>
      </c>
      <c r="B638" s="4">
        <v>45757</v>
      </c>
      <c r="C638" s="3" t="s">
        <v>1206</v>
      </c>
      <c r="D638" s="3" t="s">
        <v>39</v>
      </c>
      <c r="E638" s="3" t="s">
        <v>20</v>
      </c>
      <c r="F638" s="3" t="s">
        <v>129</v>
      </c>
      <c r="G638" s="3" t="s">
        <v>49</v>
      </c>
      <c r="H638" s="3" t="s">
        <v>98</v>
      </c>
      <c r="I638" s="3" t="s">
        <v>763</v>
      </c>
      <c r="J638" s="3">
        <v>1</v>
      </c>
      <c r="K638" s="5">
        <v>1931.38</v>
      </c>
      <c r="L638" s="5">
        <v>1738.24</v>
      </c>
      <c r="M638" s="6">
        <v>10</v>
      </c>
      <c r="N638" s="48">
        <v>191.02</v>
      </c>
      <c r="O638" s="5">
        <v>338.84</v>
      </c>
      <c r="P638" s="3" t="s">
        <v>64</v>
      </c>
      <c r="Q638" s="3" t="s">
        <v>26</v>
      </c>
      <c r="R638" s="28">
        <f t="shared" si="9"/>
        <v>0.10989276509572903</v>
      </c>
    </row>
    <row r="639" spans="1:18" x14ac:dyDescent="0.3">
      <c r="A639" s="7" t="s">
        <v>1207</v>
      </c>
      <c r="B639" s="8">
        <v>45758</v>
      </c>
      <c r="C639" s="7" t="s">
        <v>571</v>
      </c>
      <c r="D639" s="7" t="s">
        <v>19</v>
      </c>
      <c r="E639" s="7" t="s">
        <v>40</v>
      </c>
      <c r="F639" s="7" t="s">
        <v>77</v>
      </c>
      <c r="G639" s="7" t="s">
        <v>134</v>
      </c>
      <c r="H639" s="7" t="s">
        <v>91</v>
      </c>
      <c r="I639" s="7" t="s">
        <v>188</v>
      </c>
      <c r="J639" s="7">
        <v>1</v>
      </c>
      <c r="K639" s="9">
        <v>719.89</v>
      </c>
      <c r="L639" s="9">
        <v>683.9</v>
      </c>
      <c r="M639" s="10">
        <v>5</v>
      </c>
      <c r="N639" s="49">
        <v>182.02</v>
      </c>
      <c r="O639" s="9">
        <v>176.96</v>
      </c>
      <c r="P639" s="7" t="s">
        <v>35</v>
      </c>
      <c r="Q639" s="7" t="s">
        <v>26</v>
      </c>
      <c r="R639" s="28">
        <f t="shared" si="9"/>
        <v>0.26615002193303117</v>
      </c>
    </row>
    <row r="640" spans="1:18" x14ac:dyDescent="0.3">
      <c r="A640" s="3" t="s">
        <v>1208</v>
      </c>
      <c r="B640" s="4">
        <v>45760</v>
      </c>
      <c r="C640" s="3" t="s">
        <v>1209</v>
      </c>
      <c r="D640" s="3" t="s">
        <v>39</v>
      </c>
      <c r="E640" s="3" t="s">
        <v>20</v>
      </c>
      <c r="F640" s="3" t="s">
        <v>129</v>
      </c>
      <c r="G640" s="3" t="s">
        <v>22</v>
      </c>
      <c r="H640" s="3" t="s">
        <v>55</v>
      </c>
      <c r="I640" s="3" t="s">
        <v>416</v>
      </c>
      <c r="J640" s="3">
        <v>2</v>
      </c>
      <c r="K640" s="5">
        <v>34068.080000000002</v>
      </c>
      <c r="L640" s="5">
        <v>61322.54</v>
      </c>
      <c r="M640" s="6">
        <v>10</v>
      </c>
      <c r="N640" s="48">
        <v>2339.34</v>
      </c>
      <c r="O640" s="5">
        <v>223.34</v>
      </c>
      <c r="P640" s="3" t="s">
        <v>64</v>
      </c>
      <c r="Q640" s="3" t="s">
        <v>65</v>
      </c>
      <c r="R640" s="28">
        <f t="shared" si="9"/>
        <v>3.8148126284397225E-2</v>
      </c>
    </row>
    <row r="641" spans="1:18" x14ac:dyDescent="0.3">
      <c r="A641" s="7" t="s">
        <v>1210</v>
      </c>
      <c r="B641" s="8">
        <v>45760</v>
      </c>
      <c r="C641" s="7" t="s">
        <v>1211</v>
      </c>
      <c r="D641" s="7" t="s">
        <v>39</v>
      </c>
      <c r="E641" s="7" t="s">
        <v>60</v>
      </c>
      <c r="F641" s="7" t="s">
        <v>61</v>
      </c>
      <c r="G641" s="7" t="s">
        <v>42</v>
      </c>
      <c r="H641" s="7" t="s">
        <v>172</v>
      </c>
      <c r="I641" s="7" t="s">
        <v>1014</v>
      </c>
      <c r="J641" s="7">
        <v>1</v>
      </c>
      <c r="K641" s="9">
        <v>939.99</v>
      </c>
      <c r="L641" s="9">
        <v>845.99</v>
      </c>
      <c r="M641" s="10">
        <v>10</v>
      </c>
      <c r="N641" s="49">
        <v>102.54</v>
      </c>
      <c r="O641" s="9">
        <v>59.19</v>
      </c>
      <c r="P641" s="7" t="s">
        <v>64</v>
      </c>
      <c r="Q641" s="7" t="s">
        <v>65</v>
      </c>
      <c r="R641" s="28">
        <f t="shared" si="9"/>
        <v>0.12120710646697952</v>
      </c>
    </row>
    <row r="642" spans="1:18" x14ac:dyDescent="0.3">
      <c r="A642" s="3" t="s">
        <v>1212</v>
      </c>
      <c r="B642" s="4">
        <v>45761</v>
      </c>
      <c r="C642" s="3" t="s">
        <v>1213</v>
      </c>
      <c r="D642" s="3" t="s">
        <v>29</v>
      </c>
      <c r="E642" s="3" t="s">
        <v>40</v>
      </c>
      <c r="F642" s="3" t="s">
        <v>41</v>
      </c>
      <c r="G642" s="3" t="s">
        <v>22</v>
      </c>
      <c r="H642" s="3" t="s">
        <v>105</v>
      </c>
      <c r="I642" s="3" t="s">
        <v>251</v>
      </c>
      <c r="J642" s="3">
        <v>2</v>
      </c>
      <c r="K642" s="5">
        <v>18119.91</v>
      </c>
      <c r="L642" s="5">
        <v>30803.85</v>
      </c>
      <c r="M642" s="6">
        <v>15</v>
      </c>
      <c r="N642" s="48">
        <v>1661.36</v>
      </c>
      <c r="O642" s="5">
        <v>246.96</v>
      </c>
      <c r="P642" s="3" t="s">
        <v>35</v>
      </c>
      <c r="Q642" s="3" t="s">
        <v>57</v>
      </c>
      <c r="R642" s="28">
        <f t="shared" si="9"/>
        <v>5.3933518050503428E-2</v>
      </c>
    </row>
    <row r="643" spans="1:18" x14ac:dyDescent="0.3">
      <c r="A643" s="7" t="s">
        <v>1214</v>
      </c>
      <c r="B643" s="8">
        <v>45762</v>
      </c>
      <c r="C643" s="7" t="s">
        <v>67</v>
      </c>
      <c r="D643" s="7" t="s">
        <v>39</v>
      </c>
      <c r="E643" s="7" t="s">
        <v>60</v>
      </c>
      <c r="F643" s="7" t="s">
        <v>104</v>
      </c>
      <c r="G643" s="7" t="s">
        <v>22</v>
      </c>
      <c r="H643" s="7" t="s">
        <v>624</v>
      </c>
      <c r="I643" s="7" t="s">
        <v>1215</v>
      </c>
      <c r="J643" s="7">
        <v>1</v>
      </c>
      <c r="K643" s="9">
        <v>2961.95</v>
      </c>
      <c r="L643" s="9">
        <v>2369.56</v>
      </c>
      <c r="M643" s="10">
        <v>20</v>
      </c>
      <c r="N643" s="49">
        <v>29.78</v>
      </c>
      <c r="O643" s="9">
        <v>215.24</v>
      </c>
      <c r="P643" s="7" t="s">
        <v>45</v>
      </c>
      <c r="Q643" s="7" t="s">
        <v>26</v>
      </c>
      <c r="R643" s="28">
        <f t="shared" ref="R643:R706" si="10">N643/L643</f>
        <v>1.2567734094093419E-2</v>
      </c>
    </row>
    <row r="644" spans="1:18" x14ac:dyDescent="0.3">
      <c r="A644" s="3" t="s">
        <v>1216</v>
      </c>
      <c r="B644" s="4">
        <v>45762</v>
      </c>
      <c r="C644" s="3" t="s">
        <v>1217</v>
      </c>
      <c r="D644" s="3" t="s">
        <v>39</v>
      </c>
      <c r="E644" s="3" t="s">
        <v>60</v>
      </c>
      <c r="F644" s="3" t="s">
        <v>72</v>
      </c>
      <c r="G644" s="3" t="s">
        <v>49</v>
      </c>
      <c r="H644" s="3" t="s">
        <v>62</v>
      </c>
      <c r="I644" s="3" t="s">
        <v>63</v>
      </c>
      <c r="J644" s="3">
        <v>2</v>
      </c>
      <c r="K644" s="5">
        <v>9525.6200000000008</v>
      </c>
      <c r="L644" s="5">
        <v>19051.240000000002</v>
      </c>
      <c r="M644" s="6">
        <v>0</v>
      </c>
      <c r="N644" s="48">
        <v>4498.9399999999996</v>
      </c>
      <c r="O644" s="5">
        <v>342.08</v>
      </c>
      <c r="P644" s="3" t="s">
        <v>35</v>
      </c>
      <c r="Q644" s="3" t="s">
        <v>26</v>
      </c>
      <c r="R644" s="28">
        <f t="shared" si="10"/>
        <v>0.23614945798803644</v>
      </c>
    </row>
    <row r="645" spans="1:18" x14ac:dyDescent="0.3">
      <c r="A645" s="7" t="s">
        <v>1218</v>
      </c>
      <c r="B645" s="8">
        <v>45764</v>
      </c>
      <c r="C645" s="7" t="s">
        <v>1219</v>
      </c>
      <c r="D645" s="7" t="s">
        <v>19</v>
      </c>
      <c r="E645" s="7" t="s">
        <v>30</v>
      </c>
      <c r="F645" s="7" t="s">
        <v>226</v>
      </c>
      <c r="G645" s="7" t="s">
        <v>42</v>
      </c>
      <c r="H645" s="7" t="s">
        <v>43</v>
      </c>
      <c r="I645" s="7" t="s">
        <v>1220</v>
      </c>
      <c r="J645" s="7">
        <v>1</v>
      </c>
      <c r="K645" s="9">
        <v>369.53</v>
      </c>
      <c r="L645" s="9">
        <v>277.14999999999998</v>
      </c>
      <c r="M645" s="10">
        <v>25</v>
      </c>
      <c r="N645" s="49">
        <v>25.95</v>
      </c>
      <c r="O645" s="9">
        <v>103.14</v>
      </c>
      <c r="P645" s="7" t="s">
        <v>35</v>
      </c>
      <c r="Q645" s="7" t="s">
        <v>26</v>
      </c>
      <c r="R645" s="28">
        <f t="shared" si="10"/>
        <v>9.3631607432798122E-2</v>
      </c>
    </row>
    <row r="646" spans="1:18" x14ac:dyDescent="0.3">
      <c r="A646" s="3" t="s">
        <v>1221</v>
      </c>
      <c r="B646" s="4">
        <v>45765</v>
      </c>
      <c r="C646" s="3" t="s">
        <v>1077</v>
      </c>
      <c r="D646" s="3" t="s">
        <v>39</v>
      </c>
      <c r="E646" s="3" t="s">
        <v>60</v>
      </c>
      <c r="F646" s="3" t="s">
        <v>104</v>
      </c>
      <c r="G646" s="3" t="s">
        <v>117</v>
      </c>
      <c r="H646" s="3" t="s">
        <v>118</v>
      </c>
      <c r="I646" s="3" t="s">
        <v>279</v>
      </c>
      <c r="J646" s="3">
        <v>2</v>
      </c>
      <c r="K646" s="5">
        <v>2414.09</v>
      </c>
      <c r="L646" s="5">
        <v>4586.7700000000004</v>
      </c>
      <c r="M646" s="6">
        <v>5</v>
      </c>
      <c r="N646" s="48">
        <v>1262.51</v>
      </c>
      <c r="O646" s="5">
        <v>175.86</v>
      </c>
      <c r="P646" s="3" t="s">
        <v>35</v>
      </c>
      <c r="Q646" s="3" t="s">
        <v>26</v>
      </c>
      <c r="R646" s="28">
        <f t="shared" si="10"/>
        <v>0.27525033956357087</v>
      </c>
    </row>
    <row r="647" spans="1:18" x14ac:dyDescent="0.3">
      <c r="A647" s="7" t="s">
        <v>1222</v>
      </c>
      <c r="B647" s="8">
        <v>45765</v>
      </c>
      <c r="C647" s="7" t="s">
        <v>28</v>
      </c>
      <c r="D647" s="7" t="s">
        <v>29</v>
      </c>
      <c r="E647" s="7" t="s">
        <v>40</v>
      </c>
      <c r="F647" s="7" t="s">
        <v>90</v>
      </c>
      <c r="G647" s="7" t="s">
        <v>134</v>
      </c>
      <c r="H647" s="7" t="s">
        <v>91</v>
      </c>
      <c r="I647" s="7" t="s">
        <v>168</v>
      </c>
      <c r="J647" s="7">
        <v>2</v>
      </c>
      <c r="K647" s="9">
        <v>984.75</v>
      </c>
      <c r="L647" s="9">
        <v>1871.02</v>
      </c>
      <c r="M647" s="10">
        <v>5</v>
      </c>
      <c r="N647" s="49">
        <v>154.97999999999999</v>
      </c>
      <c r="O647" s="9">
        <v>296.58999999999997</v>
      </c>
      <c r="P647" s="7" t="s">
        <v>64</v>
      </c>
      <c r="Q647" s="7" t="s">
        <v>36</v>
      </c>
      <c r="R647" s="28">
        <f t="shared" si="10"/>
        <v>8.2831824352492214E-2</v>
      </c>
    </row>
    <row r="648" spans="1:18" x14ac:dyDescent="0.3">
      <c r="A648" s="3" t="s">
        <v>1223</v>
      </c>
      <c r="B648" s="4">
        <v>45767</v>
      </c>
      <c r="C648" s="3" t="s">
        <v>1224</v>
      </c>
      <c r="D648" s="3" t="s">
        <v>39</v>
      </c>
      <c r="E648" s="3" t="s">
        <v>20</v>
      </c>
      <c r="F648" s="3" t="s">
        <v>21</v>
      </c>
      <c r="G648" s="3" t="s">
        <v>42</v>
      </c>
      <c r="H648" s="3" t="s">
        <v>43</v>
      </c>
      <c r="I648" s="3" t="s">
        <v>1220</v>
      </c>
      <c r="J648" s="3">
        <v>3</v>
      </c>
      <c r="K648" s="5">
        <v>1003.55</v>
      </c>
      <c r="L648" s="5">
        <v>2559.0500000000002</v>
      </c>
      <c r="M648" s="6">
        <v>15</v>
      </c>
      <c r="N648" s="48">
        <v>347.55</v>
      </c>
      <c r="O648" s="5">
        <v>362.33</v>
      </c>
      <c r="P648" s="3" t="s">
        <v>45</v>
      </c>
      <c r="Q648" s="3" t="s">
        <v>26</v>
      </c>
      <c r="R648" s="28">
        <f t="shared" si="10"/>
        <v>0.13581211777808169</v>
      </c>
    </row>
    <row r="649" spans="1:18" x14ac:dyDescent="0.3">
      <c r="A649" s="7" t="s">
        <v>1225</v>
      </c>
      <c r="B649" s="8">
        <v>45767</v>
      </c>
      <c r="C649" s="7" t="s">
        <v>1226</v>
      </c>
      <c r="D649" s="7" t="s">
        <v>39</v>
      </c>
      <c r="E649" s="7" t="s">
        <v>30</v>
      </c>
      <c r="F649" s="7" t="s">
        <v>31</v>
      </c>
      <c r="G649" s="7" t="s">
        <v>49</v>
      </c>
      <c r="H649" s="7" t="s">
        <v>50</v>
      </c>
      <c r="I649" s="7" t="s">
        <v>51</v>
      </c>
      <c r="J649" s="7">
        <v>1</v>
      </c>
      <c r="K649" s="9">
        <v>11127.46</v>
      </c>
      <c r="L649" s="9">
        <v>8901.9699999999993</v>
      </c>
      <c r="M649" s="10">
        <v>20</v>
      </c>
      <c r="N649" s="49">
        <v>256.29000000000002</v>
      </c>
      <c r="O649" s="9">
        <v>233.58</v>
      </c>
      <c r="P649" s="7" t="s">
        <v>35</v>
      </c>
      <c r="Q649" s="7" t="s">
        <v>65</v>
      </c>
      <c r="R649" s="28">
        <f t="shared" si="10"/>
        <v>2.879025653872121E-2</v>
      </c>
    </row>
    <row r="650" spans="1:18" x14ac:dyDescent="0.3">
      <c r="A650" s="3" t="s">
        <v>1227</v>
      </c>
      <c r="B650" s="4">
        <v>45768</v>
      </c>
      <c r="C650" s="3" t="s">
        <v>889</v>
      </c>
      <c r="D650" s="3" t="s">
        <v>39</v>
      </c>
      <c r="E650" s="3" t="s">
        <v>30</v>
      </c>
      <c r="F650" s="3" t="s">
        <v>226</v>
      </c>
      <c r="G650" s="3" t="s">
        <v>117</v>
      </c>
      <c r="H650" s="3" t="s">
        <v>118</v>
      </c>
      <c r="I650" s="3" t="s">
        <v>119</v>
      </c>
      <c r="J650" s="3">
        <v>3</v>
      </c>
      <c r="K650" s="5">
        <v>1787.01</v>
      </c>
      <c r="L650" s="5">
        <v>4824.93</v>
      </c>
      <c r="M650" s="6">
        <v>10</v>
      </c>
      <c r="N650" s="48">
        <v>909.76</v>
      </c>
      <c r="O650" s="5">
        <v>124.3</v>
      </c>
      <c r="P650" s="3" t="s">
        <v>64</v>
      </c>
      <c r="Q650" s="3" t="s">
        <v>57</v>
      </c>
      <c r="R650" s="28">
        <f t="shared" si="10"/>
        <v>0.18855403083568051</v>
      </c>
    </row>
    <row r="651" spans="1:18" x14ac:dyDescent="0.3">
      <c r="A651" s="7" t="s">
        <v>1228</v>
      </c>
      <c r="B651" s="8">
        <v>45768</v>
      </c>
      <c r="C651" s="7" t="s">
        <v>1229</v>
      </c>
      <c r="D651" s="7" t="s">
        <v>39</v>
      </c>
      <c r="E651" s="7" t="s">
        <v>40</v>
      </c>
      <c r="F651" s="7" t="s">
        <v>77</v>
      </c>
      <c r="G651" s="7" t="s">
        <v>117</v>
      </c>
      <c r="H651" s="7" t="s">
        <v>125</v>
      </c>
      <c r="I651" s="7" t="s">
        <v>126</v>
      </c>
      <c r="J651" s="7">
        <v>3</v>
      </c>
      <c r="K651" s="9">
        <v>1285.75</v>
      </c>
      <c r="L651" s="9">
        <v>3085.8</v>
      </c>
      <c r="M651" s="10">
        <v>20</v>
      </c>
      <c r="N651" s="49">
        <v>383.74</v>
      </c>
      <c r="O651" s="9">
        <v>308.17</v>
      </c>
      <c r="P651" s="7" t="s">
        <v>35</v>
      </c>
      <c r="Q651" s="7" t="s">
        <v>26</v>
      </c>
      <c r="R651" s="28">
        <f t="shared" si="10"/>
        <v>0.12435673083155097</v>
      </c>
    </row>
    <row r="652" spans="1:18" x14ac:dyDescent="0.3">
      <c r="A652" s="3" t="s">
        <v>1230</v>
      </c>
      <c r="B652" s="4">
        <v>45768</v>
      </c>
      <c r="C652" s="3" t="s">
        <v>493</v>
      </c>
      <c r="D652" s="3" t="s">
        <v>29</v>
      </c>
      <c r="E652" s="3" t="s">
        <v>30</v>
      </c>
      <c r="F652" s="3" t="s">
        <v>226</v>
      </c>
      <c r="G652" s="3" t="s">
        <v>134</v>
      </c>
      <c r="H652" s="3" t="s">
        <v>139</v>
      </c>
      <c r="I652" s="3" t="s">
        <v>140</v>
      </c>
      <c r="J652" s="3">
        <v>2</v>
      </c>
      <c r="K652" s="5">
        <v>3820.24</v>
      </c>
      <c r="L652" s="5">
        <v>7640.48</v>
      </c>
      <c r="M652" s="6">
        <v>0</v>
      </c>
      <c r="N652" s="48">
        <v>1467.69</v>
      </c>
      <c r="O652" s="5">
        <v>130.69</v>
      </c>
      <c r="P652" s="3" t="s">
        <v>35</v>
      </c>
      <c r="Q652" s="3" t="s">
        <v>65</v>
      </c>
      <c r="R652" s="28">
        <f t="shared" si="10"/>
        <v>0.19209395221242645</v>
      </c>
    </row>
    <row r="653" spans="1:18" x14ac:dyDescent="0.3">
      <c r="A653" s="7" t="s">
        <v>1231</v>
      </c>
      <c r="B653" s="8">
        <v>45768</v>
      </c>
      <c r="C653" s="7" t="s">
        <v>1232</v>
      </c>
      <c r="D653" s="7" t="s">
        <v>19</v>
      </c>
      <c r="E653" s="7" t="s">
        <v>30</v>
      </c>
      <c r="F653" s="7" t="s">
        <v>31</v>
      </c>
      <c r="G653" s="7" t="s">
        <v>134</v>
      </c>
      <c r="H653" s="7" t="s">
        <v>244</v>
      </c>
      <c r="I653" s="7" t="s">
        <v>334</v>
      </c>
      <c r="J653" s="7">
        <v>2</v>
      </c>
      <c r="K653" s="9">
        <v>4372.26</v>
      </c>
      <c r="L653" s="9">
        <v>7432.84</v>
      </c>
      <c r="M653" s="10">
        <v>15</v>
      </c>
      <c r="N653" s="49">
        <v>1372.1</v>
      </c>
      <c r="O653" s="9">
        <v>293.04000000000002</v>
      </c>
      <c r="P653" s="7" t="s">
        <v>25</v>
      </c>
      <c r="Q653" s="7" t="s">
        <v>65</v>
      </c>
      <c r="R653" s="28">
        <f t="shared" si="10"/>
        <v>0.18459969540579374</v>
      </c>
    </row>
    <row r="654" spans="1:18" x14ac:dyDescent="0.3">
      <c r="A654" s="3" t="s">
        <v>1233</v>
      </c>
      <c r="B654" s="4">
        <v>45769</v>
      </c>
      <c r="C654" s="3" t="s">
        <v>1037</v>
      </c>
      <c r="D654" s="3" t="s">
        <v>39</v>
      </c>
      <c r="E654" s="3" t="s">
        <v>60</v>
      </c>
      <c r="F654" s="3" t="s">
        <v>72</v>
      </c>
      <c r="G654" s="3" t="s">
        <v>49</v>
      </c>
      <c r="H654" s="3" t="s">
        <v>62</v>
      </c>
      <c r="I654" s="3" t="s">
        <v>63</v>
      </c>
      <c r="J654" s="3">
        <v>3</v>
      </c>
      <c r="K654" s="5">
        <v>2982.36</v>
      </c>
      <c r="L654" s="5">
        <v>8947.08</v>
      </c>
      <c r="M654" s="6">
        <v>0</v>
      </c>
      <c r="N654" s="48">
        <v>2406.81</v>
      </c>
      <c r="O654" s="5">
        <v>136.01</v>
      </c>
      <c r="P654" s="3" t="s">
        <v>35</v>
      </c>
      <c r="Q654" s="3" t="s">
        <v>26</v>
      </c>
      <c r="R654" s="28">
        <f t="shared" si="10"/>
        <v>0.26900508322268268</v>
      </c>
    </row>
    <row r="655" spans="1:18" x14ac:dyDescent="0.3">
      <c r="A655" s="7" t="s">
        <v>1234</v>
      </c>
      <c r="B655" s="8">
        <v>45769</v>
      </c>
      <c r="C655" s="7" t="s">
        <v>1217</v>
      </c>
      <c r="D655" s="7" t="s">
        <v>39</v>
      </c>
      <c r="E655" s="7" t="s">
        <v>40</v>
      </c>
      <c r="F655" s="7" t="s">
        <v>109</v>
      </c>
      <c r="G655" s="7" t="s">
        <v>22</v>
      </c>
      <c r="H655" s="7" t="s">
        <v>23</v>
      </c>
      <c r="I655" s="7" t="s">
        <v>238</v>
      </c>
      <c r="J655" s="7">
        <v>3</v>
      </c>
      <c r="K655" s="9">
        <v>1535.19</v>
      </c>
      <c r="L655" s="9">
        <v>3684.46</v>
      </c>
      <c r="M655" s="10">
        <v>20</v>
      </c>
      <c r="N655" s="49">
        <v>-130.38999999999999</v>
      </c>
      <c r="O655" s="9">
        <v>318.38</v>
      </c>
      <c r="P655" s="7" t="s">
        <v>45</v>
      </c>
      <c r="Q655" s="7" t="s">
        <v>26</v>
      </c>
      <c r="R655" s="28">
        <f t="shared" si="10"/>
        <v>-3.5389175075859147E-2</v>
      </c>
    </row>
    <row r="656" spans="1:18" x14ac:dyDescent="0.3">
      <c r="A656" s="3" t="s">
        <v>1235</v>
      </c>
      <c r="B656" s="4">
        <v>45771</v>
      </c>
      <c r="C656" s="3" t="s">
        <v>351</v>
      </c>
      <c r="D656" s="3" t="s">
        <v>29</v>
      </c>
      <c r="E656" s="3" t="s">
        <v>30</v>
      </c>
      <c r="F656" s="3" t="s">
        <v>48</v>
      </c>
      <c r="G656" s="3" t="s">
        <v>134</v>
      </c>
      <c r="H656" s="3" t="s">
        <v>91</v>
      </c>
      <c r="I656" s="3" t="s">
        <v>168</v>
      </c>
      <c r="J656" s="3">
        <v>4</v>
      </c>
      <c r="K656" s="5">
        <v>2475.63</v>
      </c>
      <c r="L656" s="5">
        <v>9407.39</v>
      </c>
      <c r="M656" s="6">
        <v>5</v>
      </c>
      <c r="N656" s="48">
        <v>1980.14</v>
      </c>
      <c r="O656" s="5">
        <v>273.55</v>
      </c>
      <c r="P656" s="3" t="s">
        <v>83</v>
      </c>
      <c r="Q656" s="3" t="s">
        <v>65</v>
      </c>
      <c r="R656" s="28">
        <f t="shared" si="10"/>
        <v>0.21048771231978267</v>
      </c>
    </row>
    <row r="657" spans="1:18" x14ac:dyDescent="0.3">
      <c r="A657" s="7" t="s">
        <v>1236</v>
      </c>
      <c r="B657" s="8">
        <v>45772</v>
      </c>
      <c r="C657" s="7" t="s">
        <v>1237</v>
      </c>
      <c r="D657" s="7" t="s">
        <v>39</v>
      </c>
      <c r="E657" s="7" t="s">
        <v>20</v>
      </c>
      <c r="F657" s="7" t="s">
        <v>21</v>
      </c>
      <c r="G657" s="7" t="s">
        <v>42</v>
      </c>
      <c r="H657" s="7" t="s">
        <v>81</v>
      </c>
      <c r="I657" s="7" t="s">
        <v>248</v>
      </c>
      <c r="J657" s="7">
        <v>1</v>
      </c>
      <c r="K657" s="9">
        <v>398.78</v>
      </c>
      <c r="L657" s="9">
        <v>338.96</v>
      </c>
      <c r="M657" s="10">
        <v>15</v>
      </c>
      <c r="N657" s="49">
        <v>9.43</v>
      </c>
      <c r="O657" s="9">
        <v>246.77</v>
      </c>
      <c r="P657" s="7" t="s">
        <v>25</v>
      </c>
      <c r="Q657" s="7" t="s">
        <v>65</v>
      </c>
      <c r="R657" s="28">
        <f t="shared" si="10"/>
        <v>2.7820391786641491E-2</v>
      </c>
    </row>
    <row r="658" spans="1:18" x14ac:dyDescent="0.3">
      <c r="A658" s="3" t="s">
        <v>1238</v>
      </c>
      <c r="B658" s="4">
        <v>45772</v>
      </c>
      <c r="C658" s="3" t="s">
        <v>705</v>
      </c>
      <c r="D658" s="3" t="s">
        <v>19</v>
      </c>
      <c r="E658" s="3" t="s">
        <v>20</v>
      </c>
      <c r="F658" s="3" t="s">
        <v>54</v>
      </c>
      <c r="G658" s="3" t="s">
        <v>49</v>
      </c>
      <c r="H658" s="3" t="s">
        <v>62</v>
      </c>
      <c r="I658" s="3" t="s">
        <v>341</v>
      </c>
      <c r="J658" s="3">
        <v>2</v>
      </c>
      <c r="K658" s="5">
        <v>675.5</v>
      </c>
      <c r="L658" s="5">
        <v>1148.3499999999999</v>
      </c>
      <c r="M658" s="6">
        <v>15</v>
      </c>
      <c r="N658" s="48">
        <v>129.32</v>
      </c>
      <c r="O658" s="5">
        <v>353.21</v>
      </c>
      <c r="P658" s="3" t="s">
        <v>45</v>
      </c>
      <c r="Q658" s="3" t="s">
        <v>36</v>
      </c>
      <c r="R658" s="28">
        <f t="shared" si="10"/>
        <v>0.11261375016327775</v>
      </c>
    </row>
    <row r="659" spans="1:18" x14ac:dyDescent="0.3">
      <c r="A659" s="7" t="s">
        <v>1239</v>
      </c>
      <c r="B659" s="8">
        <v>45772</v>
      </c>
      <c r="C659" s="7" t="s">
        <v>1147</v>
      </c>
      <c r="D659" s="7" t="s">
        <v>19</v>
      </c>
      <c r="E659" s="7" t="s">
        <v>40</v>
      </c>
      <c r="F659" s="7" t="s">
        <v>77</v>
      </c>
      <c r="G659" s="7" t="s">
        <v>134</v>
      </c>
      <c r="H659" s="7" t="s">
        <v>135</v>
      </c>
      <c r="I659" s="7" t="s">
        <v>136</v>
      </c>
      <c r="J659" s="7">
        <v>3</v>
      </c>
      <c r="K659" s="9">
        <v>672.12</v>
      </c>
      <c r="L659" s="9">
        <v>1613.09</v>
      </c>
      <c r="M659" s="10">
        <v>20</v>
      </c>
      <c r="N659" s="49">
        <v>136.86000000000001</v>
      </c>
      <c r="O659" s="9">
        <v>130.6</v>
      </c>
      <c r="P659" s="7" t="s">
        <v>83</v>
      </c>
      <c r="Q659" s="7" t="s">
        <v>65</v>
      </c>
      <c r="R659" s="28">
        <f t="shared" si="10"/>
        <v>8.484337513715913E-2</v>
      </c>
    </row>
    <row r="660" spans="1:18" x14ac:dyDescent="0.3">
      <c r="A660" s="3" t="s">
        <v>1240</v>
      </c>
      <c r="B660" s="4">
        <v>45773</v>
      </c>
      <c r="C660" s="3" t="s">
        <v>1037</v>
      </c>
      <c r="D660" s="3" t="s">
        <v>19</v>
      </c>
      <c r="E660" s="3" t="s">
        <v>20</v>
      </c>
      <c r="F660" s="3" t="s">
        <v>54</v>
      </c>
      <c r="G660" s="3" t="s">
        <v>22</v>
      </c>
      <c r="H660" s="3" t="s">
        <v>55</v>
      </c>
      <c r="I660" s="3" t="s">
        <v>56</v>
      </c>
      <c r="J660" s="3">
        <v>2</v>
      </c>
      <c r="K660" s="5">
        <v>18657.38</v>
      </c>
      <c r="L660" s="5">
        <v>35449.019999999997</v>
      </c>
      <c r="M660" s="6">
        <v>5</v>
      </c>
      <c r="N660" s="48">
        <v>3777.48</v>
      </c>
      <c r="O660" s="5">
        <v>364.08</v>
      </c>
      <c r="P660" s="3" t="s">
        <v>45</v>
      </c>
      <c r="Q660" s="3" t="s">
        <v>36</v>
      </c>
      <c r="R660" s="28">
        <f t="shared" si="10"/>
        <v>0.10656091480102978</v>
      </c>
    </row>
    <row r="661" spans="1:18" x14ac:dyDescent="0.3">
      <c r="A661" s="7" t="s">
        <v>1241</v>
      </c>
      <c r="B661" s="8">
        <v>45774</v>
      </c>
      <c r="C661" s="7" t="s">
        <v>1242</v>
      </c>
      <c r="D661" s="7" t="s">
        <v>39</v>
      </c>
      <c r="E661" s="7" t="s">
        <v>20</v>
      </c>
      <c r="F661" s="7" t="s">
        <v>54</v>
      </c>
      <c r="G661" s="7" t="s">
        <v>22</v>
      </c>
      <c r="H661" s="7" t="s">
        <v>110</v>
      </c>
      <c r="I661" s="7" t="s">
        <v>317</v>
      </c>
      <c r="J661" s="7">
        <v>1</v>
      </c>
      <c r="K661" s="9">
        <v>3028.02</v>
      </c>
      <c r="L661" s="9">
        <v>3028.02</v>
      </c>
      <c r="M661" s="10">
        <v>0</v>
      </c>
      <c r="N661" s="49">
        <v>286.72000000000003</v>
      </c>
      <c r="O661" s="9">
        <v>216.64</v>
      </c>
      <c r="P661" s="7" t="s">
        <v>35</v>
      </c>
      <c r="Q661" s="7" t="s">
        <v>57</v>
      </c>
      <c r="R661" s="28">
        <f t="shared" si="10"/>
        <v>9.4688938646376189E-2</v>
      </c>
    </row>
    <row r="662" spans="1:18" x14ac:dyDescent="0.3">
      <c r="A662" s="3" t="s">
        <v>1243</v>
      </c>
      <c r="B662" s="4">
        <v>45774</v>
      </c>
      <c r="C662" s="3" t="s">
        <v>807</v>
      </c>
      <c r="D662" s="3" t="s">
        <v>39</v>
      </c>
      <c r="E662" s="3" t="s">
        <v>40</v>
      </c>
      <c r="F662" s="3" t="s">
        <v>77</v>
      </c>
      <c r="G662" s="3" t="s">
        <v>32</v>
      </c>
      <c r="H662" s="3" t="s">
        <v>143</v>
      </c>
      <c r="I662" s="3" t="s">
        <v>144</v>
      </c>
      <c r="J662" s="3">
        <v>1</v>
      </c>
      <c r="K662" s="5">
        <v>4666.01</v>
      </c>
      <c r="L662" s="5">
        <v>4199.41</v>
      </c>
      <c r="M662" s="6">
        <v>10</v>
      </c>
      <c r="N662" s="48">
        <v>757.53</v>
      </c>
      <c r="O662" s="5">
        <v>264.76</v>
      </c>
      <c r="P662" s="3" t="s">
        <v>83</v>
      </c>
      <c r="Q662" s="3" t="s">
        <v>57</v>
      </c>
      <c r="R662" s="28">
        <f t="shared" si="10"/>
        <v>0.18038962616177034</v>
      </c>
    </row>
    <row r="663" spans="1:18" x14ac:dyDescent="0.3">
      <c r="A663" s="7" t="s">
        <v>1244</v>
      </c>
      <c r="B663" s="8">
        <v>45774</v>
      </c>
      <c r="C663" s="7" t="s">
        <v>419</v>
      </c>
      <c r="D663" s="7" t="s">
        <v>19</v>
      </c>
      <c r="E663" s="7" t="s">
        <v>20</v>
      </c>
      <c r="F663" s="7" t="s">
        <v>129</v>
      </c>
      <c r="G663" s="7" t="s">
        <v>134</v>
      </c>
      <c r="H663" s="7" t="s">
        <v>91</v>
      </c>
      <c r="I663" s="7" t="s">
        <v>206</v>
      </c>
      <c r="J663" s="7">
        <v>2</v>
      </c>
      <c r="K663" s="9">
        <v>3182.57</v>
      </c>
      <c r="L663" s="9">
        <v>4455.6000000000004</v>
      </c>
      <c r="M663" s="10">
        <v>30</v>
      </c>
      <c r="N663" s="49">
        <v>88.65</v>
      </c>
      <c r="O663" s="9">
        <v>312.85000000000002</v>
      </c>
      <c r="P663" s="7" t="s">
        <v>64</v>
      </c>
      <c r="Q663" s="7" t="s">
        <v>65</v>
      </c>
      <c r="R663" s="28">
        <f t="shared" si="10"/>
        <v>1.9896310261244277E-2</v>
      </c>
    </row>
    <row r="664" spans="1:18" x14ac:dyDescent="0.3">
      <c r="A664" s="3" t="s">
        <v>1245</v>
      </c>
      <c r="B664" s="4">
        <v>45775</v>
      </c>
      <c r="C664" s="3" t="s">
        <v>1246</v>
      </c>
      <c r="D664" s="3" t="s">
        <v>39</v>
      </c>
      <c r="E664" s="3" t="s">
        <v>40</v>
      </c>
      <c r="F664" s="3" t="s">
        <v>41</v>
      </c>
      <c r="G664" s="3" t="s">
        <v>42</v>
      </c>
      <c r="H664" s="3" t="s">
        <v>43</v>
      </c>
      <c r="I664" s="3" t="s">
        <v>44</v>
      </c>
      <c r="J664" s="3">
        <v>3</v>
      </c>
      <c r="K664" s="5">
        <v>221.23</v>
      </c>
      <c r="L664" s="5">
        <v>597.32000000000005</v>
      </c>
      <c r="M664" s="6">
        <v>10</v>
      </c>
      <c r="N664" s="48">
        <v>85.82</v>
      </c>
      <c r="O664" s="5">
        <v>81.55</v>
      </c>
      <c r="P664" s="3" t="s">
        <v>45</v>
      </c>
      <c r="Q664" s="3" t="s">
        <v>65</v>
      </c>
      <c r="R664" s="28">
        <f t="shared" si="10"/>
        <v>0.14367508203308108</v>
      </c>
    </row>
    <row r="665" spans="1:18" x14ac:dyDescent="0.3">
      <c r="A665" s="7" t="s">
        <v>1247</v>
      </c>
      <c r="B665" s="8">
        <v>45776</v>
      </c>
      <c r="C665" s="7" t="s">
        <v>384</v>
      </c>
      <c r="D665" s="7" t="s">
        <v>39</v>
      </c>
      <c r="E665" s="7" t="s">
        <v>20</v>
      </c>
      <c r="F665" s="7" t="s">
        <v>129</v>
      </c>
      <c r="G665" s="7" t="s">
        <v>32</v>
      </c>
      <c r="H665" s="7" t="s">
        <v>73</v>
      </c>
      <c r="I665" s="7" t="s">
        <v>74</v>
      </c>
      <c r="J665" s="7">
        <v>1</v>
      </c>
      <c r="K665" s="9">
        <v>8430.41</v>
      </c>
      <c r="L665" s="9">
        <v>8430.41</v>
      </c>
      <c r="M665" s="10">
        <v>0</v>
      </c>
      <c r="N665" s="49">
        <v>2059.61</v>
      </c>
      <c r="O665" s="9">
        <v>301.74</v>
      </c>
      <c r="P665" s="7" t="s">
        <v>83</v>
      </c>
      <c r="Q665" s="7" t="s">
        <v>65</v>
      </c>
      <c r="R665" s="28">
        <f t="shared" si="10"/>
        <v>0.24430721637500433</v>
      </c>
    </row>
    <row r="666" spans="1:18" x14ac:dyDescent="0.3">
      <c r="A666" s="3" t="s">
        <v>1248</v>
      </c>
      <c r="B666" s="4">
        <v>45776</v>
      </c>
      <c r="C666" s="3" t="s">
        <v>702</v>
      </c>
      <c r="D666" s="3" t="s">
        <v>39</v>
      </c>
      <c r="E666" s="3" t="s">
        <v>60</v>
      </c>
      <c r="F666" s="3" t="s">
        <v>72</v>
      </c>
      <c r="G666" s="3" t="s">
        <v>117</v>
      </c>
      <c r="H666" s="3" t="s">
        <v>118</v>
      </c>
      <c r="I666" s="3" t="s">
        <v>279</v>
      </c>
      <c r="J666" s="3">
        <v>2</v>
      </c>
      <c r="K666" s="5">
        <v>2121.6</v>
      </c>
      <c r="L666" s="5">
        <v>4031.04</v>
      </c>
      <c r="M666" s="6">
        <v>5</v>
      </c>
      <c r="N666" s="48">
        <v>724.83</v>
      </c>
      <c r="O666" s="5">
        <v>196.68</v>
      </c>
      <c r="P666" s="3" t="s">
        <v>83</v>
      </c>
      <c r="Q666" s="3" t="s">
        <v>57</v>
      </c>
      <c r="R666" s="28">
        <f t="shared" si="10"/>
        <v>0.17981215765658493</v>
      </c>
    </row>
    <row r="667" spans="1:18" x14ac:dyDescent="0.3">
      <c r="A667" s="7" t="s">
        <v>1249</v>
      </c>
      <c r="B667" s="8">
        <v>45776</v>
      </c>
      <c r="C667" s="7" t="s">
        <v>1093</v>
      </c>
      <c r="D667" s="7" t="s">
        <v>29</v>
      </c>
      <c r="E667" s="7" t="s">
        <v>30</v>
      </c>
      <c r="F667" s="7" t="s">
        <v>226</v>
      </c>
      <c r="G667" s="7" t="s">
        <v>134</v>
      </c>
      <c r="H667" s="7" t="s">
        <v>139</v>
      </c>
      <c r="I667" s="7" t="s">
        <v>147</v>
      </c>
      <c r="J667" s="7">
        <v>1</v>
      </c>
      <c r="K667" s="9">
        <v>2851.69</v>
      </c>
      <c r="L667" s="9">
        <v>2851.69</v>
      </c>
      <c r="M667" s="10">
        <v>0</v>
      </c>
      <c r="N667" s="49">
        <v>622.42999999999995</v>
      </c>
      <c r="O667" s="9">
        <v>84.57</v>
      </c>
      <c r="P667" s="7" t="s">
        <v>64</v>
      </c>
      <c r="Q667" s="7" t="s">
        <v>65</v>
      </c>
      <c r="R667" s="28">
        <f t="shared" si="10"/>
        <v>0.2182670626891422</v>
      </c>
    </row>
    <row r="668" spans="1:18" x14ac:dyDescent="0.3">
      <c r="A668" s="3" t="s">
        <v>1250</v>
      </c>
      <c r="B668" s="4">
        <v>45778</v>
      </c>
      <c r="C668" s="3" t="s">
        <v>1251</v>
      </c>
      <c r="D668" s="3" t="s">
        <v>19</v>
      </c>
      <c r="E668" s="3" t="s">
        <v>30</v>
      </c>
      <c r="F668" s="3" t="s">
        <v>226</v>
      </c>
      <c r="G668" s="3" t="s">
        <v>117</v>
      </c>
      <c r="H668" s="3" t="s">
        <v>130</v>
      </c>
      <c r="I668" s="3" t="s">
        <v>326</v>
      </c>
      <c r="J668" s="3">
        <v>2</v>
      </c>
      <c r="K668" s="5">
        <v>1104.24</v>
      </c>
      <c r="L668" s="5">
        <v>2098.06</v>
      </c>
      <c r="M668" s="6">
        <v>5</v>
      </c>
      <c r="N668" s="48">
        <v>576</v>
      </c>
      <c r="O668" s="5">
        <v>120.82</v>
      </c>
      <c r="P668" s="3" t="s">
        <v>83</v>
      </c>
      <c r="Q668" s="3" t="s">
        <v>36</v>
      </c>
      <c r="R668" s="28">
        <f t="shared" si="10"/>
        <v>0.27453933633928485</v>
      </c>
    </row>
    <row r="669" spans="1:18" x14ac:dyDescent="0.3">
      <c r="A669" s="7" t="s">
        <v>1252</v>
      </c>
      <c r="B669" s="8">
        <v>45779</v>
      </c>
      <c r="C669" s="7" t="s">
        <v>1253</v>
      </c>
      <c r="D669" s="7" t="s">
        <v>39</v>
      </c>
      <c r="E669" s="7" t="s">
        <v>30</v>
      </c>
      <c r="F669" s="7" t="s">
        <v>226</v>
      </c>
      <c r="G669" s="7" t="s">
        <v>117</v>
      </c>
      <c r="H669" s="7" t="s">
        <v>153</v>
      </c>
      <c r="I669" s="7" t="s">
        <v>296</v>
      </c>
      <c r="J669" s="7">
        <v>1</v>
      </c>
      <c r="K669" s="9">
        <v>1276.75</v>
      </c>
      <c r="L669" s="9">
        <v>1276.75</v>
      </c>
      <c r="M669" s="10">
        <v>0</v>
      </c>
      <c r="N669" s="49">
        <v>305.89999999999998</v>
      </c>
      <c r="O669" s="9">
        <v>43.76</v>
      </c>
      <c r="P669" s="7" t="s">
        <v>35</v>
      </c>
      <c r="Q669" s="7" t="s">
        <v>65</v>
      </c>
      <c r="R669" s="28">
        <f t="shared" si="10"/>
        <v>0.23959271588016445</v>
      </c>
    </row>
    <row r="670" spans="1:18" x14ac:dyDescent="0.3">
      <c r="A670" s="3" t="s">
        <v>1254</v>
      </c>
      <c r="B670" s="4">
        <v>45779</v>
      </c>
      <c r="C670" s="3" t="s">
        <v>1255</v>
      </c>
      <c r="D670" s="3" t="s">
        <v>39</v>
      </c>
      <c r="E670" s="3" t="s">
        <v>20</v>
      </c>
      <c r="F670" s="3" t="s">
        <v>21</v>
      </c>
      <c r="G670" s="3" t="s">
        <v>32</v>
      </c>
      <c r="H670" s="3" t="s">
        <v>143</v>
      </c>
      <c r="I670" s="3" t="s">
        <v>385</v>
      </c>
      <c r="J670" s="3">
        <v>2</v>
      </c>
      <c r="K670" s="5">
        <v>11241.52</v>
      </c>
      <c r="L670" s="5">
        <v>19110.580000000002</v>
      </c>
      <c r="M670" s="6">
        <v>15</v>
      </c>
      <c r="N670" s="48">
        <v>1978.96</v>
      </c>
      <c r="O670" s="5">
        <v>255.28</v>
      </c>
      <c r="P670" s="3" t="s">
        <v>64</v>
      </c>
      <c r="Q670" s="3" t="s">
        <v>26</v>
      </c>
      <c r="R670" s="28">
        <f t="shared" si="10"/>
        <v>0.1035531103713231</v>
      </c>
    </row>
    <row r="671" spans="1:18" x14ac:dyDescent="0.3">
      <c r="A671" s="7" t="s">
        <v>1256</v>
      </c>
      <c r="B671" s="8">
        <v>45780</v>
      </c>
      <c r="C671" s="7" t="s">
        <v>1226</v>
      </c>
      <c r="D671" s="7" t="s">
        <v>39</v>
      </c>
      <c r="E671" s="7" t="s">
        <v>40</v>
      </c>
      <c r="F671" s="7" t="s">
        <v>41</v>
      </c>
      <c r="G671" s="7" t="s">
        <v>134</v>
      </c>
      <c r="H671" s="7" t="s">
        <v>139</v>
      </c>
      <c r="I671" s="7" t="s">
        <v>587</v>
      </c>
      <c r="J671" s="7">
        <v>2</v>
      </c>
      <c r="K671" s="9">
        <v>3178.86</v>
      </c>
      <c r="L671" s="9">
        <v>6039.83</v>
      </c>
      <c r="M671" s="10">
        <v>5</v>
      </c>
      <c r="N671" s="49">
        <v>1017.04</v>
      </c>
      <c r="O671" s="9">
        <v>164.65</v>
      </c>
      <c r="P671" s="7" t="s">
        <v>64</v>
      </c>
      <c r="Q671" s="7" t="s">
        <v>26</v>
      </c>
      <c r="R671" s="28">
        <f t="shared" si="10"/>
        <v>0.16838884538140975</v>
      </c>
    </row>
    <row r="672" spans="1:18" x14ac:dyDescent="0.3">
      <c r="A672" s="3" t="s">
        <v>1257</v>
      </c>
      <c r="B672" s="4">
        <v>45780</v>
      </c>
      <c r="C672" s="3" t="s">
        <v>878</v>
      </c>
      <c r="D672" s="3" t="s">
        <v>39</v>
      </c>
      <c r="E672" s="3" t="s">
        <v>20</v>
      </c>
      <c r="F672" s="3" t="s">
        <v>129</v>
      </c>
      <c r="G672" s="3" t="s">
        <v>117</v>
      </c>
      <c r="H672" s="3" t="s">
        <v>153</v>
      </c>
      <c r="I672" s="3" t="s">
        <v>154</v>
      </c>
      <c r="J672" s="3">
        <v>2</v>
      </c>
      <c r="K672" s="5">
        <v>2355.9699999999998</v>
      </c>
      <c r="L672" s="5">
        <v>4711.9399999999996</v>
      </c>
      <c r="M672" s="6">
        <v>0</v>
      </c>
      <c r="N672" s="48">
        <v>1225.69</v>
      </c>
      <c r="O672" s="5">
        <v>238.05</v>
      </c>
      <c r="P672" s="3" t="s">
        <v>35</v>
      </c>
      <c r="Q672" s="3" t="s">
        <v>65</v>
      </c>
      <c r="R672" s="28">
        <f t="shared" si="10"/>
        <v>0.26012428002054361</v>
      </c>
    </row>
    <row r="673" spans="1:18" x14ac:dyDescent="0.3">
      <c r="A673" s="7" t="s">
        <v>1258</v>
      </c>
      <c r="B673" s="8">
        <v>45781</v>
      </c>
      <c r="C673" s="7" t="s">
        <v>1050</v>
      </c>
      <c r="D673" s="7" t="s">
        <v>39</v>
      </c>
      <c r="E673" s="7" t="s">
        <v>20</v>
      </c>
      <c r="F673" s="7" t="s">
        <v>129</v>
      </c>
      <c r="G673" s="7" t="s">
        <v>134</v>
      </c>
      <c r="H673" s="7" t="s">
        <v>91</v>
      </c>
      <c r="I673" s="7" t="s">
        <v>206</v>
      </c>
      <c r="J673" s="7">
        <v>5</v>
      </c>
      <c r="K673" s="9">
        <v>3007.1</v>
      </c>
      <c r="L673" s="9">
        <v>13531.95</v>
      </c>
      <c r="M673" s="10">
        <v>10</v>
      </c>
      <c r="N673" s="49">
        <v>1303.08</v>
      </c>
      <c r="O673" s="9">
        <v>269.42</v>
      </c>
      <c r="P673" s="7" t="s">
        <v>35</v>
      </c>
      <c r="Q673" s="7" t="s">
        <v>65</v>
      </c>
      <c r="R673" s="28">
        <f t="shared" si="10"/>
        <v>9.6296542626894119E-2</v>
      </c>
    </row>
    <row r="674" spans="1:18" x14ac:dyDescent="0.3">
      <c r="A674" s="3" t="s">
        <v>1259</v>
      </c>
      <c r="B674" s="4">
        <v>45781</v>
      </c>
      <c r="C674" s="3" t="s">
        <v>1012</v>
      </c>
      <c r="D674" s="3" t="s">
        <v>39</v>
      </c>
      <c r="E674" s="3" t="s">
        <v>60</v>
      </c>
      <c r="F674" s="3" t="s">
        <v>68</v>
      </c>
      <c r="G674" s="3" t="s">
        <v>49</v>
      </c>
      <c r="H674" s="3" t="s">
        <v>50</v>
      </c>
      <c r="I674" s="3" t="s">
        <v>485</v>
      </c>
      <c r="J674" s="3">
        <v>2</v>
      </c>
      <c r="K674" s="5">
        <v>12397.88</v>
      </c>
      <c r="L674" s="5">
        <v>21076.400000000001</v>
      </c>
      <c r="M674" s="6">
        <v>15</v>
      </c>
      <c r="N674" s="48">
        <v>3410</v>
      </c>
      <c r="O674" s="5">
        <v>63.23</v>
      </c>
      <c r="P674" s="3" t="s">
        <v>35</v>
      </c>
      <c r="Q674" s="3" t="s">
        <v>57</v>
      </c>
      <c r="R674" s="28">
        <f t="shared" si="10"/>
        <v>0.16179233645214552</v>
      </c>
    </row>
    <row r="675" spans="1:18" x14ac:dyDescent="0.3">
      <c r="A675" s="7" t="s">
        <v>1260</v>
      </c>
      <c r="B675" s="8">
        <v>45781</v>
      </c>
      <c r="C675" s="7" t="s">
        <v>1261</v>
      </c>
      <c r="D675" s="7" t="s">
        <v>39</v>
      </c>
      <c r="E675" s="7" t="s">
        <v>30</v>
      </c>
      <c r="F675" s="7" t="s">
        <v>48</v>
      </c>
      <c r="G675" s="7" t="s">
        <v>49</v>
      </c>
      <c r="H675" s="7" t="s">
        <v>98</v>
      </c>
      <c r="I675" s="7" t="s">
        <v>763</v>
      </c>
      <c r="J675" s="7">
        <v>5</v>
      </c>
      <c r="K675" s="9">
        <v>7691.89</v>
      </c>
      <c r="L675" s="9">
        <v>36536.480000000003</v>
      </c>
      <c r="M675" s="10">
        <v>5</v>
      </c>
      <c r="N675" s="49">
        <v>8772.5400000000009</v>
      </c>
      <c r="O675" s="9">
        <v>217.1</v>
      </c>
      <c r="P675" s="7" t="s">
        <v>25</v>
      </c>
      <c r="Q675" s="7" t="s">
        <v>26</v>
      </c>
      <c r="R675" s="28">
        <f t="shared" si="10"/>
        <v>0.24010358961782854</v>
      </c>
    </row>
    <row r="676" spans="1:18" x14ac:dyDescent="0.3">
      <c r="A676" s="3" t="s">
        <v>1262</v>
      </c>
      <c r="B676" s="4">
        <v>45782</v>
      </c>
      <c r="C676" s="3" t="s">
        <v>679</v>
      </c>
      <c r="D676" s="3" t="s">
        <v>39</v>
      </c>
      <c r="E676" s="3" t="s">
        <v>40</v>
      </c>
      <c r="F676" s="3" t="s">
        <v>41</v>
      </c>
      <c r="G676" s="3" t="s">
        <v>22</v>
      </c>
      <c r="H676" s="3" t="s">
        <v>23</v>
      </c>
      <c r="I676" s="3" t="s">
        <v>78</v>
      </c>
      <c r="J676" s="3">
        <v>1</v>
      </c>
      <c r="K676" s="5">
        <v>38791.89</v>
      </c>
      <c r="L676" s="5">
        <v>34912.699999999997</v>
      </c>
      <c r="M676" s="6">
        <v>10</v>
      </c>
      <c r="N676" s="48">
        <v>2437.6</v>
      </c>
      <c r="O676" s="5">
        <v>175.37</v>
      </c>
      <c r="P676" s="3" t="s">
        <v>35</v>
      </c>
      <c r="Q676" s="3" t="s">
        <v>26</v>
      </c>
      <c r="R676" s="28">
        <f t="shared" si="10"/>
        <v>6.9819864977501034E-2</v>
      </c>
    </row>
    <row r="677" spans="1:18" x14ac:dyDescent="0.3">
      <c r="A677" s="7" t="s">
        <v>1263</v>
      </c>
      <c r="B677" s="8">
        <v>45785</v>
      </c>
      <c r="C677" s="7" t="s">
        <v>523</v>
      </c>
      <c r="D677" s="7" t="s">
        <v>39</v>
      </c>
      <c r="E677" s="7" t="s">
        <v>30</v>
      </c>
      <c r="F677" s="7" t="s">
        <v>31</v>
      </c>
      <c r="G677" s="7" t="s">
        <v>49</v>
      </c>
      <c r="H677" s="7" t="s">
        <v>98</v>
      </c>
      <c r="I677" s="7" t="s">
        <v>763</v>
      </c>
      <c r="J677" s="7">
        <v>1</v>
      </c>
      <c r="K677" s="9">
        <v>1830.32</v>
      </c>
      <c r="L677" s="9">
        <v>1647.29</v>
      </c>
      <c r="M677" s="10">
        <v>10</v>
      </c>
      <c r="N677" s="49">
        <v>196.77</v>
      </c>
      <c r="O677" s="9">
        <v>251.49</v>
      </c>
      <c r="P677" s="7" t="s">
        <v>64</v>
      </c>
      <c r="Q677" s="7" t="s">
        <v>36</v>
      </c>
      <c r="R677" s="28">
        <f t="shared" si="10"/>
        <v>0.11945073423623043</v>
      </c>
    </row>
    <row r="678" spans="1:18" x14ac:dyDescent="0.3">
      <c r="A678" s="3" t="s">
        <v>1264</v>
      </c>
      <c r="B678" s="4">
        <v>45785</v>
      </c>
      <c r="C678" s="3" t="s">
        <v>623</v>
      </c>
      <c r="D678" s="3" t="s">
        <v>39</v>
      </c>
      <c r="E678" s="3" t="s">
        <v>60</v>
      </c>
      <c r="F678" s="3" t="s">
        <v>72</v>
      </c>
      <c r="G678" s="3" t="s">
        <v>22</v>
      </c>
      <c r="H678" s="3" t="s">
        <v>624</v>
      </c>
      <c r="I678" s="3" t="s">
        <v>1215</v>
      </c>
      <c r="J678" s="3">
        <v>4</v>
      </c>
      <c r="K678" s="5">
        <v>26280.03</v>
      </c>
      <c r="L678" s="5">
        <v>105120.12</v>
      </c>
      <c r="M678" s="6">
        <v>0</v>
      </c>
      <c r="N678" s="48">
        <v>16024.02</v>
      </c>
      <c r="O678" s="5">
        <v>127.17</v>
      </c>
      <c r="P678" s="3" t="s">
        <v>25</v>
      </c>
      <c r="Q678" s="3" t="s">
        <v>26</v>
      </c>
      <c r="R678" s="28">
        <f t="shared" si="10"/>
        <v>0.15243532827017323</v>
      </c>
    </row>
    <row r="679" spans="1:18" x14ac:dyDescent="0.3">
      <c r="A679" s="7" t="s">
        <v>1265</v>
      </c>
      <c r="B679" s="8">
        <v>45785</v>
      </c>
      <c r="C679" s="7" t="s">
        <v>232</v>
      </c>
      <c r="D679" s="7" t="s">
        <v>19</v>
      </c>
      <c r="E679" s="7" t="s">
        <v>20</v>
      </c>
      <c r="F679" s="7" t="s">
        <v>21</v>
      </c>
      <c r="G679" s="7" t="s">
        <v>117</v>
      </c>
      <c r="H679" s="7" t="s">
        <v>153</v>
      </c>
      <c r="I679" s="7" t="s">
        <v>356</v>
      </c>
      <c r="J679" s="7">
        <v>3</v>
      </c>
      <c r="K679" s="9">
        <v>2168.1</v>
      </c>
      <c r="L679" s="9">
        <v>6504.3</v>
      </c>
      <c r="M679" s="10">
        <v>0</v>
      </c>
      <c r="N679" s="49">
        <v>1270.9000000000001</v>
      </c>
      <c r="O679" s="9">
        <v>226.86</v>
      </c>
      <c r="P679" s="7" t="s">
        <v>64</v>
      </c>
      <c r="Q679" s="7" t="s">
        <v>65</v>
      </c>
      <c r="R679" s="28">
        <f t="shared" si="10"/>
        <v>0.19539381639838263</v>
      </c>
    </row>
    <row r="680" spans="1:18" x14ac:dyDescent="0.3">
      <c r="A680" s="3" t="s">
        <v>1266</v>
      </c>
      <c r="B680" s="4">
        <v>45786</v>
      </c>
      <c r="C680" s="3" t="s">
        <v>316</v>
      </c>
      <c r="D680" s="3" t="s">
        <v>19</v>
      </c>
      <c r="E680" s="3" t="s">
        <v>60</v>
      </c>
      <c r="F680" s="3" t="s">
        <v>61</v>
      </c>
      <c r="G680" s="3" t="s">
        <v>42</v>
      </c>
      <c r="H680" s="3" t="s">
        <v>81</v>
      </c>
      <c r="I680" s="3" t="s">
        <v>621</v>
      </c>
      <c r="J680" s="3">
        <v>1</v>
      </c>
      <c r="K680" s="5">
        <v>393.64</v>
      </c>
      <c r="L680" s="5">
        <v>295.23</v>
      </c>
      <c r="M680" s="6">
        <v>25</v>
      </c>
      <c r="N680" s="48">
        <v>-4.6900000000000004</v>
      </c>
      <c r="O680" s="5">
        <v>176.64</v>
      </c>
      <c r="P680" s="3" t="s">
        <v>35</v>
      </c>
      <c r="Q680" s="3" t="s">
        <v>57</v>
      </c>
      <c r="R680" s="28">
        <f t="shared" si="10"/>
        <v>-1.5885919452630154E-2</v>
      </c>
    </row>
    <row r="681" spans="1:18" x14ac:dyDescent="0.3">
      <c r="A681" s="7" t="s">
        <v>1267</v>
      </c>
      <c r="B681" s="8">
        <v>45789</v>
      </c>
      <c r="C681" s="7" t="s">
        <v>636</v>
      </c>
      <c r="D681" s="7" t="s">
        <v>19</v>
      </c>
      <c r="E681" s="7" t="s">
        <v>40</v>
      </c>
      <c r="F681" s="7" t="s">
        <v>109</v>
      </c>
      <c r="G681" s="7" t="s">
        <v>42</v>
      </c>
      <c r="H681" s="7" t="s">
        <v>164</v>
      </c>
      <c r="I681" s="7" t="s">
        <v>329</v>
      </c>
      <c r="J681" s="7">
        <v>1</v>
      </c>
      <c r="K681" s="9">
        <v>567.76</v>
      </c>
      <c r="L681" s="9">
        <v>482.6</v>
      </c>
      <c r="M681" s="10">
        <v>15</v>
      </c>
      <c r="N681" s="49">
        <v>31.84</v>
      </c>
      <c r="O681" s="9">
        <v>294.82</v>
      </c>
      <c r="P681" s="7" t="s">
        <v>45</v>
      </c>
      <c r="Q681" s="7" t="s">
        <v>57</v>
      </c>
      <c r="R681" s="28">
        <f t="shared" si="10"/>
        <v>6.5975963530874426E-2</v>
      </c>
    </row>
    <row r="682" spans="1:18" x14ac:dyDescent="0.3">
      <c r="A682" s="3" t="s">
        <v>1268</v>
      </c>
      <c r="B682" s="4">
        <v>45790</v>
      </c>
      <c r="C682" s="3" t="s">
        <v>505</v>
      </c>
      <c r="D682" s="3" t="s">
        <v>39</v>
      </c>
      <c r="E682" s="3" t="s">
        <v>40</v>
      </c>
      <c r="F682" s="3" t="s">
        <v>109</v>
      </c>
      <c r="G682" s="3" t="s">
        <v>49</v>
      </c>
      <c r="H682" s="3" t="s">
        <v>62</v>
      </c>
      <c r="I682" s="3" t="s">
        <v>122</v>
      </c>
      <c r="J682" s="3">
        <v>1</v>
      </c>
      <c r="K682" s="5">
        <v>3063.12</v>
      </c>
      <c r="L682" s="5">
        <v>2603.65</v>
      </c>
      <c r="M682" s="6">
        <v>15</v>
      </c>
      <c r="N682" s="48">
        <v>440.76</v>
      </c>
      <c r="O682" s="5">
        <v>114.81</v>
      </c>
      <c r="P682" s="3" t="s">
        <v>25</v>
      </c>
      <c r="Q682" s="3" t="s">
        <v>57</v>
      </c>
      <c r="R682" s="28">
        <f t="shared" si="10"/>
        <v>0.16928542622856374</v>
      </c>
    </row>
    <row r="683" spans="1:18" x14ac:dyDescent="0.3">
      <c r="A683" s="7" t="s">
        <v>1269</v>
      </c>
      <c r="B683" s="8">
        <v>45792</v>
      </c>
      <c r="C683" s="7" t="s">
        <v>71</v>
      </c>
      <c r="D683" s="7" t="s">
        <v>19</v>
      </c>
      <c r="E683" s="7" t="s">
        <v>40</v>
      </c>
      <c r="F683" s="7" t="s">
        <v>77</v>
      </c>
      <c r="G683" s="7" t="s">
        <v>49</v>
      </c>
      <c r="H683" s="7" t="s">
        <v>62</v>
      </c>
      <c r="I683" s="7" t="s">
        <v>341</v>
      </c>
      <c r="J683" s="7">
        <v>1</v>
      </c>
      <c r="K683" s="9">
        <v>5395.22</v>
      </c>
      <c r="L683" s="9">
        <v>4585.9399999999996</v>
      </c>
      <c r="M683" s="10">
        <v>15</v>
      </c>
      <c r="N683" s="49">
        <v>264.63</v>
      </c>
      <c r="O683" s="9">
        <v>255.58</v>
      </c>
      <c r="P683" s="7" t="s">
        <v>35</v>
      </c>
      <c r="Q683" s="7" t="s">
        <v>26</v>
      </c>
      <c r="R683" s="28">
        <f t="shared" si="10"/>
        <v>5.7704636345002336E-2</v>
      </c>
    </row>
    <row r="684" spans="1:18" x14ac:dyDescent="0.3">
      <c r="A684" s="3" t="s">
        <v>1270</v>
      </c>
      <c r="B684" s="4">
        <v>45793</v>
      </c>
      <c r="C684" s="3" t="s">
        <v>267</v>
      </c>
      <c r="D684" s="3" t="s">
        <v>39</v>
      </c>
      <c r="E684" s="3" t="s">
        <v>30</v>
      </c>
      <c r="F684" s="3" t="s">
        <v>31</v>
      </c>
      <c r="G684" s="3" t="s">
        <v>49</v>
      </c>
      <c r="H684" s="3" t="s">
        <v>98</v>
      </c>
      <c r="I684" s="3" t="s">
        <v>763</v>
      </c>
      <c r="J684" s="3">
        <v>2</v>
      </c>
      <c r="K684" s="5">
        <v>14367.12</v>
      </c>
      <c r="L684" s="5">
        <v>25860.82</v>
      </c>
      <c r="M684" s="6">
        <v>10</v>
      </c>
      <c r="N684" s="48">
        <v>-42.05</v>
      </c>
      <c r="O684" s="5">
        <v>191.46</v>
      </c>
      <c r="P684" s="3" t="s">
        <v>25</v>
      </c>
      <c r="Q684" s="3" t="s">
        <v>57</v>
      </c>
      <c r="R684" s="28">
        <f t="shared" si="10"/>
        <v>-1.6260118588660374E-3</v>
      </c>
    </row>
    <row r="685" spans="1:18" x14ac:dyDescent="0.3">
      <c r="A685" s="7" t="s">
        <v>1271</v>
      </c>
      <c r="B685" s="8">
        <v>45794</v>
      </c>
      <c r="C685" s="7" t="s">
        <v>695</v>
      </c>
      <c r="D685" s="7" t="s">
        <v>39</v>
      </c>
      <c r="E685" s="7" t="s">
        <v>40</v>
      </c>
      <c r="F685" s="7" t="s">
        <v>90</v>
      </c>
      <c r="G685" s="7" t="s">
        <v>32</v>
      </c>
      <c r="H685" s="7" t="s">
        <v>143</v>
      </c>
      <c r="I685" s="7" t="s">
        <v>516</v>
      </c>
      <c r="J685" s="7">
        <v>3</v>
      </c>
      <c r="K685" s="9">
        <v>3345.68</v>
      </c>
      <c r="L685" s="9">
        <v>9535.19</v>
      </c>
      <c r="M685" s="10">
        <v>5</v>
      </c>
      <c r="N685" s="49">
        <v>2036.89</v>
      </c>
      <c r="O685" s="9">
        <v>309.60000000000002</v>
      </c>
      <c r="P685" s="7" t="s">
        <v>25</v>
      </c>
      <c r="Q685" s="7" t="s">
        <v>65</v>
      </c>
      <c r="R685" s="28">
        <f t="shared" si="10"/>
        <v>0.21361818694750709</v>
      </c>
    </row>
    <row r="686" spans="1:18" x14ac:dyDescent="0.3">
      <c r="A686" s="3" t="s">
        <v>1272</v>
      </c>
      <c r="B686" s="4">
        <v>45794</v>
      </c>
      <c r="C686" s="3" t="s">
        <v>1273</v>
      </c>
      <c r="D686" s="3" t="s">
        <v>39</v>
      </c>
      <c r="E686" s="3" t="s">
        <v>40</v>
      </c>
      <c r="F686" s="3" t="s">
        <v>109</v>
      </c>
      <c r="G686" s="3" t="s">
        <v>42</v>
      </c>
      <c r="H686" s="3" t="s">
        <v>43</v>
      </c>
      <c r="I686" s="3" t="s">
        <v>44</v>
      </c>
      <c r="J686" s="3">
        <v>2</v>
      </c>
      <c r="K686" s="5">
        <v>1030.42</v>
      </c>
      <c r="L686" s="5">
        <v>1545.63</v>
      </c>
      <c r="M686" s="6">
        <v>25</v>
      </c>
      <c r="N686" s="48">
        <v>38.619999999999997</v>
      </c>
      <c r="O686" s="5">
        <v>343.47</v>
      </c>
      <c r="P686" s="3" t="s">
        <v>35</v>
      </c>
      <c r="Q686" s="3" t="s">
        <v>65</v>
      </c>
      <c r="R686" s="28">
        <f t="shared" si="10"/>
        <v>2.4986575053538036E-2</v>
      </c>
    </row>
    <row r="687" spans="1:18" x14ac:dyDescent="0.3">
      <c r="A687" s="7" t="s">
        <v>1274</v>
      </c>
      <c r="B687" s="8">
        <v>45794</v>
      </c>
      <c r="C687" s="7" t="s">
        <v>628</v>
      </c>
      <c r="D687" s="7" t="s">
        <v>19</v>
      </c>
      <c r="E687" s="7" t="s">
        <v>40</v>
      </c>
      <c r="F687" s="7" t="s">
        <v>90</v>
      </c>
      <c r="G687" s="7" t="s">
        <v>49</v>
      </c>
      <c r="H687" s="7" t="s">
        <v>91</v>
      </c>
      <c r="I687" s="7" t="s">
        <v>206</v>
      </c>
      <c r="J687" s="7">
        <v>1</v>
      </c>
      <c r="K687" s="9">
        <v>8141.71</v>
      </c>
      <c r="L687" s="9">
        <v>8141.71</v>
      </c>
      <c r="M687" s="10">
        <v>0</v>
      </c>
      <c r="N687" s="49">
        <v>696.5</v>
      </c>
      <c r="O687" s="9">
        <v>136.5</v>
      </c>
      <c r="P687" s="7" t="s">
        <v>25</v>
      </c>
      <c r="Q687" s="7" t="s">
        <v>26</v>
      </c>
      <c r="R687" s="28">
        <f t="shared" si="10"/>
        <v>8.554713936015898E-2</v>
      </c>
    </row>
    <row r="688" spans="1:18" x14ac:dyDescent="0.3">
      <c r="A688" s="3" t="s">
        <v>1275</v>
      </c>
      <c r="B688" s="4">
        <v>45796</v>
      </c>
      <c r="C688" s="3" t="s">
        <v>538</v>
      </c>
      <c r="D688" s="3" t="s">
        <v>39</v>
      </c>
      <c r="E688" s="3" t="s">
        <v>20</v>
      </c>
      <c r="F688" s="3" t="s">
        <v>54</v>
      </c>
      <c r="G688" s="3" t="s">
        <v>117</v>
      </c>
      <c r="H688" s="3" t="s">
        <v>153</v>
      </c>
      <c r="I688" s="3" t="s">
        <v>296</v>
      </c>
      <c r="J688" s="3">
        <v>1</v>
      </c>
      <c r="K688" s="5">
        <v>1062.2</v>
      </c>
      <c r="L688" s="5">
        <v>1062.2</v>
      </c>
      <c r="M688" s="6">
        <v>0</v>
      </c>
      <c r="N688" s="48">
        <v>334.07</v>
      </c>
      <c r="O688" s="5">
        <v>101.55</v>
      </c>
      <c r="P688" s="3" t="s">
        <v>83</v>
      </c>
      <c r="Q688" s="3" t="s">
        <v>57</v>
      </c>
      <c r="R688" s="28">
        <f t="shared" si="10"/>
        <v>0.31450762568254564</v>
      </c>
    </row>
    <row r="689" spans="1:18" x14ac:dyDescent="0.3">
      <c r="A689" s="7" t="s">
        <v>1276</v>
      </c>
      <c r="B689" s="8">
        <v>45797</v>
      </c>
      <c r="C689" s="7" t="s">
        <v>187</v>
      </c>
      <c r="D689" s="7" t="s">
        <v>39</v>
      </c>
      <c r="E689" s="7" t="s">
        <v>20</v>
      </c>
      <c r="F689" s="7" t="s">
        <v>54</v>
      </c>
      <c r="G689" s="7" t="s">
        <v>42</v>
      </c>
      <c r="H689" s="7" t="s">
        <v>81</v>
      </c>
      <c r="I689" s="7" t="s">
        <v>248</v>
      </c>
      <c r="J689" s="7">
        <v>1</v>
      </c>
      <c r="K689" s="9">
        <v>155.44</v>
      </c>
      <c r="L689" s="9">
        <v>132.12</v>
      </c>
      <c r="M689" s="10">
        <v>15</v>
      </c>
      <c r="N689" s="49">
        <v>19.68</v>
      </c>
      <c r="O689" s="9">
        <v>230.93</v>
      </c>
      <c r="P689" s="7" t="s">
        <v>64</v>
      </c>
      <c r="Q689" s="7" t="s">
        <v>57</v>
      </c>
      <c r="R689" s="28">
        <f t="shared" si="10"/>
        <v>0.14895549500454131</v>
      </c>
    </row>
    <row r="690" spans="1:18" x14ac:dyDescent="0.3">
      <c r="A690" s="3" t="s">
        <v>1277</v>
      </c>
      <c r="B690" s="4">
        <v>45800</v>
      </c>
      <c r="C690" s="3" t="s">
        <v>499</v>
      </c>
      <c r="D690" s="3" t="s">
        <v>39</v>
      </c>
      <c r="E690" s="3" t="s">
        <v>20</v>
      </c>
      <c r="F690" s="3" t="s">
        <v>21</v>
      </c>
      <c r="G690" s="3" t="s">
        <v>117</v>
      </c>
      <c r="H690" s="3" t="s">
        <v>118</v>
      </c>
      <c r="I690" s="3" t="s">
        <v>438</v>
      </c>
      <c r="J690" s="3">
        <v>3</v>
      </c>
      <c r="K690" s="5">
        <v>2116.35</v>
      </c>
      <c r="L690" s="5">
        <v>5714.15</v>
      </c>
      <c r="M690" s="6">
        <v>10</v>
      </c>
      <c r="N690" s="48">
        <v>1576.94</v>
      </c>
      <c r="O690" s="5">
        <v>115.48</v>
      </c>
      <c r="P690" s="3" t="s">
        <v>35</v>
      </c>
      <c r="Q690" s="3" t="s">
        <v>26</v>
      </c>
      <c r="R690" s="28">
        <f t="shared" si="10"/>
        <v>0.27597105431253993</v>
      </c>
    </row>
    <row r="691" spans="1:18" x14ac:dyDescent="0.3">
      <c r="A691" s="7" t="s">
        <v>1278</v>
      </c>
      <c r="B691" s="8">
        <v>45800</v>
      </c>
      <c r="C691" s="7" t="s">
        <v>1255</v>
      </c>
      <c r="D691" s="7" t="s">
        <v>39</v>
      </c>
      <c r="E691" s="7" t="s">
        <v>30</v>
      </c>
      <c r="F691" s="7" t="s">
        <v>226</v>
      </c>
      <c r="G691" s="7" t="s">
        <v>134</v>
      </c>
      <c r="H691" s="7" t="s">
        <v>139</v>
      </c>
      <c r="I691" s="7" t="s">
        <v>147</v>
      </c>
      <c r="J691" s="7">
        <v>1</v>
      </c>
      <c r="K691" s="9">
        <v>545.51</v>
      </c>
      <c r="L691" s="9">
        <v>490.96</v>
      </c>
      <c r="M691" s="10">
        <v>10</v>
      </c>
      <c r="N691" s="49">
        <v>49.34</v>
      </c>
      <c r="O691" s="9">
        <v>75.37</v>
      </c>
      <c r="P691" s="7" t="s">
        <v>64</v>
      </c>
      <c r="Q691" s="7" t="s">
        <v>57</v>
      </c>
      <c r="R691" s="28">
        <f t="shared" si="10"/>
        <v>0.10049698549780024</v>
      </c>
    </row>
    <row r="692" spans="1:18" x14ac:dyDescent="0.3">
      <c r="A692" s="3" t="s">
        <v>1279</v>
      </c>
      <c r="B692" s="4">
        <v>45801</v>
      </c>
      <c r="C692" s="3" t="s">
        <v>538</v>
      </c>
      <c r="D692" s="3" t="s">
        <v>19</v>
      </c>
      <c r="E692" s="3" t="s">
        <v>40</v>
      </c>
      <c r="F692" s="3" t="s">
        <v>41</v>
      </c>
      <c r="G692" s="3" t="s">
        <v>32</v>
      </c>
      <c r="H692" s="3" t="s">
        <v>143</v>
      </c>
      <c r="I692" s="3" t="s">
        <v>321</v>
      </c>
      <c r="J692" s="3">
        <v>1</v>
      </c>
      <c r="K692" s="5">
        <v>11305.55</v>
      </c>
      <c r="L692" s="5">
        <v>11305.55</v>
      </c>
      <c r="M692" s="6">
        <v>0</v>
      </c>
      <c r="N692" s="48">
        <v>1954.17</v>
      </c>
      <c r="O692" s="5">
        <v>173.5</v>
      </c>
      <c r="P692" s="3" t="s">
        <v>45</v>
      </c>
      <c r="Q692" s="3" t="s">
        <v>26</v>
      </c>
      <c r="R692" s="28">
        <f t="shared" si="10"/>
        <v>0.17285050262923965</v>
      </c>
    </row>
    <row r="693" spans="1:18" x14ac:dyDescent="0.3">
      <c r="A693" s="7" t="s">
        <v>1280</v>
      </c>
      <c r="B693" s="8">
        <v>45802</v>
      </c>
      <c r="C693" s="7" t="s">
        <v>1281</v>
      </c>
      <c r="D693" s="7" t="s">
        <v>19</v>
      </c>
      <c r="E693" s="7" t="s">
        <v>60</v>
      </c>
      <c r="F693" s="7" t="s">
        <v>104</v>
      </c>
      <c r="G693" s="7" t="s">
        <v>22</v>
      </c>
      <c r="H693" s="7" t="s">
        <v>23</v>
      </c>
      <c r="I693" s="7" t="s">
        <v>78</v>
      </c>
      <c r="J693" s="7">
        <v>5</v>
      </c>
      <c r="K693" s="9">
        <v>36218.080000000002</v>
      </c>
      <c r="L693" s="9">
        <v>172035.88</v>
      </c>
      <c r="M693" s="10">
        <v>5</v>
      </c>
      <c r="N693" s="49">
        <v>24241.919999999998</v>
      </c>
      <c r="O693" s="9">
        <v>214.39</v>
      </c>
      <c r="P693" s="7" t="s">
        <v>25</v>
      </c>
      <c r="Q693" s="7" t="s">
        <v>26</v>
      </c>
      <c r="R693" s="28">
        <f t="shared" si="10"/>
        <v>0.14091200045013863</v>
      </c>
    </row>
    <row r="694" spans="1:18" x14ac:dyDescent="0.3">
      <c r="A694" s="3" t="s">
        <v>1282</v>
      </c>
      <c r="B694" s="4">
        <v>45804</v>
      </c>
      <c r="C694" s="3" t="s">
        <v>467</v>
      </c>
      <c r="D694" s="3" t="s">
        <v>29</v>
      </c>
      <c r="E694" s="3" t="s">
        <v>60</v>
      </c>
      <c r="F694" s="3" t="s">
        <v>104</v>
      </c>
      <c r="G694" s="3" t="s">
        <v>22</v>
      </c>
      <c r="H694" s="3" t="s">
        <v>23</v>
      </c>
      <c r="I694" s="3" t="s">
        <v>24</v>
      </c>
      <c r="J694" s="3">
        <v>1</v>
      </c>
      <c r="K694" s="5">
        <v>41238.21</v>
      </c>
      <c r="L694" s="5">
        <v>41238.21</v>
      </c>
      <c r="M694" s="6">
        <v>0</v>
      </c>
      <c r="N694" s="48">
        <v>5922.47</v>
      </c>
      <c r="O694" s="5">
        <v>44.54</v>
      </c>
      <c r="P694" s="3" t="s">
        <v>45</v>
      </c>
      <c r="Q694" s="3" t="s">
        <v>57</v>
      </c>
      <c r="R694" s="28">
        <f t="shared" si="10"/>
        <v>0.14361607838943544</v>
      </c>
    </row>
    <row r="695" spans="1:18" x14ac:dyDescent="0.3">
      <c r="A695" s="7" t="s">
        <v>1283</v>
      </c>
      <c r="B695" s="8">
        <v>45805</v>
      </c>
      <c r="C695" s="7" t="s">
        <v>281</v>
      </c>
      <c r="D695" s="7" t="s">
        <v>39</v>
      </c>
      <c r="E695" s="7" t="s">
        <v>40</v>
      </c>
      <c r="F695" s="7" t="s">
        <v>90</v>
      </c>
      <c r="G695" s="7" t="s">
        <v>49</v>
      </c>
      <c r="H695" s="7" t="s">
        <v>98</v>
      </c>
      <c r="I695" s="7" t="s">
        <v>299</v>
      </c>
      <c r="J695" s="7">
        <v>1</v>
      </c>
      <c r="K695" s="9">
        <v>2307.98</v>
      </c>
      <c r="L695" s="9">
        <v>2192.58</v>
      </c>
      <c r="M695" s="10">
        <v>5</v>
      </c>
      <c r="N695" s="49">
        <v>173.41</v>
      </c>
      <c r="O695" s="9">
        <v>336.72</v>
      </c>
      <c r="P695" s="7" t="s">
        <v>35</v>
      </c>
      <c r="Q695" s="7" t="s">
        <v>26</v>
      </c>
      <c r="R695" s="28">
        <f t="shared" si="10"/>
        <v>7.9089474500360302E-2</v>
      </c>
    </row>
    <row r="696" spans="1:18" x14ac:dyDescent="0.3">
      <c r="A696" s="3" t="s">
        <v>1284</v>
      </c>
      <c r="B696" s="4">
        <v>45806</v>
      </c>
      <c r="C696" s="3" t="s">
        <v>235</v>
      </c>
      <c r="D696" s="3" t="s">
        <v>39</v>
      </c>
      <c r="E696" s="3" t="s">
        <v>30</v>
      </c>
      <c r="F696" s="3" t="s">
        <v>31</v>
      </c>
      <c r="G696" s="3" t="s">
        <v>32</v>
      </c>
      <c r="H696" s="3" t="s">
        <v>33</v>
      </c>
      <c r="I696" s="3" t="s">
        <v>69</v>
      </c>
      <c r="J696" s="3">
        <v>4</v>
      </c>
      <c r="K696" s="5">
        <v>11155.26</v>
      </c>
      <c r="L696" s="5">
        <v>44621.04</v>
      </c>
      <c r="M696" s="6">
        <v>0</v>
      </c>
      <c r="N696" s="48">
        <v>10789.58</v>
      </c>
      <c r="O696" s="5">
        <v>150.09</v>
      </c>
      <c r="P696" s="3" t="s">
        <v>35</v>
      </c>
      <c r="Q696" s="3" t="s">
        <v>26</v>
      </c>
      <c r="R696" s="28">
        <f t="shared" si="10"/>
        <v>0.2418047629548751</v>
      </c>
    </row>
    <row r="697" spans="1:18" x14ac:dyDescent="0.3">
      <c r="A697" s="7" t="s">
        <v>1285</v>
      </c>
      <c r="B697" s="8">
        <v>45807</v>
      </c>
      <c r="C697" s="7" t="s">
        <v>67</v>
      </c>
      <c r="D697" s="7" t="s">
        <v>19</v>
      </c>
      <c r="E697" s="7" t="s">
        <v>20</v>
      </c>
      <c r="F697" s="7" t="s">
        <v>21</v>
      </c>
      <c r="G697" s="7" t="s">
        <v>134</v>
      </c>
      <c r="H697" s="7" t="s">
        <v>135</v>
      </c>
      <c r="I697" s="7" t="s">
        <v>382</v>
      </c>
      <c r="J697" s="7">
        <v>1</v>
      </c>
      <c r="K697" s="9">
        <v>2886.57</v>
      </c>
      <c r="L697" s="9">
        <v>2886.57</v>
      </c>
      <c r="M697" s="10">
        <v>0</v>
      </c>
      <c r="N697" s="49">
        <v>744.15</v>
      </c>
      <c r="O697" s="9">
        <v>332.05</v>
      </c>
      <c r="P697" s="7" t="s">
        <v>35</v>
      </c>
      <c r="Q697" s="7" t="s">
        <v>36</v>
      </c>
      <c r="R697" s="28">
        <f t="shared" si="10"/>
        <v>0.25779731653831361</v>
      </c>
    </row>
    <row r="698" spans="1:18" x14ac:dyDescent="0.3">
      <c r="A698" s="3" t="s">
        <v>1286</v>
      </c>
      <c r="B698" s="4">
        <v>45808</v>
      </c>
      <c r="C698" s="3" t="s">
        <v>133</v>
      </c>
      <c r="D698" s="3" t="s">
        <v>39</v>
      </c>
      <c r="E698" s="3" t="s">
        <v>20</v>
      </c>
      <c r="F698" s="3" t="s">
        <v>21</v>
      </c>
      <c r="G698" s="3" t="s">
        <v>32</v>
      </c>
      <c r="H698" s="3" t="s">
        <v>86</v>
      </c>
      <c r="I698" s="3" t="s">
        <v>233</v>
      </c>
      <c r="J698" s="3">
        <v>1</v>
      </c>
      <c r="K698" s="5">
        <v>6354.58</v>
      </c>
      <c r="L698" s="5">
        <v>6036.85</v>
      </c>
      <c r="M698" s="6">
        <v>5</v>
      </c>
      <c r="N698" s="48">
        <v>967.05</v>
      </c>
      <c r="O698" s="5">
        <v>104.63</v>
      </c>
      <c r="P698" s="3" t="s">
        <v>35</v>
      </c>
      <c r="Q698" s="3" t="s">
        <v>65</v>
      </c>
      <c r="R698" s="28">
        <f t="shared" si="10"/>
        <v>0.16019115929665304</v>
      </c>
    </row>
    <row r="699" spans="1:18" x14ac:dyDescent="0.3">
      <c r="A699" s="7" t="s">
        <v>1287</v>
      </c>
      <c r="B699" s="8">
        <v>45813</v>
      </c>
      <c r="C699" s="7" t="s">
        <v>325</v>
      </c>
      <c r="D699" s="7" t="s">
        <v>29</v>
      </c>
      <c r="E699" s="7" t="s">
        <v>60</v>
      </c>
      <c r="F699" s="7" t="s">
        <v>104</v>
      </c>
      <c r="G699" s="7" t="s">
        <v>117</v>
      </c>
      <c r="H699" s="7" t="s">
        <v>125</v>
      </c>
      <c r="I699" s="7" t="s">
        <v>126</v>
      </c>
      <c r="J699" s="7">
        <v>4</v>
      </c>
      <c r="K699" s="9">
        <v>387.68</v>
      </c>
      <c r="L699" s="9">
        <v>1395.65</v>
      </c>
      <c r="M699" s="10">
        <v>10</v>
      </c>
      <c r="N699" s="49">
        <v>232.32</v>
      </c>
      <c r="O699" s="9">
        <v>250.41</v>
      </c>
      <c r="P699" s="7" t="s">
        <v>64</v>
      </c>
      <c r="Q699" s="7" t="s">
        <v>65</v>
      </c>
      <c r="R699" s="28">
        <f t="shared" si="10"/>
        <v>0.16646007236771396</v>
      </c>
    </row>
    <row r="700" spans="1:18" x14ac:dyDescent="0.3">
      <c r="A700" s="3" t="s">
        <v>1288</v>
      </c>
      <c r="B700" s="4">
        <v>45813</v>
      </c>
      <c r="C700" s="3" t="s">
        <v>113</v>
      </c>
      <c r="D700" s="3" t="s">
        <v>29</v>
      </c>
      <c r="E700" s="3" t="s">
        <v>60</v>
      </c>
      <c r="F700" s="3" t="s">
        <v>61</v>
      </c>
      <c r="G700" s="3" t="s">
        <v>49</v>
      </c>
      <c r="H700" s="3" t="s">
        <v>98</v>
      </c>
      <c r="I700" s="3" t="s">
        <v>299</v>
      </c>
      <c r="J700" s="3">
        <v>1</v>
      </c>
      <c r="K700" s="5">
        <v>7586.83</v>
      </c>
      <c r="L700" s="5">
        <v>6448.81</v>
      </c>
      <c r="M700" s="6">
        <v>15</v>
      </c>
      <c r="N700" s="48">
        <v>578.37</v>
      </c>
      <c r="O700" s="5">
        <v>201.67</v>
      </c>
      <c r="P700" s="3" t="s">
        <v>35</v>
      </c>
      <c r="Q700" s="3" t="s">
        <v>65</v>
      </c>
      <c r="R700" s="28">
        <f t="shared" si="10"/>
        <v>8.9686314219212526E-2</v>
      </c>
    </row>
    <row r="701" spans="1:18" x14ac:dyDescent="0.3">
      <c r="A701" s="7" t="s">
        <v>1289</v>
      </c>
      <c r="B701" s="8">
        <v>45815</v>
      </c>
      <c r="C701" s="7" t="s">
        <v>1290</v>
      </c>
      <c r="D701" s="7" t="s">
        <v>39</v>
      </c>
      <c r="E701" s="7" t="s">
        <v>60</v>
      </c>
      <c r="F701" s="7" t="s">
        <v>61</v>
      </c>
      <c r="G701" s="7" t="s">
        <v>49</v>
      </c>
      <c r="H701" s="7" t="s">
        <v>98</v>
      </c>
      <c r="I701" s="7" t="s">
        <v>763</v>
      </c>
      <c r="J701" s="7">
        <v>5</v>
      </c>
      <c r="K701" s="9">
        <v>8594.2900000000009</v>
      </c>
      <c r="L701" s="9">
        <v>40822.879999999997</v>
      </c>
      <c r="M701" s="10">
        <v>5</v>
      </c>
      <c r="N701" s="49">
        <v>5042.99</v>
      </c>
      <c r="O701" s="9">
        <v>240.89</v>
      </c>
      <c r="P701" s="7" t="s">
        <v>35</v>
      </c>
      <c r="Q701" s="7" t="s">
        <v>57</v>
      </c>
      <c r="R701" s="28">
        <f t="shared" si="10"/>
        <v>0.1235334204740087</v>
      </c>
    </row>
    <row r="702" spans="1:18" x14ac:dyDescent="0.3">
      <c r="A702" s="3" t="s">
        <v>1291</v>
      </c>
      <c r="B702" s="4">
        <v>45816</v>
      </c>
      <c r="C702" s="3" t="s">
        <v>1292</v>
      </c>
      <c r="D702" s="3" t="s">
        <v>19</v>
      </c>
      <c r="E702" s="3" t="s">
        <v>40</v>
      </c>
      <c r="F702" s="3" t="s">
        <v>109</v>
      </c>
      <c r="G702" s="3" t="s">
        <v>49</v>
      </c>
      <c r="H702" s="3" t="s">
        <v>62</v>
      </c>
      <c r="I702" s="3" t="s">
        <v>341</v>
      </c>
      <c r="J702" s="3">
        <v>1</v>
      </c>
      <c r="K702" s="5">
        <v>1201.05</v>
      </c>
      <c r="L702" s="5">
        <v>1201.05</v>
      </c>
      <c r="M702" s="6">
        <v>0</v>
      </c>
      <c r="N702" s="48">
        <v>249.48</v>
      </c>
      <c r="O702" s="5">
        <v>65.680000000000007</v>
      </c>
      <c r="P702" s="3" t="s">
        <v>83</v>
      </c>
      <c r="Q702" s="3" t="s">
        <v>26</v>
      </c>
      <c r="R702" s="28">
        <f t="shared" si="10"/>
        <v>0.2077182465342825</v>
      </c>
    </row>
    <row r="703" spans="1:18" x14ac:dyDescent="0.3">
      <c r="A703" s="7" t="s">
        <v>1293</v>
      </c>
      <c r="B703" s="8">
        <v>45819</v>
      </c>
      <c r="C703" s="7" t="s">
        <v>1294</v>
      </c>
      <c r="D703" s="7" t="s">
        <v>39</v>
      </c>
      <c r="E703" s="7" t="s">
        <v>40</v>
      </c>
      <c r="F703" s="7" t="s">
        <v>41</v>
      </c>
      <c r="G703" s="7" t="s">
        <v>134</v>
      </c>
      <c r="H703" s="7" t="s">
        <v>135</v>
      </c>
      <c r="I703" s="7" t="s">
        <v>185</v>
      </c>
      <c r="J703" s="7">
        <v>3</v>
      </c>
      <c r="K703" s="9">
        <v>1149.47</v>
      </c>
      <c r="L703" s="9">
        <v>3448.41</v>
      </c>
      <c r="M703" s="10">
        <v>0</v>
      </c>
      <c r="N703" s="49">
        <v>570.78</v>
      </c>
      <c r="O703" s="9">
        <v>128.77000000000001</v>
      </c>
      <c r="P703" s="7" t="s">
        <v>64</v>
      </c>
      <c r="Q703" s="7" t="s">
        <v>65</v>
      </c>
      <c r="R703" s="28">
        <f t="shared" si="10"/>
        <v>0.16551976128128615</v>
      </c>
    </row>
    <row r="704" spans="1:18" x14ac:dyDescent="0.3">
      <c r="A704" s="3" t="s">
        <v>1295</v>
      </c>
      <c r="B704" s="4">
        <v>45819</v>
      </c>
      <c r="C704" s="3" t="s">
        <v>94</v>
      </c>
      <c r="D704" s="3" t="s">
        <v>29</v>
      </c>
      <c r="E704" s="3" t="s">
        <v>40</v>
      </c>
      <c r="F704" s="3" t="s">
        <v>41</v>
      </c>
      <c r="G704" s="3" t="s">
        <v>134</v>
      </c>
      <c r="H704" s="3" t="s">
        <v>135</v>
      </c>
      <c r="I704" s="3" t="s">
        <v>136</v>
      </c>
      <c r="J704" s="3">
        <v>5</v>
      </c>
      <c r="K704" s="5">
        <v>2685.99</v>
      </c>
      <c r="L704" s="5">
        <v>10743.96</v>
      </c>
      <c r="M704" s="6">
        <v>20</v>
      </c>
      <c r="N704" s="48">
        <v>1391.89</v>
      </c>
      <c r="O704" s="5">
        <v>371.36</v>
      </c>
      <c r="P704" s="3" t="s">
        <v>35</v>
      </c>
      <c r="Q704" s="3" t="s">
        <v>26</v>
      </c>
      <c r="R704" s="28">
        <f t="shared" si="10"/>
        <v>0.12955092908015295</v>
      </c>
    </row>
    <row r="705" spans="1:18" x14ac:dyDescent="0.3">
      <c r="A705" s="7" t="s">
        <v>1296</v>
      </c>
      <c r="B705" s="8">
        <v>45821</v>
      </c>
      <c r="C705" s="7" t="s">
        <v>1297</v>
      </c>
      <c r="D705" s="7" t="s">
        <v>19</v>
      </c>
      <c r="E705" s="7" t="s">
        <v>20</v>
      </c>
      <c r="F705" s="7" t="s">
        <v>54</v>
      </c>
      <c r="G705" s="7" t="s">
        <v>134</v>
      </c>
      <c r="H705" s="7" t="s">
        <v>135</v>
      </c>
      <c r="I705" s="7" t="s">
        <v>382</v>
      </c>
      <c r="J705" s="7">
        <v>4</v>
      </c>
      <c r="K705" s="9">
        <v>2971.5</v>
      </c>
      <c r="L705" s="9">
        <v>11886</v>
      </c>
      <c r="M705" s="10">
        <v>0</v>
      </c>
      <c r="N705" s="49">
        <v>2400.86</v>
      </c>
      <c r="O705" s="9">
        <v>145.74</v>
      </c>
      <c r="P705" s="7" t="s">
        <v>25</v>
      </c>
      <c r="Q705" s="7" t="s">
        <v>65</v>
      </c>
      <c r="R705" s="28">
        <f t="shared" si="10"/>
        <v>0.20199057714958776</v>
      </c>
    </row>
    <row r="706" spans="1:18" x14ac:dyDescent="0.3">
      <c r="A706" s="3" t="s">
        <v>1298</v>
      </c>
      <c r="B706" s="4">
        <v>45822</v>
      </c>
      <c r="C706" s="3" t="s">
        <v>742</v>
      </c>
      <c r="D706" s="3" t="s">
        <v>19</v>
      </c>
      <c r="E706" s="3" t="s">
        <v>40</v>
      </c>
      <c r="F706" s="3" t="s">
        <v>41</v>
      </c>
      <c r="G706" s="3" t="s">
        <v>42</v>
      </c>
      <c r="H706" s="3" t="s">
        <v>43</v>
      </c>
      <c r="I706" s="3" t="s">
        <v>751</v>
      </c>
      <c r="J706" s="3">
        <v>1</v>
      </c>
      <c r="K706" s="5">
        <v>783.38</v>
      </c>
      <c r="L706" s="5">
        <v>783.38</v>
      </c>
      <c r="M706" s="6">
        <v>0</v>
      </c>
      <c r="N706" s="48">
        <v>144.19</v>
      </c>
      <c r="O706" s="5">
        <v>277.24</v>
      </c>
      <c r="P706" s="3" t="s">
        <v>83</v>
      </c>
      <c r="Q706" s="3" t="s">
        <v>26</v>
      </c>
      <c r="R706" s="28">
        <f t="shared" si="10"/>
        <v>0.18406137506701728</v>
      </c>
    </row>
    <row r="707" spans="1:18" x14ac:dyDescent="0.3">
      <c r="A707" s="7" t="s">
        <v>1299</v>
      </c>
      <c r="B707" s="8">
        <v>45824</v>
      </c>
      <c r="C707" s="7" t="s">
        <v>814</v>
      </c>
      <c r="D707" s="7" t="s">
        <v>39</v>
      </c>
      <c r="E707" s="7" t="s">
        <v>30</v>
      </c>
      <c r="F707" s="7" t="s">
        <v>226</v>
      </c>
      <c r="G707" s="7" t="s">
        <v>117</v>
      </c>
      <c r="H707" s="7" t="s">
        <v>153</v>
      </c>
      <c r="I707" s="7" t="s">
        <v>284</v>
      </c>
      <c r="J707" s="7">
        <v>2</v>
      </c>
      <c r="K707" s="9">
        <v>1890.56</v>
      </c>
      <c r="L707" s="9">
        <v>3781.12</v>
      </c>
      <c r="M707" s="10">
        <v>0</v>
      </c>
      <c r="N707" s="49">
        <v>1290.58</v>
      </c>
      <c r="O707" s="9">
        <v>240.23</v>
      </c>
      <c r="P707" s="7" t="s">
        <v>35</v>
      </c>
      <c r="Q707" s="7" t="s">
        <v>26</v>
      </c>
      <c r="R707" s="28">
        <f t="shared" ref="R707:R770" si="11">N707/L707</f>
        <v>0.34132214793500337</v>
      </c>
    </row>
    <row r="708" spans="1:18" x14ac:dyDescent="0.3">
      <c r="A708" s="3" t="s">
        <v>1300</v>
      </c>
      <c r="B708" s="4">
        <v>45826</v>
      </c>
      <c r="C708" s="3" t="s">
        <v>1301</v>
      </c>
      <c r="D708" s="3" t="s">
        <v>39</v>
      </c>
      <c r="E708" s="3" t="s">
        <v>40</v>
      </c>
      <c r="F708" s="3" t="s">
        <v>41</v>
      </c>
      <c r="G708" s="3" t="s">
        <v>49</v>
      </c>
      <c r="H708" s="3" t="s">
        <v>91</v>
      </c>
      <c r="I708" s="3" t="s">
        <v>92</v>
      </c>
      <c r="J708" s="3">
        <v>1</v>
      </c>
      <c r="K708" s="5">
        <v>425.38</v>
      </c>
      <c r="L708" s="5">
        <v>425.38</v>
      </c>
      <c r="M708" s="6">
        <v>0</v>
      </c>
      <c r="N708" s="48">
        <v>73.55</v>
      </c>
      <c r="O708" s="5">
        <v>320.77999999999997</v>
      </c>
      <c r="P708" s="3" t="s">
        <v>83</v>
      </c>
      <c r="Q708" s="3" t="s">
        <v>26</v>
      </c>
      <c r="R708" s="28">
        <f t="shared" si="11"/>
        <v>0.1729042268089708</v>
      </c>
    </row>
    <row r="709" spans="1:18" x14ac:dyDescent="0.3">
      <c r="A709" s="7" t="s">
        <v>1302</v>
      </c>
      <c r="B709" s="8">
        <v>45827</v>
      </c>
      <c r="C709" s="7" t="s">
        <v>623</v>
      </c>
      <c r="D709" s="7" t="s">
        <v>29</v>
      </c>
      <c r="E709" s="7" t="s">
        <v>40</v>
      </c>
      <c r="F709" s="7" t="s">
        <v>109</v>
      </c>
      <c r="G709" s="7" t="s">
        <v>42</v>
      </c>
      <c r="H709" s="7" t="s">
        <v>164</v>
      </c>
      <c r="I709" s="7" t="s">
        <v>199</v>
      </c>
      <c r="J709" s="7">
        <v>1</v>
      </c>
      <c r="K709" s="9">
        <v>911.1</v>
      </c>
      <c r="L709" s="9">
        <v>865.54</v>
      </c>
      <c r="M709" s="10">
        <v>5</v>
      </c>
      <c r="N709" s="49">
        <v>-0.43</v>
      </c>
      <c r="O709" s="9">
        <v>310.85000000000002</v>
      </c>
      <c r="P709" s="7" t="s">
        <v>83</v>
      </c>
      <c r="Q709" s="7" t="s">
        <v>26</v>
      </c>
      <c r="R709" s="28">
        <f t="shared" si="11"/>
        <v>-4.9679968574531505E-4</v>
      </c>
    </row>
    <row r="710" spans="1:18" x14ac:dyDescent="0.3">
      <c r="A710" s="3" t="s">
        <v>1303</v>
      </c>
      <c r="B710" s="4">
        <v>45828</v>
      </c>
      <c r="C710" s="3" t="s">
        <v>532</v>
      </c>
      <c r="D710" s="3" t="s">
        <v>39</v>
      </c>
      <c r="E710" s="3" t="s">
        <v>30</v>
      </c>
      <c r="F710" s="3" t="s">
        <v>48</v>
      </c>
      <c r="G710" s="3" t="s">
        <v>32</v>
      </c>
      <c r="H710" s="3" t="s">
        <v>33</v>
      </c>
      <c r="I710" s="3" t="s">
        <v>34</v>
      </c>
      <c r="J710" s="3">
        <v>2</v>
      </c>
      <c r="K710" s="5">
        <v>7071.89</v>
      </c>
      <c r="L710" s="5">
        <v>14143.78</v>
      </c>
      <c r="M710" s="6">
        <v>0</v>
      </c>
      <c r="N710" s="48">
        <v>1910.49</v>
      </c>
      <c r="O710" s="5">
        <v>198.39</v>
      </c>
      <c r="P710" s="3" t="s">
        <v>35</v>
      </c>
      <c r="Q710" s="3" t="s">
        <v>57</v>
      </c>
      <c r="R710" s="28">
        <f t="shared" si="11"/>
        <v>0.13507633744303149</v>
      </c>
    </row>
    <row r="711" spans="1:18" x14ac:dyDescent="0.3">
      <c r="A711" s="7" t="s">
        <v>1304</v>
      </c>
      <c r="B711" s="8">
        <v>45828</v>
      </c>
      <c r="C711" s="7" t="s">
        <v>1305</v>
      </c>
      <c r="D711" s="7" t="s">
        <v>39</v>
      </c>
      <c r="E711" s="7" t="s">
        <v>30</v>
      </c>
      <c r="F711" s="7" t="s">
        <v>31</v>
      </c>
      <c r="G711" s="7" t="s">
        <v>42</v>
      </c>
      <c r="H711" s="7" t="s">
        <v>43</v>
      </c>
      <c r="I711" s="7" t="s">
        <v>44</v>
      </c>
      <c r="J711" s="7">
        <v>1</v>
      </c>
      <c r="K711" s="9">
        <v>222.79</v>
      </c>
      <c r="L711" s="9">
        <v>211.65</v>
      </c>
      <c r="M711" s="10">
        <v>5</v>
      </c>
      <c r="N711" s="49">
        <v>39.64</v>
      </c>
      <c r="O711" s="9">
        <v>246.36</v>
      </c>
      <c r="P711" s="7" t="s">
        <v>35</v>
      </c>
      <c r="Q711" s="7" t="s">
        <v>65</v>
      </c>
      <c r="R711" s="28">
        <f t="shared" si="11"/>
        <v>0.18729033782187574</v>
      </c>
    </row>
    <row r="712" spans="1:18" x14ac:dyDescent="0.3">
      <c r="A712" s="3" t="s">
        <v>1306</v>
      </c>
      <c r="B712" s="4">
        <v>45828</v>
      </c>
      <c r="C712" s="3" t="s">
        <v>1307</v>
      </c>
      <c r="D712" s="3" t="s">
        <v>39</v>
      </c>
      <c r="E712" s="3" t="s">
        <v>40</v>
      </c>
      <c r="F712" s="3" t="s">
        <v>77</v>
      </c>
      <c r="G712" s="3" t="s">
        <v>42</v>
      </c>
      <c r="H712" s="3" t="s">
        <v>43</v>
      </c>
      <c r="I712" s="3" t="s">
        <v>751</v>
      </c>
      <c r="J712" s="3">
        <v>3</v>
      </c>
      <c r="K712" s="5">
        <v>1098.53</v>
      </c>
      <c r="L712" s="5">
        <v>2966.03</v>
      </c>
      <c r="M712" s="6">
        <v>10</v>
      </c>
      <c r="N712" s="48">
        <v>467.87</v>
      </c>
      <c r="O712" s="5">
        <v>76.510000000000005</v>
      </c>
      <c r="P712" s="3" t="s">
        <v>64</v>
      </c>
      <c r="Q712" s="3" t="s">
        <v>57</v>
      </c>
      <c r="R712" s="28">
        <f t="shared" si="11"/>
        <v>0.15774284144125311</v>
      </c>
    </row>
    <row r="713" spans="1:18" x14ac:dyDescent="0.3">
      <c r="A713" s="7" t="s">
        <v>1308</v>
      </c>
      <c r="B713" s="8">
        <v>45829</v>
      </c>
      <c r="C713" s="7" t="s">
        <v>762</v>
      </c>
      <c r="D713" s="7" t="s">
        <v>39</v>
      </c>
      <c r="E713" s="7" t="s">
        <v>20</v>
      </c>
      <c r="F713" s="7" t="s">
        <v>21</v>
      </c>
      <c r="G713" s="7" t="s">
        <v>49</v>
      </c>
      <c r="H713" s="7" t="s">
        <v>98</v>
      </c>
      <c r="I713" s="7" t="s">
        <v>99</v>
      </c>
      <c r="J713" s="7">
        <v>2</v>
      </c>
      <c r="K713" s="9">
        <v>927.6</v>
      </c>
      <c r="L713" s="9">
        <v>1298.6400000000001</v>
      </c>
      <c r="M713" s="10">
        <v>30</v>
      </c>
      <c r="N713" s="49">
        <v>92.76</v>
      </c>
      <c r="O713" s="9">
        <v>270.77999999999997</v>
      </c>
      <c r="P713" s="7" t="s">
        <v>25</v>
      </c>
      <c r="Q713" s="7" t="s">
        <v>26</v>
      </c>
      <c r="R713" s="28">
        <f t="shared" si="11"/>
        <v>7.1428571428571425E-2</v>
      </c>
    </row>
    <row r="714" spans="1:18" x14ac:dyDescent="0.3">
      <c r="A714" s="3" t="s">
        <v>1309</v>
      </c>
      <c r="B714" s="4">
        <v>45834</v>
      </c>
      <c r="C714" s="3" t="s">
        <v>1310</v>
      </c>
      <c r="D714" s="3" t="s">
        <v>29</v>
      </c>
      <c r="E714" s="3" t="s">
        <v>40</v>
      </c>
      <c r="F714" s="3" t="s">
        <v>90</v>
      </c>
      <c r="G714" s="3" t="s">
        <v>49</v>
      </c>
      <c r="H714" s="3" t="s">
        <v>91</v>
      </c>
      <c r="I714" s="3" t="s">
        <v>206</v>
      </c>
      <c r="J714" s="3">
        <v>3</v>
      </c>
      <c r="K714" s="5">
        <v>1123.01</v>
      </c>
      <c r="L714" s="5">
        <v>3200.58</v>
      </c>
      <c r="M714" s="6">
        <v>5</v>
      </c>
      <c r="N714" s="48">
        <v>665.28</v>
      </c>
      <c r="O714" s="5">
        <v>281.44</v>
      </c>
      <c r="P714" s="3" t="s">
        <v>64</v>
      </c>
      <c r="Q714" s="3" t="s">
        <v>26</v>
      </c>
      <c r="R714" s="28">
        <f t="shared" si="11"/>
        <v>0.20786232495360216</v>
      </c>
    </row>
    <row r="715" spans="1:18" x14ac:dyDescent="0.3">
      <c r="A715" s="7" t="s">
        <v>1311</v>
      </c>
      <c r="B715" s="8">
        <v>45838</v>
      </c>
      <c r="C715" s="7" t="s">
        <v>707</v>
      </c>
      <c r="D715" s="7" t="s">
        <v>39</v>
      </c>
      <c r="E715" s="7" t="s">
        <v>30</v>
      </c>
      <c r="F715" s="7" t="s">
        <v>31</v>
      </c>
      <c r="G715" s="7" t="s">
        <v>117</v>
      </c>
      <c r="H715" s="7" t="s">
        <v>153</v>
      </c>
      <c r="I715" s="7" t="s">
        <v>356</v>
      </c>
      <c r="J715" s="7">
        <v>1</v>
      </c>
      <c r="K715" s="9">
        <v>1286.0899999999999</v>
      </c>
      <c r="L715" s="9">
        <v>1221.79</v>
      </c>
      <c r="M715" s="10">
        <v>5</v>
      </c>
      <c r="N715" s="49">
        <v>327.54000000000002</v>
      </c>
      <c r="O715" s="9">
        <v>273.45</v>
      </c>
      <c r="P715" s="7" t="s">
        <v>35</v>
      </c>
      <c r="Q715" s="7" t="s">
        <v>26</v>
      </c>
      <c r="R715" s="28">
        <f t="shared" si="11"/>
        <v>0.26808207629789083</v>
      </c>
    </row>
    <row r="716" spans="1:18" x14ac:dyDescent="0.3">
      <c r="A716" s="3" t="s">
        <v>1312</v>
      </c>
      <c r="B716" s="4">
        <v>45839</v>
      </c>
      <c r="C716" s="3" t="s">
        <v>990</v>
      </c>
      <c r="D716" s="3" t="s">
        <v>19</v>
      </c>
      <c r="E716" s="3" t="s">
        <v>40</v>
      </c>
      <c r="F716" s="3" t="s">
        <v>41</v>
      </c>
      <c r="G716" s="3" t="s">
        <v>49</v>
      </c>
      <c r="H716" s="3" t="s">
        <v>91</v>
      </c>
      <c r="I716" s="3" t="s">
        <v>168</v>
      </c>
      <c r="J716" s="3">
        <v>4</v>
      </c>
      <c r="K716" s="5">
        <v>9768.86</v>
      </c>
      <c r="L716" s="5">
        <v>39075.440000000002</v>
      </c>
      <c r="M716" s="6">
        <v>0</v>
      </c>
      <c r="N716" s="48">
        <v>8845.48</v>
      </c>
      <c r="O716" s="5">
        <v>274.92</v>
      </c>
      <c r="P716" s="3" t="s">
        <v>64</v>
      </c>
      <c r="Q716" s="3" t="s">
        <v>26</v>
      </c>
      <c r="R716" s="28">
        <f t="shared" si="11"/>
        <v>0.22636930000020472</v>
      </c>
    </row>
    <row r="717" spans="1:18" x14ac:dyDescent="0.3">
      <c r="A717" s="7" t="s">
        <v>1313</v>
      </c>
      <c r="B717" s="8">
        <v>45840</v>
      </c>
      <c r="C717" s="7" t="s">
        <v>509</v>
      </c>
      <c r="D717" s="7" t="s">
        <v>39</v>
      </c>
      <c r="E717" s="7" t="s">
        <v>60</v>
      </c>
      <c r="F717" s="7" t="s">
        <v>104</v>
      </c>
      <c r="G717" s="7" t="s">
        <v>32</v>
      </c>
      <c r="H717" s="7" t="s">
        <v>86</v>
      </c>
      <c r="I717" s="7" t="s">
        <v>87</v>
      </c>
      <c r="J717" s="7">
        <v>3</v>
      </c>
      <c r="K717" s="9">
        <v>8989.52</v>
      </c>
      <c r="L717" s="9">
        <v>22923.279999999999</v>
      </c>
      <c r="M717" s="10">
        <v>15</v>
      </c>
      <c r="N717" s="49">
        <v>2546.0700000000002</v>
      </c>
      <c r="O717" s="9">
        <v>306.06</v>
      </c>
      <c r="P717" s="7" t="s">
        <v>64</v>
      </c>
      <c r="Q717" s="7" t="s">
        <v>57</v>
      </c>
      <c r="R717" s="28">
        <f t="shared" si="11"/>
        <v>0.1110691838166266</v>
      </c>
    </row>
    <row r="718" spans="1:18" x14ac:dyDescent="0.3">
      <c r="A718" s="3" t="s">
        <v>1314</v>
      </c>
      <c r="B718" s="4">
        <v>45841</v>
      </c>
      <c r="C718" s="3" t="s">
        <v>440</v>
      </c>
      <c r="D718" s="3" t="s">
        <v>19</v>
      </c>
      <c r="E718" s="3" t="s">
        <v>20</v>
      </c>
      <c r="F718" s="3" t="s">
        <v>129</v>
      </c>
      <c r="G718" s="3" t="s">
        <v>49</v>
      </c>
      <c r="H718" s="3" t="s">
        <v>50</v>
      </c>
      <c r="I718" s="3" t="s">
        <v>95</v>
      </c>
      <c r="J718" s="3">
        <v>2</v>
      </c>
      <c r="K718" s="5">
        <v>1687.67</v>
      </c>
      <c r="L718" s="5">
        <v>2362.7399999999998</v>
      </c>
      <c r="M718" s="6">
        <v>30</v>
      </c>
      <c r="N718" s="48">
        <v>-32.94</v>
      </c>
      <c r="O718" s="5">
        <v>86.15</v>
      </c>
      <c r="P718" s="3" t="s">
        <v>83</v>
      </c>
      <c r="Q718" s="3" t="s">
        <v>57</v>
      </c>
      <c r="R718" s="28">
        <f t="shared" si="11"/>
        <v>-1.3941440869498972E-2</v>
      </c>
    </row>
    <row r="719" spans="1:18" x14ac:dyDescent="0.3">
      <c r="A719" s="7" t="s">
        <v>1315</v>
      </c>
      <c r="B719" s="8">
        <v>45841</v>
      </c>
      <c r="C719" s="7" t="s">
        <v>159</v>
      </c>
      <c r="D719" s="7" t="s">
        <v>29</v>
      </c>
      <c r="E719" s="7" t="s">
        <v>20</v>
      </c>
      <c r="F719" s="7" t="s">
        <v>54</v>
      </c>
      <c r="G719" s="7" t="s">
        <v>134</v>
      </c>
      <c r="H719" s="7" t="s">
        <v>135</v>
      </c>
      <c r="I719" s="7" t="s">
        <v>382</v>
      </c>
      <c r="J719" s="7">
        <v>1</v>
      </c>
      <c r="K719" s="9">
        <v>698.66</v>
      </c>
      <c r="L719" s="9">
        <v>698.66</v>
      </c>
      <c r="M719" s="10">
        <v>0</v>
      </c>
      <c r="N719" s="49">
        <v>180.14</v>
      </c>
      <c r="O719" s="9">
        <v>304.57</v>
      </c>
      <c r="P719" s="7" t="s">
        <v>35</v>
      </c>
      <c r="Q719" s="7" t="s">
        <v>26</v>
      </c>
      <c r="R719" s="28">
        <f t="shared" si="11"/>
        <v>0.25783642973692494</v>
      </c>
    </row>
    <row r="720" spans="1:18" x14ac:dyDescent="0.3">
      <c r="A720" s="3" t="s">
        <v>1316</v>
      </c>
      <c r="B720" s="4">
        <v>45842</v>
      </c>
      <c r="C720" s="3" t="s">
        <v>937</v>
      </c>
      <c r="D720" s="3" t="s">
        <v>39</v>
      </c>
      <c r="E720" s="3" t="s">
        <v>20</v>
      </c>
      <c r="F720" s="3" t="s">
        <v>54</v>
      </c>
      <c r="G720" s="3" t="s">
        <v>22</v>
      </c>
      <c r="H720" s="3" t="s">
        <v>23</v>
      </c>
      <c r="I720" s="3" t="s">
        <v>78</v>
      </c>
      <c r="J720" s="3">
        <v>1</v>
      </c>
      <c r="K720" s="5">
        <v>60682.19</v>
      </c>
      <c r="L720" s="5">
        <v>48545.75</v>
      </c>
      <c r="M720" s="6">
        <v>20</v>
      </c>
      <c r="N720" s="48">
        <v>5545.56</v>
      </c>
      <c r="O720" s="5">
        <v>267.31</v>
      </c>
      <c r="P720" s="3" t="s">
        <v>25</v>
      </c>
      <c r="Q720" s="3" t="s">
        <v>57</v>
      </c>
      <c r="R720" s="28">
        <f t="shared" si="11"/>
        <v>0.11423368677999619</v>
      </c>
    </row>
    <row r="721" spans="1:18" x14ac:dyDescent="0.3">
      <c r="A721" s="7" t="s">
        <v>1317</v>
      </c>
      <c r="B721" s="8">
        <v>45842</v>
      </c>
      <c r="C721" s="7" t="s">
        <v>1318</v>
      </c>
      <c r="D721" s="7" t="s">
        <v>39</v>
      </c>
      <c r="E721" s="7" t="s">
        <v>40</v>
      </c>
      <c r="F721" s="7" t="s">
        <v>41</v>
      </c>
      <c r="G721" s="7" t="s">
        <v>42</v>
      </c>
      <c r="H721" s="7" t="s">
        <v>172</v>
      </c>
      <c r="I721" s="7" t="s">
        <v>302</v>
      </c>
      <c r="J721" s="7">
        <v>2</v>
      </c>
      <c r="K721" s="9">
        <v>381.51</v>
      </c>
      <c r="L721" s="9">
        <v>572.26</v>
      </c>
      <c r="M721" s="10">
        <v>25</v>
      </c>
      <c r="N721" s="49">
        <v>-32.49</v>
      </c>
      <c r="O721" s="9">
        <v>288.99</v>
      </c>
      <c r="P721" s="7" t="s">
        <v>25</v>
      </c>
      <c r="Q721" s="7" t="s">
        <v>65</v>
      </c>
      <c r="R721" s="28">
        <f t="shared" si="11"/>
        <v>-5.6774892531366868E-2</v>
      </c>
    </row>
    <row r="722" spans="1:18" x14ac:dyDescent="0.3">
      <c r="A722" s="3" t="s">
        <v>1319</v>
      </c>
      <c r="B722" s="4">
        <v>45842</v>
      </c>
      <c r="C722" s="3" t="s">
        <v>695</v>
      </c>
      <c r="D722" s="3" t="s">
        <v>29</v>
      </c>
      <c r="E722" s="3" t="s">
        <v>60</v>
      </c>
      <c r="F722" s="3" t="s">
        <v>72</v>
      </c>
      <c r="G722" s="3" t="s">
        <v>117</v>
      </c>
      <c r="H722" s="3" t="s">
        <v>130</v>
      </c>
      <c r="I722" s="3" t="s">
        <v>310</v>
      </c>
      <c r="J722" s="3">
        <v>2</v>
      </c>
      <c r="K722" s="5">
        <v>1335.16</v>
      </c>
      <c r="L722" s="5">
        <v>2136.2600000000002</v>
      </c>
      <c r="M722" s="6">
        <v>20</v>
      </c>
      <c r="N722" s="48">
        <v>370.5</v>
      </c>
      <c r="O722" s="5">
        <v>269.72000000000003</v>
      </c>
      <c r="P722" s="3" t="s">
        <v>25</v>
      </c>
      <c r="Q722" s="3" t="s">
        <v>57</v>
      </c>
      <c r="R722" s="28">
        <f t="shared" si="11"/>
        <v>0.17343394530628292</v>
      </c>
    </row>
    <row r="723" spans="1:18" x14ac:dyDescent="0.3">
      <c r="A723" s="7" t="s">
        <v>1320</v>
      </c>
      <c r="B723" s="8">
        <v>45842</v>
      </c>
      <c r="C723" s="7" t="s">
        <v>142</v>
      </c>
      <c r="D723" s="7" t="s">
        <v>19</v>
      </c>
      <c r="E723" s="7" t="s">
        <v>40</v>
      </c>
      <c r="F723" s="7" t="s">
        <v>77</v>
      </c>
      <c r="G723" s="7" t="s">
        <v>117</v>
      </c>
      <c r="H723" s="7" t="s">
        <v>130</v>
      </c>
      <c r="I723" s="7" t="s">
        <v>131</v>
      </c>
      <c r="J723" s="7">
        <v>2</v>
      </c>
      <c r="K723" s="9">
        <v>2361.0100000000002</v>
      </c>
      <c r="L723" s="9">
        <v>4485.92</v>
      </c>
      <c r="M723" s="10">
        <v>5</v>
      </c>
      <c r="N723" s="49">
        <v>1234.8800000000001</v>
      </c>
      <c r="O723" s="9">
        <v>310.10000000000002</v>
      </c>
      <c r="P723" s="7" t="s">
        <v>45</v>
      </c>
      <c r="Q723" s="7" t="s">
        <v>26</v>
      </c>
      <c r="R723" s="28">
        <f t="shared" si="11"/>
        <v>0.27527909548097157</v>
      </c>
    </row>
    <row r="724" spans="1:18" x14ac:dyDescent="0.3">
      <c r="A724" s="3" t="s">
        <v>1321</v>
      </c>
      <c r="B724" s="4">
        <v>45844</v>
      </c>
      <c r="C724" s="3" t="s">
        <v>1203</v>
      </c>
      <c r="D724" s="3" t="s">
        <v>39</v>
      </c>
      <c r="E724" s="3" t="s">
        <v>30</v>
      </c>
      <c r="F724" s="3" t="s">
        <v>48</v>
      </c>
      <c r="G724" s="3" t="s">
        <v>32</v>
      </c>
      <c r="H724" s="3" t="s">
        <v>33</v>
      </c>
      <c r="I724" s="3" t="s">
        <v>449</v>
      </c>
      <c r="J724" s="3">
        <v>2</v>
      </c>
      <c r="K724" s="5">
        <v>3830.06</v>
      </c>
      <c r="L724" s="5">
        <v>7277.11</v>
      </c>
      <c r="M724" s="6">
        <v>5</v>
      </c>
      <c r="N724" s="48">
        <v>935.07</v>
      </c>
      <c r="O724" s="5">
        <v>248.53</v>
      </c>
      <c r="P724" s="3" t="s">
        <v>64</v>
      </c>
      <c r="Q724" s="3" t="s">
        <v>36</v>
      </c>
      <c r="R724" s="28">
        <f t="shared" si="11"/>
        <v>0.12849469088690429</v>
      </c>
    </row>
    <row r="725" spans="1:18" x14ac:dyDescent="0.3">
      <c r="A725" s="7" t="s">
        <v>1322</v>
      </c>
      <c r="B725" s="8">
        <v>45845</v>
      </c>
      <c r="C725" s="7" t="s">
        <v>53</v>
      </c>
      <c r="D725" s="7" t="s">
        <v>29</v>
      </c>
      <c r="E725" s="7" t="s">
        <v>20</v>
      </c>
      <c r="F725" s="7" t="s">
        <v>54</v>
      </c>
      <c r="G725" s="7" t="s">
        <v>117</v>
      </c>
      <c r="H725" s="7" t="s">
        <v>153</v>
      </c>
      <c r="I725" s="7" t="s">
        <v>284</v>
      </c>
      <c r="J725" s="7">
        <v>2</v>
      </c>
      <c r="K725" s="9">
        <v>1229.49</v>
      </c>
      <c r="L725" s="9">
        <v>2090.13</v>
      </c>
      <c r="M725" s="10">
        <v>15</v>
      </c>
      <c r="N725" s="49">
        <v>268.70999999999998</v>
      </c>
      <c r="O725" s="9">
        <v>241.31</v>
      </c>
      <c r="P725" s="7" t="s">
        <v>83</v>
      </c>
      <c r="Q725" s="7" t="s">
        <v>26</v>
      </c>
      <c r="R725" s="28">
        <f t="shared" si="11"/>
        <v>0.12856138134948542</v>
      </c>
    </row>
    <row r="726" spans="1:18" x14ac:dyDescent="0.3">
      <c r="A726" s="3" t="s">
        <v>1323</v>
      </c>
      <c r="B726" s="4">
        <v>45846</v>
      </c>
      <c r="C726" s="3" t="s">
        <v>1324</v>
      </c>
      <c r="D726" s="3" t="s">
        <v>19</v>
      </c>
      <c r="E726" s="3" t="s">
        <v>30</v>
      </c>
      <c r="F726" s="3" t="s">
        <v>31</v>
      </c>
      <c r="G726" s="3" t="s">
        <v>32</v>
      </c>
      <c r="H726" s="3" t="s">
        <v>33</v>
      </c>
      <c r="I726" s="3" t="s">
        <v>449</v>
      </c>
      <c r="J726" s="3">
        <v>2</v>
      </c>
      <c r="K726" s="5">
        <v>6834.89</v>
      </c>
      <c r="L726" s="5">
        <v>12302.8</v>
      </c>
      <c r="M726" s="6">
        <v>10</v>
      </c>
      <c r="N726" s="48">
        <v>2185.96</v>
      </c>
      <c r="O726" s="5">
        <v>176.45</v>
      </c>
      <c r="P726" s="3" t="s">
        <v>45</v>
      </c>
      <c r="Q726" s="3" t="s">
        <v>65</v>
      </c>
      <c r="R726" s="28">
        <f t="shared" si="11"/>
        <v>0.1776798777514062</v>
      </c>
    </row>
    <row r="727" spans="1:18" x14ac:dyDescent="0.3">
      <c r="A727" s="7" t="s">
        <v>1325</v>
      </c>
      <c r="B727" s="8">
        <v>45848</v>
      </c>
      <c r="C727" s="7" t="s">
        <v>289</v>
      </c>
      <c r="D727" s="7" t="s">
        <v>39</v>
      </c>
      <c r="E727" s="7" t="s">
        <v>20</v>
      </c>
      <c r="F727" s="7" t="s">
        <v>54</v>
      </c>
      <c r="G727" s="7" t="s">
        <v>134</v>
      </c>
      <c r="H727" s="7" t="s">
        <v>244</v>
      </c>
      <c r="I727" s="7" t="s">
        <v>334</v>
      </c>
      <c r="J727" s="7">
        <v>3</v>
      </c>
      <c r="K727" s="9">
        <v>4454.71</v>
      </c>
      <c r="L727" s="9">
        <v>9354.89</v>
      </c>
      <c r="M727" s="10">
        <v>30</v>
      </c>
      <c r="N727" s="49">
        <v>473.02</v>
      </c>
      <c r="O727" s="9">
        <v>134.1</v>
      </c>
      <c r="P727" s="7" t="s">
        <v>25</v>
      </c>
      <c r="Q727" s="7" t="s">
        <v>57</v>
      </c>
      <c r="R727" s="28">
        <f t="shared" si="11"/>
        <v>5.0563929666730449E-2</v>
      </c>
    </row>
    <row r="728" spans="1:18" x14ac:dyDescent="0.3">
      <c r="A728" s="3" t="s">
        <v>1326</v>
      </c>
      <c r="B728" s="4">
        <v>45848</v>
      </c>
      <c r="C728" s="3" t="s">
        <v>1327</v>
      </c>
      <c r="D728" s="3" t="s">
        <v>39</v>
      </c>
      <c r="E728" s="3" t="s">
        <v>20</v>
      </c>
      <c r="F728" s="3" t="s">
        <v>21</v>
      </c>
      <c r="G728" s="3" t="s">
        <v>49</v>
      </c>
      <c r="H728" s="3" t="s">
        <v>98</v>
      </c>
      <c r="I728" s="3" t="s">
        <v>763</v>
      </c>
      <c r="J728" s="3">
        <v>3</v>
      </c>
      <c r="K728" s="5">
        <v>13122.51</v>
      </c>
      <c r="L728" s="5">
        <v>33462.400000000001</v>
      </c>
      <c r="M728" s="6">
        <v>15</v>
      </c>
      <c r="N728" s="48">
        <v>4766.2299999999996</v>
      </c>
      <c r="O728" s="5">
        <v>69.36</v>
      </c>
      <c r="P728" s="3" t="s">
        <v>35</v>
      </c>
      <c r="Q728" s="3" t="s">
        <v>26</v>
      </c>
      <c r="R728" s="28">
        <f t="shared" si="11"/>
        <v>0.1424353901692646</v>
      </c>
    </row>
    <row r="729" spans="1:18" x14ac:dyDescent="0.3">
      <c r="A729" s="7" t="s">
        <v>1328</v>
      </c>
      <c r="B729" s="8">
        <v>45849</v>
      </c>
      <c r="C729" s="7" t="s">
        <v>1125</v>
      </c>
      <c r="D729" s="7" t="s">
        <v>29</v>
      </c>
      <c r="E729" s="7" t="s">
        <v>20</v>
      </c>
      <c r="F729" s="7" t="s">
        <v>54</v>
      </c>
      <c r="G729" s="7" t="s">
        <v>22</v>
      </c>
      <c r="H729" s="7" t="s">
        <v>110</v>
      </c>
      <c r="I729" s="7" t="s">
        <v>542</v>
      </c>
      <c r="J729" s="7">
        <v>2</v>
      </c>
      <c r="K729" s="9">
        <v>6061.58</v>
      </c>
      <c r="L729" s="9">
        <v>8486.2099999999991</v>
      </c>
      <c r="M729" s="10">
        <v>30</v>
      </c>
      <c r="N729" s="49">
        <v>-1312.22</v>
      </c>
      <c r="O729" s="9">
        <v>345.97</v>
      </c>
      <c r="P729" s="7" t="s">
        <v>64</v>
      </c>
      <c r="Q729" s="7" t="s">
        <v>26</v>
      </c>
      <c r="R729" s="28">
        <f t="shared" si="11"/>
        <v>-0.1546296874576519</v>
      </c>
    </row>
    <row r="730" spans="1:18" x14ac:dyDescent="0.3">
      <c r="A730" s="3" t="s">
        <v>1329</v>
      </c>
      <c r="B730" s="4">
        <v>45850</v>
      </c>
      <c r="C730" s="3" t="s">
        <v>742</v>
      </c>
      <c r="D730" s="3" t="s">
        <v>19</v>
      </c>
      <c r="E730" s="3" t="s">
        <v>60</v>
      </c>
      <c r="F730" s="3" t="s">
        <v>72</v>
      </c>
      <c r="G730" s="3" t="s">
        <v>22</v>
      </c>
      <c r="H730" s="3" t="s">
        <v>55</v>
      </c>
      <c r="I730" s="3" t="s">
        <v>399</v>
      </c>
      <c r="J730" s="3">
        <v>1</v>
      </c>
      <c r="K730" s="5">
        <v>13694.64</v>
      </c>
      <c r="L730" s="5">
        <v>13694.64</v>
      </c>
      <c r="M730" s="6">
        <v>0</v>
      </c>
      <c r="N730" s="48">
        <v>885.15</v>
      </c>
      <c r="O730" s="5">
        <v>317.02999999999997</v>
      </c>
      <c r="P730" s="3" t="s">
        <v>64</v>
      </c>
      <c r="Q730" s="3" t="s">
        <v>26</v>
      </c>
      <c r="R730" s="28">
        <f t="shared" si="11"/>
        <v>6.4634776817791492E-2</v>
      </c>
    </row>
    <row r="731" spans="1:18" x14ac:dyDescent="0.3">
      <c r="A731" s="7" t="s">
        <v>1330</v>
      </c>
      <c r="B731" s="8">
        <v>45850</v>
      </c>
      <c r="C731" s="7" t="s">
        <v>1331</v>
      </c>
      <c r="D731" s="7" t="s">
        <v>39</v>
      </c>
      <c r="E731" s="7" t="s">
        <v>30</v>
      </c>
      <c r="F731" s="7" t="s">
        <v>31</v>
      </c>
      <c r="G731" s="7" t="s">
        <v>42</v>
      </c>
      <c r="H731" s="7" t="s">
        <v>43</v>
      </c>
      <c r="I731" s="7" t="s">
        <v>208</v>
      </c>
      <c r="J731" s="7">
        <v>3</v>
      </c>
      <c r="K731" s="9">
        <v>370.83</v>
      </c>
      <c r="L731" s="9">
        <v>1001.24</v>
      </c>
      <c r="M731" s="10">
        <v>10</v>
      </c>
      <c r="N731" s="49">
        <v>51.43</v>
      </c>
      <c r="O731" s="9">
        <v>336.98</v>
      </c>
      <c r="P731" s="7" t="s">
        <v>64</v>
      </c>
      <c r="Q731" s="7" t="s">
        <v>65</v>
      </c>
      <c r="R731" s="28">
        <f t="shared" si="11"/>
        <v>5.1366305780831768E-2</v>
      </c>
    </row>
    <row r="732" spans="1:18" x14ac:dyDescent="0.3">
      <c r="A732" s="3" t="s">
        <v>1332</v>
      </c>
      <c r="B732" s="4">
        <v>45851</v>
      </c>
      <c r="C732" s="3" t="s">
        <v>192</v>
      </c>
      <c r="D732" s="3" t="s">
        <v>39</v>
      </c>
      <c r="E732" s="3" t="s">
        <v>60</v>
      </c>
      <c r="F732" s="3" t="s">
        <v>72</v>
      </c>
      <c r="G732" s="3" t="s">
        <v>42</v>
      </c>
      <c r="H732" s="3" t="s">
        <v>172</v>
      </c>
      <c r="I732" s="3" t="s">
        <v>1014</v>
      </c>
      <c r="J732" s="3">
        <v>2</v>
      </c>
      <c r="K732" s="5">
        <v>577.01</v>
      </c>
      <c r="L732" s="5">
        <v>1154.02</v>
      </c>
      <c r="M732" s="6">
        <v>0</v>
      </c>
      <c r="N732" s="48">
        <v>174.89</v>
      </c>
      <c r="O732" s="5">
        <v>115.12</v>
      </c>
      <c r="P732" s="3" t="s">
        <v>64</v>
      </c>
      <c r="Q732" s="3" t="s">
        <v>57</v>
      </c>
      <c r="R732" s="28">
        <f t="shared" si="11"/>
        <v>0.15154850002599607</v>
      </c>
    </row>
    <row r="733" spans="1:18" x14ac:dyDescent="0.3">
      <c r="A733" s="7" t="s">
        <v>1333</v>
      </c>
      <c r="B733" s="8">
        <v>45852</v>
      </c>
      <c r="C733" s="7" t="s">
        <v>1007</v>
      </c>
      <c r="D733" s="7" t="s">
        <v>39</v>
      </c>
      <c r="E733" s="7" t="s">
        <v>40</v>
      </c>
      <c r="F733" s="7" t="s">
        <v>41</v>
      </c>
      <c r="G733" s="7" t="s">
        <v>117</v>
      </c>
      <c r="H733" s="7" t="s">
        <v>125</v>
      </c>
      <c r="I733" s="7" t="s">
        <v>126</v>
      </c>
      <c r="J733" s="7">
        <v>5</v>
      </c>
      <c r="K733" s="9">
        <v>930.45</v>
      </c>
      <c r="L733" s="9">
        <v>4419.6400000000003</v>
      </c>
      <c r="M733" s="10">
        <v>5</v>
      </c>
      <c r="N733" s="49">
        <v>1104.96</v>
      </c>
      <c r="O733" s="9">
        <v>104.99</v>
      </c>
      <c r="P733" s="7" t="s">
        <v>45</v>
      </c>
      <c r="Q733" s="7" t="s">
        <v>57</v>
      </c>
      <c r="R733" s="28">
        <f t="shared" si="11"/>
        <v>0.25001131313862668</v>
      </c>
    </row>
    <row r="734" spans="1:18" x14ac:dyDescent="0.3">
      <c r="A734" s="3" t="s">
        <v>1334</v>
      </c>
      <c r="B734" s="4">
        <v>45852</v>
      </c>
      <c r="C734" s="3" t="s">
        <v>1335</v>
      </c>
      <c r="D734" s="3" t="s">
        <v>39</v>
      </c>
      <c r="E734" s="3" t="s">
        <v>40</v>
      </c>
      <c r="F734" s="3" t="s">
        <v>77</v>
      </c>
      <c r="G734" s="3" t="s">
        <v>32</v>
      </c>
      <c r="H734" s="3" t="s">
        <v>73</v>
      </c>
      <c r="I734" s="3" t="s">
        <v>230</v>
      </c>
      <c r="J734" s="3">
        <v>1</v>
      </c>
      <c r="K734" s="5">
        <v>3875.31</v>
      </c>
      <c r="L734" s="5">
        <v>3100.25</v>
      </c>
      <c r="M734" s="6">
        <v>20</v>
      </c>
      <c r="N734" s="48">
        <v>51.02</v>
      </c>
      <c r="O734" s="5">
        <v>166.57</v>
      </c>
      <c r="P734" s="3" t="s">
        <v>35</v>
      </c>
      <c r="Q734" s="3" t="s">
        <v>57</v>
      </c>
      <c r="R734" s="28">
        <f t="shared" si="11"/>
        <v>1.6456737359890332E-2</v>
      </c>
    </row>
    <row r="735" spans="1:18" x14ac:dyDescent="0.3">
      <c r="A735" s="7" t="s">
        <v>1336</v>
      </c>
      <c r="B735" s="8">
        <v>45852</v>
      </c>
      <c r="C735" s="7" t="s">
        <v>1337</v>
      </c>
      <c r="D735" s="7" t="s">
        <v>29</v>
      </c>
      <c r="E735" s="7" t="s">
        <v>30</v>
      </c>
      <c r="F735" s="7" t="s">
        <v>31</v>
      </c>
      <c r="G735" s="7" t="s">
        <v>42</v>
      </c>
      <c r="H735" s="7" t="s">
        <v>172</v>
      </c>
      <c r="I735" s="7" t="s">
        <v>302</v>
      </c>
      <c r="J735" s="7">
        <v>1</v>
      </c>
      <c r="K735" s="9">
        <v>541.9</v>
      </c>
      <c r="L735" s="9">
        <v>379.33</v>
      </c>
      <c r="M735" s="10">
        <v>30</v>
      </c>
      <c r="N735" s="49">
        <v>0.97</v>
      </c>
      <c r="O735" s="9">
        <v>232.24</v>
      </c>
      <c r="P735" s="7" t="s">
        <v>25</v>
      </c>
      <c r="Q735" s="7" t="s">
        <v>36</v>
      </c>
      <c r="R735" s="28">
        <f t="shared" si="11"/>
        <v>2.5571402209158254E-3</v>
      </c>
    </row>
    <row r="736" spans="1:18" x14ac:dyDescent="0.3">
      <c r="A736" s="3" t="s">
        <v>1338</v>
      </c>
      <c r="B736" s="4">
        <v>45854</v>
      </c>
      <c r="C736" s="3" t="s">
        <v>1130</v>
      </c>
      <c r="D736" s="3" t="s">
        <v>19</v>
      </c>
      <c r="E736" s="3" t="s">
        <v>40</v>
      </c>
      <c r="F736" s="3" t="s">
        <v>90</v>
      </c>
      <c r="G736" s="3" t="s">
        <v>49</v>
      </c>
      <c r="H736" s="3" t="s">
        <v>62</v>
      </c>
      <c r="I736" s="3" t="s">
        <v>424</v>
      </c>
      <c r="J736" s="3">
        <v>3</v>
      </c>
      <c r="K736" s="5">
        <v>5759.96</v>
      </c>
      <c r="L736" s="5">
        <v>12095.92</v>
      </c>
      <c r="M736" s="6">
        <v>30</v>
      </c>
      <c r="N736" s="48">
        <v>896.27</v>
      </c>
      <c r="O736" s="5">
        <v>207.75</v>
      </c>
      <c r="P736" s="3" t="s">
        <v>25</v>
      </c>
      <c r="Q736" s="3" t="s">
        <v>26</v>
      </c>
      <c r="R736" s="28">
        <f t="shared" si="11"/>
        <v>7.4096885561412446E-2</v>
      </c>
    </row>
    <row r="737" spans="1:18" x14ac:dyDescent="0.3">
      <c r="A737" s="7" t="s">
        <v>1339</v>
      </c>
      <c r="B737" s="8">
        <v>45855</v>
      </c>
      <c r="C737" s="7" t="s">
        <v>1060</v>
      </c>
      <c r="D737" s="7" t="s">
        <v>19</v>
      </c>
      <c r="E737" s="7" t="s">
        <v>20</v>
      </c>
      <c r="F737" s="7" t="s">
        <v>54</v>
      </c>
      <c r="G737" s="7" t="s">
        <v>49</v>
      </c>
      <c r="H737" s="7" t="s">
        <v>62</v>
      </c>
      <c r="I737" s="7" t="s">
        <v>122</v>
      </c>
      <c r="J737" s="7">
        <v>1</v>
      </c>
      <c r="K737" s="9">
        <v>8601.99</v>
      </c>
      <c r="L737" s="9">
        <v>8601.99</v>
      </c>
      <c r="M737" s="10">
        <v>0</v>
      </c>
      <c r="N737" s="49">
        <v>1305.1099999999999</v>
      </c>
      <c r="O737" s="9">
        <v>252.57</v>
      </c>
      <c r="P737" s="7" t="s">
        <v>35</v>
      </c>
      <c r="Q737" s="7" t="s">
        <v>57</v>
      </c>
      <c r="R737" s="28">
        <f t="shared" si="11"/>
        <v>0.15172186900938037</v>
      </c>
    </row>
    <row r="738" spans="1:18" x14ac:dyDescent="0.3">
      <c r="A738" s="3" t="s">
        <v>1340</v>
      </c>
      <c r="B738" s="4">
        <v>45857</v>
      </c>
      <c r="C738" s="3" t="s">
        <v>1120</v>
      </c>
      <c r="D738" s="3" t="s">
        <v>39</v>
      </c>
      <c r="E738" s="3" t="s">
        <v>30</v>
      </c>
      <c r="F738" s="3" t="s">
        <v>226</v>
      </c>
      <c r="G738" s="3" t="s">
        <v>117</v>
      </c>
      <c r="H738" s="3" t="s">
        <v>125</v>
      </c>
      <c r="I738" s="3" t="s">
        <v>126</v>
      </c>
      <c r="J738" s="3">
        <v>1</v>
      </c>
      <c r="K738" s="5">
        <v>1800.87</v>
      </c>
      <c r="L738" s="5">
        <v>1710.83</v>
      </c>
      <c r="M738" s="6">
        <v>5</v>
      </c>
      <c r="N738" s="48">
        <v>352.1</v>
      </c>
      <c r="O738" s="5">
        <v>226.8</v>
      </c>
      <c r="P738" s="3" t="s">
        <v>35</v>
      </c>
      <c r="Q738" s="3" t="s">
        <v>26</v>
      </c>
      <c r="R738" s="28">
        <f t="shared" si="11"/>
        <v>0.20580653834688428</v>
      </c>
    </row>
    <row r="739" spans="1:18" x14ac:dyDescent="0.3">
      <c r="A739" s="7" t="s">
        <v>1341</v>
      </c>
      <c r="B739" s="8">
        <v>45862</v>
      </c>
      <c r="C739" s="7" t="s">
        <v>1342</v>
      </c>
      <c r="D739" s="7" t="s">
        <v>39</v>
      </c>
      <c r="E739" s="7" t="s">
        <v>30</v>
      </c>
      <c r="F739" s="7" t="s">
        <v>31</v>
      </c>
      <c r="G739" s="7" t="s">
        <v>22</v>
      </c>
      <c r="H739" s="7" t="s">
        <v>23</v>
      </c>
      <c r="I739" s="7" t="s">
        <v>78</v>
      </c>
      <c r="J739" s="7">
        <v>1</v>
      </c>
      <c r="K739" s="9">
        <v>26820.82</v>
      </c>
      <c r="L739" s="9">
        <v>26820.82</v>
      </c>
      <c r="M739" s="10">
        <v>0</v>
      </c>
      <c r="N739" s="49">
        <v>2960.5</v>
      </c>
      <c r="O739" s="9">
        <v>298.10000000000002</v>
      </c>
      <c r="P739" s="7" t="s">
        <v>35</v>
      </c>
      <c r="Q739" s="7" t="s">
        <v>65</v>
      </c>
      <c r="R739" s="28">
        <f t="shared" si="11"/>
        <v>0.11038066695947402</v>
      </c>
    </row>
    <row r="740" spans="1:18" x14ac:dyDescent="0.3">
      <c r="A740" s="3" t="s">
        <v>1343</v>
      </c>
      <c r="B740" s="4">
        <v>45862</v>
      </c>
      <c r="C740" s="3" t="s">
        <v>1344</v>
      </c>
      <c r="D740" s="3" t="s">
        <v>39</v>
      </c>
      <c r="E740" s="3" t="s">
        <v>60</v>
      </c>
      <c r="F740" s="3" t="s">
        <v>61</v>
      </c>
      <c r="G740" s="3" t="s">
        <v>32</v>
      </c>
      <c r="H740" s="3" t="s">
        <v>86</v>
      </c>
      <c r="I740" s="3" t="s">
        <v>233</v>
      </c>
      <c r="J740" s="3">
        <v>3</v>
      </c>
      <c r="K740" s="5">
        <v>8486.7800000000007</v>
      </c>
      <c r="L740" s="5">
        <v>20368.27</v>
      </c>
      <c r="M740" s="6">
        <v>20</v>
      </c>
      <c r="N740" s="48">
        <v>1886.5</v>
      </c>
      <c r="O740" s="5">
        <v>267.56</v>
      </c>
      <c r="P740" s="3" t="s">
        <v>35</v>
      </c>
      <c r="Q740" s="3" t="s">
        <v>26</v>
      </c>
      <c r="R740" s="28">
        <f t="shared" si="11"/>
        <v>9.2619549917592414E-2</v>
      </c>
    </row>
    <row r="741" spans="1:18" x14ac:dyDescent="0.3">
      <c r="A741" s="7" t="s">
        <v>1345</v>
      </c>
      <c r="B741" s="8">
        <v>45864</v>
      </c>
      <c r="C741" s="7" t="s">
        <v>484</v>
      </c>
      <c r="D741" s="7" t="s">
        <v>19</v>
      </c>
      <c r="E741" s="7" t="s">
        <v>40</v>
      </c>
      <c r="F741" s="7" t="s">
        <v>90</v>
      </c>
      <c r="G741" s="7" t="s">
        <v>49</v>
      </c>
      <c r="H741" s="7" t="s">
        <v>98</v>
      </c>
      <c r="I741" s="7" t="s">
        <v>763</v>
      </c>
      <c r="J741" s="7">
        <v>2</v>
      </c>
      <c r="K741" s="9">
        <v>7272.03</v>
      </c>
      <c r="L741" s="9">
        <v>13816.86</v>
      </c>
      <c r="M741" s="10">
        <v>5</v>
      </c>
      <c r="N741" s="49">
        <v>2483.31</v>
      </c>
      <c r="O741" s="9">
        <v>59.61</v>
      </c>
      <c r="P741" s="7" t="s">
        <v>25</v>
      </c>
      <c r="Q741" s="7" t="s">
        <v>26</v>
      </c>
      <c r="R741" s="28">
        <f t="shared" si="11"/>
        <v>0.17973041631745562</v>
      </c>
    </row>
    <row r="742" spans="1:18" x14ac:dyDescent="0.3">
      <c r="A742" s="3" t="s">
        <v>1346</v>
      </c>
      <c r="B742" s="4">
        <v>45864</v>
      </c>
      <c r="C742" s="3" t="s">
        <v>1179</v>
      </c>
      <c r="D742" s="3" t="s">
        <v>39</v>
      </c>
      <c r="E742" s="3" t="s">
        <v>60</v>
      </c>
      <c r="F742" s="3" t="s">
        <v>72</v>
      </c>
      <c r="G742" s="3" t="s">
        <v>117</v>
      </c>
      <c r="H742" s="3" t="s">
        <v>153</v>
      </c>
      <c r="I742" s="3" t="s">
        <v>154</v>
      </c>
      <c r="J742" s="3">
        <v>5</v>
      </c>
      <c r="K742" s="5">
        <v>2382.86</v>
      </c>
      <c r="L742" s="5">
        <v>11914.3</v>
      </c>
      <c r="M742" s="6">
        <v>0</v>
      </c>
      <c r="N742" s="48">
        <v>2907.49</v>
      </c>
      <c r="O742" s="5">
        <v>397.94</v>
      </c>
      <c r="P742" s="3" t="s">
        <v>25</v>
      </c>
      <c r="Q742" s="3" t="s">
        <v>57</v>
      </c>
      <c r="R742" s="28">
        <f t="shared" si="11"/>
        <v>0.24403364024743376</v>
      </c>
    </row>
    <row r="743" spans="1:18" x14ac:dyDescent="0.3">
      <c r="A743" s="7" t="s">
        <v>1347</v>
      </c>
      <c r="B743" s="8">
        <v>45865</v>
      </c>
      <c r="C743" s="7" t="s">
        <v>674</v>
      </c>
      <c r="D743" s="7" t="s">
        <v>39</v>
      </c>
      <c r="E743" s="7" t="s">
        <v>30</v>
      </c>
      <c r="F743" s="7" t="s">
        <v>31</v>
      </c>
      <c r="G743" s="7" t="s">
        <v>134</v>
      </c>
      <c r="H743" s="7" t="s">
        <v>91</v>
      </c>
      <c r="I743" s="7" t="s">
        <v>188</v>
      </c>
      <c r="J743" s="7">
        <v>1</v>
      </c>
      <c r="K743" s="9">
        <v>957.2</v>
      </c>
      <c r="L743" s="9">
        <v>765.76</v>
      </c>
      <c r="M743" s="10">
        <v>20</v>
      </c>
      <c r="N743" s="49">
        <v>152.76</v>
      </c>
      <c r="O743" s="9">
        <v>181.65</v>
      </c>
      <c r="P743" s="7" t="s">
        <v>64</v>
      </c>
      <c r="Q743" s="7" t="s">
        <v>65</v>
      </c>
      <c r="R743" s="28">
        <f t="shared" si="11"/>
        <v>0.19948809026326786</v>
      </c>
    </row>
    <row r="744" spans="1:18" x14ac:dyDescent="0.3">
      <c r="A744" s="3" t="s">
        <v>1348</v>
      </c>
      <c r="B744" s="4">
        <v>45865</v>
      </c>
      <c r="C744" s="3" t="s">
        <v>401</v>
      </c>
      <c r="D744" s="3" t="s">
        <v>19</v>
      </c>
      <c r="E744" s="3" t="s">
        <v>40</v>
      </c>
      <c r="F744" s="3" t="s">
        <v>109</v>
      </c>
      <c r="G744" s="3" t="s">
        <v>134</v>
      </c>
      <c r="H744" s="3" t="s">
        <v>139</v>
      </c>
      <c r="I744" s="3" t="s">
        <v>147</v>
      </c>
      <c r="J744" s="3">
        <v>1</v>
      </c>
      <c r="K744" s="5">
        <v>2960.3</v>
      </c>
      <c r="L744" s="5">
        <v>2220.23</v>
      </c>
      <c r="M744" s="6">
        <v>25</v>
      </c>
      <c r="N744" s="48">
        <v>99.72</v>
      </c>
      <c r="O744" s="5">
        <v>308.87</v>
      </c>
      <c r="P744" s="3" t="s">
        <v>83</v>
      </c>
      <c r="Q744" s="3" t="s">
        <v>57</v>
      </c>
      <c r="R744" s="28">
        <f t="shared" si="11"/>
        <v>4.4914265639145495E-2</v>
      </c>
    </row>
    <row r="745" spans="1:18" x14ac:dyDescent="0.3">
      <c r="A745" s="7" t="s">
        <v>1349</v>
      </c>
      <c r="B745" s="8">
        <v>45865</v>
      </c>
      <c r="C745" s="7" t="s">
        <v>1132</v>
      </c>
      <c r="D745" s="7" t="s">
        <v>39</v>
      </c>
      <c r="E745" s="7" t="s">
        <v>20</v>
      </c>
      <c r="F745" s="7" t="s">
        <v>129</v>
      </c>
      <c r="G745" s="7" t="s">
        <v>42</v>
      </c>
      <c r="H745" s="7" t="s">
        <v>43</v>
      </c>
      <c r="I745" s="7" t="s">
        <v>751</v>
      </c>
      <c r="J745" s="7">
        <v>1</v>
      </c>
      <c r="K745" s="9">
        <v>655.41</v>
      </c>
      <c r="L745" s="9">
        <v>655.41</v>
      </c>
      <c r="M745" s="10">
        <v>0</v>
      </c>
      <c r="N745" s="49">
        <v>80.41</v>
      </c>
      <c r="O745" s="9">
        <v>201.3</v>
      </c>
      <c r="P745" s="7" t="s">
        <v>35</v>
      </c>
      <c r="Q745" s="7" t="s">
        <v>36</v>
      </c>
      <c r="R745" s="28">
        <f t="shared" si="11"/>
        <v>0.12268656260966418</v>
      </c>
    </row>
    <row r="746" spans="1:18" x14ac:dyDescent="0.3">
      <c r="A746" s="3" t="s">
        <v>1350</v>
      </c>
      <c r="B746" s="4">
        <v>45866</v>
      </c>
      <c r="C746" s="3" t="s">
        <v>926</v>
      </c>
      <c r="D746" s="3" t="s">
        <v>39</v>
      </c>
      <c r="E746" s="3" t="s">
        <v>30</v>
      </c>
      <c r="F746" s="3" t="s">
        <v>48</v>
      </c>
      <c r="G746" s="3" t="s">
        <v>32</v>
      </c>
      <c r="H746" s="3" t="s">
        <v>73</v>
      </c>
      <c r="I746" s="3" t="s">
        <v>74</v>
      </c>
      <c r="J746" s="3">
        <v>2</v>
      </c>
      <c r="K746" s="5">
        <v>11735.22</v>
      </c>
      <c r="L746" s="5">
        <v>19949.87</v>
      </c>
      <c r="M746" s="6">
        <v>15</v>
      </c>
      <c r="N746" s="48">
        <v>2798.11</v>
      </c>
      <c r="O746" s="5">
        <v>295.36</v>
      </c>
      <c r="P746" s="3" t="s">
        <v>45</v>
      </c>
      <c r="Q746" s="3" t="s">
        <v>65</v>
      </c>
      <c r="R746" s="28">
        <f t="shared" si="11"/>
        <v>0.14025705430661956</v>
      </c>
    </row>
    <row r="747" spans="1:18" x14ac:dyDescent="0.3">
      <c r="A747" s="7" t="s">
        <v>1351</v>
      </c>
      <c r="B747" s="8">
        <v>45866</v>
      </c>
      <c r="C747" s="7" t="s">
        <v>1352</v>
      </c>
      <c r="D747" s="7" t="s">
        <v>39</v>
      </c>
      <c r="E747" s="7" t="s">
        <v>30</v>
      </c>
      <c r="F747" s="7" t="s">
        <v>226</v>
      </c>
      <c r="G747" s="7" t="s">
        <v>42</v>
      </c>
      <c r="H747" s="7" t="s">
        <v>172</v>
      </c>
      <c r="I747" s="7" t="s">
        <v>223</v>
      </c>
      <c r="J747" s="7">
        <v>1</v>
      </c>
      <c r="K747" s="9">
        <v>1077.6400000000001</v>
      </c>
      <c r="L747" s="9">
        <v>862.11</v>
      </c>
      <c r="M747" s="10">
        <v>20</v>
      </c>
      <c r="N747" s="49">
        <v>51.45</v>
      </c>
      <c r="O747" s="9">
        <v>230.51</v>
      </c>
      <c r="P747" s="7" t="s">
        <v>45</v>
      </c>
      <c r="Q747" s="7" t="s">
        <v>26</v>
      </c>
      <c r="R747" s="28">
        <f t="shared" si="11"/>
        <v>5.9679159272018653E-2</v>
      </c>
    </row>
    <row r="748" spans="1:18" x14ac:dyDescent="0.3">
      <c r="A748" s="3" t="s">
        <v>1353</v>
      </c>
      <c r="B748" s="4">
        <v>45866</v>
      </c>
      <c r="C748" s="3" t="s">
        <v>1354</v>
      </c>
      <c r="D748" s="3" t="s">
        <v>39</v>
      </c>
      <c r="E748" s="3" t="s">
        <v>60</v>
      </c>
      <c r="F748" s="3" t="s">
        <v>68</v>
      </c>
      <c r="G748" s="3" t="s">
        <v>32</v>
      </c>
      <c r="H748" s="3" t="s">
        <v>143</v>
      </c>
      <c r="I748" s="3" t="s">
        <v>144</v>
      </c>
      <c r="J748" s="3">
        <v>3</v>
      </c>
      <c r="K748" s="5">
        <v>11286.39</v>
      </c>
      <c r="L748" s="5">
        <v>25394.38</v>
      </c>
      <c r="M748" s="6">
        <v>25</v>
      </c>
      <c r="N748" s="48">
        <v>17.100000000000001</v>
      </c>
      <c r="O748" s="5">
        <v>173.49</v>
      </c>
      <c r="P748" s="3" t="s">
        <v>64</v>
      </c>
      <c r="Q748" s="3" t="s">
        <v>65</v>
      </c>
      <c r="R748" s="28">
        <f t="shared" si="11"/>
        <v>6.7337733782041537E-4</v>
      </c>
    </row>
    <row r="749" spans="1:18" x14ac:dyDescent="0.3">
      <c r="A749" s="7" t="s">
        <v>1355</v>
      </c>
      <c r="B749" s="8">
        <v>45866</v>
      </c>
      <c r="C749" s="7" t="s">
        <v>272</v>
      </c>
      <c r="D749" s="7" t="s">
        <v>19</v>
      </c>
      <c r="E749" s="7" t="s">
        <v>20</v>
      </c>
      <c r="F749" s="7" t="s">
        <v>129</v>
      </c>
      <c r="G749" s="7" t="s">
        <v>49</v>
      </c>
      <c r="H749" s="7" t="s">
        <v>98</v>
      </c>
      <c r="I749" s="7" t="s">
        <v>299</v>
      </c>
      <c r="J749" s="7">
        <v>2</v>
      </c>
      <c r="K749" s="9">
        <v>7714.85</v>
      </c>
      <c r="L749" s="9">
        <v>13886.73</v>
      </c>
      <c r="M749" s="10">
        <v>10</v>
      </c>
      <c r="N749" s="49">
        <v>2149.35</v>
      </c>
      <c r="O749" s="9">
        <v>119.31</v>
      </c>
      <c r="P749" s="7" t="s">
        <v>45</v>
      </c>
      <c r="Q749" s="7" t="s">
        <v>26</v>
      </c>
      <c r="R749" s="28">
        <f t="shared" si="11"/>
        <v>0.15477725857707322</v>
      </c>
    </row>
    <row r="750" spans="1:18" x14ac:dyDescent="0.3">
      <c r="A750" s="3" t="s">
        <v>1356</v>
      </c>
      <c r="B750" s="4">
        <v>45867</v>
      </c>
      <c r="C750" s="3" t="s">
        <v>744</v>
      </c>
      <c r="D750" s="3" t="s">
        <v>39</v>
      </c>
      <c r="E750" s="3" t="s">
        <v>40</v>
      </c>
      <c r="F750" s="3" t="s">
        <v>41</v>
      </c>
      <c r="G750" s="3" t="s">
        <v>117</v>
      </c>
      <c r="H750" s="3" t="s">
        <v>118</v>
      </c>
      <c r="I750" s="3" t="s">
        <v>119</v>
      </c>
      <c r="J750" s="3">
        <v>4</v>
      </c>
      <c r="K750" s="5">
        <v>1593.29</v>
      </c>
      <c r="L750" s="5">
        <v>6373.16</v>
      </c>
      <c r="M750" s="6">
        <v>0</v>
      </c>
      <c r="N750" s="48">
        <v>2207.13</v>
      </c>
      <c r="O750" s="5">
        <v>191.67</v>
      </c>
      <c r="P750" s="3" t="s">
        <v>64</v>
      </c>
      <c r="Q750" s="3" t="s">
        <v>26</v>
      </c>
      <c r="R750" s="28">
        <f t="shared" si="11"/>
        <v>0.34631642701579751</v>
      </c>
    </row>
    <row r="751" spans="1:18" x14ac:dyDescent="0.3">
      <c r="A751" s="7" t="s">
        <v>1357</v>
      </c>
      <c r="B751" s="8">
        <v>45868</v>
      </c>
      <c r="C751" s="7" t="s">
        <v>1139</v>
      </c>
      <c r="D751" s="7" t="s">
        <v>39</v>
      </c>
      <c r="E751" s="7" t="s">
        <v>60</v>
      </c>
      <c r="F751" s="7" t="s">
        <v>68</v>
      </c>
      <c r="G751" s="7" t="s">
        <v>22</v>
      </c>
      <c r="H751" s="7" t="s">
        <v>624</v>
      </c>
      <c r="I751" s="7" t="s">
        <v>1215</v>
      </c>
      <c r="J751" s="7">
        <v>4</v>
      </c>
      <c r="K751" s="9">
        <v>28546.63</v>
      </c>
      <c r="L751" s="9">
        <v>114186.52</v>
      </c>
      <c r="M751" s="10">
        <v>0</v>
      </c>
      <c r="N751" s="49">
        <v>9323.17</v>
      </c>
      <c r="O751" s="9">
        <v>120.11</v>
      </c>
      <c r="P751" s="7" t="s">
        <v>25</v>
      </c>
      <c r="Q751" s="7" t="s">
        <v>26</v>
      </c>
      <c r="R751" s="28">
        <f t="shared" si="11"/>
        <v>8.1648604406194356E-2</v>
      </c>
    </row>
    <row r="752" spans="1:18" x14ac:dyDescent="0.3">
      <c r="A752" s="3" t="s">
        <v>1358</v>
      </c>
      <c r="B752" s="4">
        <v>45871</v>
      </c>
      <c r="C752" s="3" t="s">
        <v>807</v>
      </c>
      <c r="D752" s="3" t="s">
        <v>19</v>
      </c>
      <c r="E752" s="3" t="s">
        <v>30</v>
      </c>
      <c r="F752" s="3" t="s">
        <v>226</v>
      </c>
      <c r="G752" s="3" t="s">
        <v>22</v>
      </c>
      <c r="H752" s="3" t="s">
        <v>110</v>
      </c>
      <c r="I752" s="3" t="s">
        <v>542</v>
      </c>
      <c r="J752" s="3">
        <v>1</v>
      </c>
      <c r="K752" s="5">
        <v>38307.5</v>
      </c>
      <c r="L752" s="5">
        <v>36392.120000000003</v>
      </c>
      <c r="M752" s="6">
        <v>5</v>
      </c>
      <c r="N752" s="48">
        <v>6143.79</v>
      </c>
      <c r="O752" s="5">
        <v>195.34</v>
      </c>
      <c r="P752" s="3" t="s">
        <v>25</v>
      </c>
      <c r="Q752" s="3" t="s">
        <v>26</v>
      </c>
      <c r="R752" s="28">
        <f t="shared" si="11"/>
        <v>0.16882198673778828</v>
      </c>
    </row>
    <row r="753" spans="1:18" x14ac:dyDescent="0.3">
      <c r="A753" s="7" t="s">
        <v>1359</v>
      </c>
      <c r="B753" s="8">
        <v>45871</v>
      </c>
      <c r="C753" s="7" t="s">
        <v>1120</v>
      </c>
      <c r="D753" s="7" t="s">
        <v>29</v>
      </c>
      <c r="E753" s="7" t="s">
        <v>40</v>
      </c>
      <c r="F753" s="7" t="s">
        <v>77</v>
      </c>
      <c r="G753" s="7" t="s">
        <v>32</v>
      </c>
      <c r="H753" s="7" t="s">
        <v>86</v>
      </c>
      <c r="I753" s="7" t="s">
        <v>211</v>
      </c>
      <c r="J753" s="7">
        <v>3</v>
      </c>
      <c r="K753" s="9">
        <v>2713.17</v>
      </c>
      <c r="L753" s="9">
        <v>8139.51</v>
      </c>
      <c r="M753" s="10">
        <v>0</v>
      </c>
      <c r="N753" s="49">
        <v>1475.75</v>
      </c>
      <c r="O753" s="9">
        <v>81.790000000000006</v>
      </c>
      <c r="P753" s="7" t="s">
        <v>83</v>
      </c>
      <c r="Q753" s="7" t="s">
        <v>65</v>
      </c>
      <c r="R753" s="28">
        <f t="shared" si="11"/>
        <v>0.18130698285277613</v>
      </c>
    </row>
    <row r="754" spans="1:18" x14ac:dyDescent="0.3">
      <c r="A754" s="3" t="s">
        <v>1360</v>
      </c>
      <c r="B754" s="4">
        <v>45873</v>
      </c>
      <c r="C754" s="3" t="s">
        <v>1318</v>
      </c>
      <c r="D754" s="3" t="s">
        <v>39</v>
      </c>
      <c r="E754" s="3" t="s">
        <v>40</v>
      </c>
      <c r="F754" s="3" t="s">
        <v>109</v>
      </c>
      <c r="G754" s="3" t="s">
        <v>117</v>
      </c>
      <c r="H754" s="3" t="s">
        <v>153</v>
      </c>
      <c r="I754" s="3" t="s">
        <v>284</v>
      </c>
      <c r="J754" s="3">
        <v>1</v>
      </c>
      <c r="K754" s="5">
        <v>350.34</v>
      </c>
      <c r="L754" s="5">
        <v>350.34</v>
      </c>
      <c r="M754" s="6">
        <v>0</v>
      </c>
      <c r="N754" s="48">
        <v>64.17</v>
      </c>
      <c r="O754" s="5">
        <v>186.02</v>
      </c>
      <c r="P754" s="3" t="s">
        <v>64</v>
      </c>
      <c r="Q754" s="3" t="s">
        <v>65</v>
      </c>
      <c r="R754" s="28">
        <f t="shared" si="11"/>
        <v>0.18316492550094196</v>
      </c>
    </row>
    <row r="755" spans="1:18" x14ac:dyDescent="0.3">
      <c r="A755" s="7" t="s">
        <v>1361</v>
      </c>
      <c r="B755" s="8">
        <v>45873</v>
      </c>
      <c r="C755" s="7" t="s">
        <v>1132</v>
      </c>
      <c r="D755" s="7" t="s">
        <v>19</v>
      </c>
      <c r="E755" s="7" t="s">
        <v>20</v>
      </c>
      <c r="F755" s="7" t="s">
        <v>129</v>
      </c>
      <c r="G755" s="7" t="s">
        <v>42</v>
      </c>
      <c r="H755" s="7" t="s">
        <v>81</v>
      </c>
      <c r="I755" s="7" t="s">
        <v>82</v>
      </c>
      <c r="J755" s="7">
        <v>3</v>
      </c>
      <c r="K755" s="9">
        <v>1068.8699999999999</v>
      </c>
      <c r="L755" s="9">
        <v>3206.61</v>
      </c>
      <c r="M755" s="10">
        <v>0</v>
      </c>
      <c r="N755" s="49">
        <v>410.67</v>
      </c>
      <c r="O755" s="9">
        <v>234.59</v>
      </c>
      <c r="P755" s="7" t="s">
        <v>45</v>
      </c>
      <c r="Q755" s="7" t="s">
        <v>36</v>
      </c>
      <c r="R755" s="28">
        <f t="shared" si="11"/>
        <v>0.12806983075584497</v>
      </c>
    </row>
    <row r="756" spans="1:18" x14ac:dyDescent="0.3">
      <c r="A756" s="3" t="s">
        <v>1362</v>
      </c>
      <c r="B756" s="4">
        <v>45873</v>
      </c>
      <c r="C756" s="3" t="s">
        <v>1363</v>
      </c>
      <c r="D756" s="3" t="s">
        <v>19</v>
      </c>
      <c r="E756" s="3" t="s">
        <v>20</v>
      </c>
      <c r="F756" s="3" t="s">
        <v>21</v>
      </c>
      <c r="G756" s="3" t="s">
        <v>49</v>
      </c>
      <c r="H756" s="3" t="s">
        <v>91</v>
      </c>
      <c r="I756" s="3" t="s">
        <v>168</v>
      </c>
      <c r="J756" s="3">
        <v>3</v>
      </c>
      <c r="K756" s="5">
        <v>2529.86</v>
      </c>
      <c r="L756" s="5">
        <v>6071.66</v>
      </c>
      <c r="M756" s="6">
        <v>20</v>
      </c>
      <c r="N756" s="48">
        <v>508.71</v>
      </c>
      <c r="O756" s="5">
        <v>208.06</v>
      </c>
      <c r="P756" s="3" t="s">
        <v>64</v>
      </c>
      <c r="Q756" s="3" t="s">
        <v>26</v>
      </c>
      <c r="R756" s="28">
        <f t="shared" si="11"/>
        <v>8.3784335750025529E-2</v>
      </c>
    </row>
    <row r="757" spans="1:18" x14ac:dyDescent="0.3">
      <c r="A757" s="7" t="s">
        <v>1364</v>
      </c>
      <c r="B757" s="8">
        <v>45874</v>
      </c>
      <c r="C757" s="7" t="s">
        <v>544</v>
      </c>
      <c r="D757" s="7" t="s">
        <v>29</v>
      </c>
      <c r="E757" s="7" t="s">
        <v>30</v>
      </c>
      <c r="F757" s="7" t="s">
        <v>31</v>
      </c>
      <c r="G757" s="7" t="s">
        <v>32</v>
      </c>
      <c r="H757" s="7" t="s">
        <v>73</v>
      </c>
      <c r="I757" s="7" t="s">
        <v>114</v>
      </c>
      <c r="J757" s="7">
        <v>4</v>
      </c>
      <c r="K757" s="9">
        <v>11237.93</v>
      </c>
      <c r="L757" s="9">
        <v>44951.72</v>
      </c>
      <c r="M757" s="10">
        <v>0</v>
      </c>
      <c r="N757" s="49">
        <v>8597.61</v>
      </c>
      <c r="O757" s="9">
        <v>276.54000000000002</v>
      </c>
      <c r="P757" s="7" t="s">
        <v>25</v>
      </c>
      <c r="Q757" s="7" t="s">
        <v>36</v>
      </c>
      <c r="R757" s="28">
        <f t="shared" si="11"/>
        <v>0.19126320416660364</v>
      </c>
    </row>
    <row r="758" spans="1:18" x14ac:dyDescent="0.3">
      <c r="A758" s="3" t="s">
        <v>1365</v>
      </c>
      <c r="B758" s="4">
        <v>45875</v>
      </c>
      <c r="C758" s="3" t="s">
        <v>604</v>
      </c>
      <c r="D758" s="3" t="s">
        <v>39</v>
      </c>
      <c r="E758" s="3" t="s">
        <v>20</v>
      </c>
      <c r="F758" s="3" t="s">
        <v>21</v>
      </c>
      <c r="G758" s="3" t="s">
        <v>117</v>
      </c>
      <c r="H758" s="3" t="s">
        <v>118</v>
      </c>
      <c r="I758" s="3" t="s">
        <v>119</v>
      </c>
      <c r="J758" s="3">
        <v>2</v>
      </c>
      <c r="K758" s="5">
        <v>767.36</v>
      </c>
      <c r="L758" s="5">
        <v>1304.51</v>
      </c>
      <c r="M758" s="6">
        <v>15</v>
      </c>
      <c r="N758" s="48">
        <v>232.67</v>
      </c>
      <c r="O758" s="5">
        <v>277.47000000000003</v>
      </c>
      <c r="P758" s="3" t="s">
        <v>64</v>
      </c>
      <c r="Q758" s="3" t="s">
        <v>65</v>
      </c>
      <c r="R758" s="28">
        <f t="shared" si="11"/>
        <v>0.17835815746908801</v>
      </c>
    </row>
    <row r="759" spans="1:18" x14ac:dyDescent="0.3">
      <c r="A759" s="7" t="s">
        <v>1366</v>
      </c>
      <c r="B759" s="8">
        <v>45876</v>
      </c>
      <c r="C759" s="7" t="s">
        <v>918</v>
      </c>
      <c r="D759" s="7" t="s">
        <v>19</v>
      </c>
      <c r="E759" s="7" t="s">
        <v>60</v>
      </c>
      <c r="F759" s="7" t="s">
        <v>72</v>
      </c>
      <c r="G759" s="7" t="s">
        <v>42</v>
      </c>
      <c r="H759" s="7" t="s">
        <v>81</v>
      </c>
      <c r="I759" s="7" t="s">
        <v>431</v>
      </c>
      <c r="J759" s="7">
        <v>1</v>
      </c>
      <c r="K759" s="9">
        <v>264.94</v>
      </c>
      <c r="L759" s="9">
        <v>225.2</v>
      </c>
      <c r="M759" s="10">
        <v>15</v>
      </c>
      <c r="N759" s="49">
        <v>2.78</v>
      </c>
      <c r="O759" s="9">
        <v>336.05</v>
      </c>
      <c r="P759" s="7" t="s">
        <v>64</v>
      </c>
      <c r="Q759" s="7" t="s">
        <v>26</v>
      </c>
      <c r="R759" s="28">
        <f t="shared" si="11"/>
        <v>1.2344582593250443E-2</v>
      </c>
    </row>
    <row r="760" spans="1:18" x14ac:dyDescent="0.3">
      <c r="A760" s="3" t="s">
        <v>1367</v>
      </c>
      <c r="B760" s="4">
        <v>45878</v>
      </c>
      <c r="C760" s="3" t="s">
        <v>312</v>
      </c>
      <c r="D760" s="3" t="s">
        <v>39</v>
      </c>
      <c r="E760" s="3" t="s">
        <v>30</v>
      </c>
      <c r="F760" s="3" t="s">
        <v>48</v>
      </c>
      <c r="G760" s="3" t="s">
        <v>134</v>
      </c>
      <c r="H760" s="3" t="s">
        <v>91</v>
      </c>
      <c r="I760" s="3" t="s">
        <v>188</v>
      </c>
      <c r="J760" s="3">
        <v>4</v>
      </c>
      <c r="K760" s="5">
        <v>2789.93</v>
      </c>
      <c r="L760" s="5">
        <v>10043.75</v>
      </c>
      <c r="M760" s="6">
        <v>10</v>
      </c>
      <c r="N760" s="48">
        <v>1877.58</v>
      </c>
      <c r="O760" s="5">
        <v>188.58</v>
      </c>
      <c r="P760" s="3" t="s">
        <v>45</v>
      </c>
      <c r="Q760" s="3" t="s">
        <v>57</v>
      </c>
      <c r="R760" s="28">
        <f t="shared" si="11"/>
        <v>0.18694013690105787</v>
      </c>
    </row>
    <row r="761" spans="1:18" x14ac:dyDescent="0.3">
      <c r="A761" s="7" t="s">
        <v>1368</v>
      </c>
      <c r="B761" s="8">
        <v>45879</v>
      </c>
      <c r="C761" s="7" t="s">
        <v>1369</v>
      </c>
      <c r="D761" s="7" t="s">
        <v>39</v>
      </c>
      <c r="E761" s="7" t="s">
        <v>20</v>
      </c>
      <c r="F761" s="7" t="s">
        <v>54</v>
      </c>
      <c r="G761" s="7" t="s">
        <v>32</v>
      </c>
      <c r="H761" s="7" t="s">
        <v>86</v>
      </c>
      <c r="I761" s="7" t="s">
        <v>211</v>
      </c>
      <c r="J761" s="7">
        <v>1</v>
      </c>
      <c r="K761" s="9">
        <v>8381.15</v>
      </c>
      <c r="L761" s="9">
        <v>7123.98</v>
      </c>
      <c r="M761" s="10">
        <v>15</v>
      </c>
      <c r="N761" s="49">
        <v>927.48</v>
      </c>
      <c r="O761" s="9">
        <v>297.83</v>
      </c>
      <c r="P761" s="7" t="s">
        <v>25</v>
      </c>
      <c r="Q761" s="7" t="s">
        <v>36</v>
      </c>
      <c r="R761" s="28">
        <f t="shared" si="11"/>
        <v>0.13019126948700024</v>
      </c>
    </row>
    <row r="762" spans="1:18" x14ac:dyDescent="0.3">
      <c r="A762" s="3" t="s">
        <v>1370</v>
      </c>
      <c r="B762" s="4">
        <v>45879</v>
      </c>
      <c r="C762" s="3" t="s">
        <v>128</v>
      </c>
      <c r="D762" s="3" t="s">
        <v>19</v>
      </c>
      <c r="E762" s="3" t="s">
        <v>60</v>
      </c>
      <c r="F762" s="3" t="s">
        <v>68</v>
      </c>
      <c r="G762" s="3" t="s">
        <v>42</v>
      </c>
      <c r="H762" s="3" t="s">
        <v>43</v>
      </c>
      <c r="I762" s="3" t="s">
        <v>751</v>
      </c>
      <c r="J762" s="3">
        <v>1</v>
      </c>
      <c r="K762" s="5">
        <v>1186</v>
      </c>
      <c r="L762" s="5">
        <v>1008.1</v>
      </c>
      <c r="M762" s="6">
        <v>15</v>
      </c>
      <c r="N762" s="48">
        <v>60.3</v>
      </c>
      <c r="O762" s="5">
        <v>227.81</v>
      </c>
      <c r="P762" s="3" t="s">
        <v>35</v>
      </c>
      <c r="Q762" s="3" t="s">
        <v>26</v>
      </c>
      <c r="R762" s="28">
        <f t="shared" si="11"/>
        <v>5.9815494494593786E-2</v>
      </c>
    </row>
    <row r="763" spans="1:18" x14ac:dyDescent="0.3">
      <c r="A763" s="7" t="s">
        <v>1371</v>
      </c>
      <c r="B763" s="8">
        <v>45879</v>
      </c>
      <c r="C763" s="7" t="s">
        <v>809</v>
      </c>
      <c r="D763" s="7" t="s">
        <v>19</v>
      </c>
      <c r="E763" s="7" t="s">
        <v>40</v>
      </c>
      <c r="F763" s="7" t="s">
        <v>90</v>
      </c>
      <c r="G763" s="7" t="s">
        <v>32</v>
      </c>
      <c r="H763" s="7" t="s">
        <v>73</v>
      </c>
      <c r="I763" s="7" t="s">
        <v>74</v>
      </c>
      <c r="J763" s="7">
        <v>3</v>
      </c>
      <c r="K763" s="9">
        <v>1712.07</v>
      </c>
      <c r="L763" s="9">
        <v>4622.59</v>
      </c>
      <c r="M763" s="10">
        <v>10</v>
      </c>
      <c r="N763" s="49">
        <v>697.56</v>
      </c>
      <c r="O763" s="9">
        <v>324.58999999999997</v>
      </c>
      <c r="P763" s="7" t="s">
        <v>35</v>
      </c>
      <c r="Q763" s="7" t="s">
        <v>26</v>
      </c>
      <c r="R763" s="28">
        <f t="shared" si="11"/>
        <v>0.1509024161779435</v>
      </c>
    </row>
    <row r="764" spans="1:18" x14ac:dyDescent="0.3">
      <c r="A764" s="3" t="s">
        <v>1372</v>
      </c>
      <c r="B764" s="4">
        <v>45880</v>
      </c>
      <c r="C764" s="3" t="s">
        <v>563</v>
      </c>
      <c r="D764" s="3" t="s">
        <v>19</v>
      </c>
      <c r="E764" s="3" t="s">
        <v>30</v>
      </c>
      <c r="F764" s="3" t="s">
        <v>226</v>
      </c>
      <c r="G764" s="3" t="s">
        <v>42</v>
      </c>
      <c r="H764" s="3" t="s">
        <v>43</v>
      </c>
      <c r="I764" s="3" t="s">
        <v>208</v>
      </c>
      <c r="J764" s="3">
        <v>3</v>
      </c>
      <c r="K764" s="5">
        <v>682.84</v>
      </c>
      <c r="L764" s="5">
        <v>1946.09</v>
      </c>
      <c r="M764" s="6">
        <v>5</v>
      </c>
      <c r="N764" s="48">
        <v>295.7</v>
      </c>
      <c r="O764" s="5">
        <v>62.04</v>
      </c>
      <c r="P764" s="3" t="s">
        <v>35</v>
      </c>
      <c r="Q764" s="3" t="s">
        <v>65</v>
      </c>
      <c r="R764" s="28">
        <f t="shared" si="11"/>
        <v>0.15194569624220874</v>
      </c>
    </row>
    <row r="765" spans="1:18" x14ac:dyDescent="0.3">
      <c r="A765" s="7" t="s">
        <v>1373</v>
      </c>
      <c r="B765" s="8">
        <v>45880</v>
      </c>
      <c r="C765" s="7" t="s">
        <v>1374</v>
      </c>
      <c r="D765" s="7" t="s">
        <v>19</v>
      </c>
      <c r="E765" s="7" t="s">
        <v>20</v>
      </c>
      <c r="F765" s="7" t="s">
        <v>129</v>
      </c>
      <c r="G765" s="7" t="s">
        <v>134</v>
      </c>
      <c r="H765" s="7" t="s">
        <v>244</v>
      </c>
      <c r="I765" s="7" t="s">
        <v>270</v>
      </c>
      <c r="J765" s="7">
        <v>2</v>
      </c>
      <c r="K765" s="9">
        <v>2793.88</v>
      </c>
      <c r="L765" s="9">
        <v>5587.76</v>
      </c>
      <c r="M765" s="10">
        <v>0</v>
      </c>
      <c r="N765" s="49">
        <v>901.34</v>
      </c>
      <c r="O765" s="9">
        <v>229.19</v>
      </c>
      <c r="P765" s="7" t="s">
        <v>25</v>
      </c>
      <c r="Q765" s="7" t="s">
        <v>65</v>
      </c>
      <c r="R765" s="28">
        <f t="shared" si="11"/>
        <v>0.16130614056437642</v>
      </c>
    </row>
    <row r="766" spans="1:18" x14ac:dyDescent="0.3">
      <c r="A766" s="3" t="s">
        <v>1375</v>
      </c>
      <c r="B766" s="4">
        <v>45881</v>
      </c>
      <c r="C766" s="3" t="s">
        <v>1290</v>
      </c>
      <c r="D766" s="3" t="s">
        <v>39</v>
      </c>
      <c r="E766" s="3" t="s">
        <v>40</v>
      </c>
      <c r="F766" s="3" t="s">
        <v>77</v>
      </c>
      <c r="G766" s="3" t="s">
        <v>117</v>
      </c>
      <c r="H766" s="3" t="s">
        <v>125</v>
      </c>
      <c r="I766" s="3" t="s">
        <v>196</v>
      </c>
      <c r="J766" s="3">
        <v>2</v>
      </c>
      <c r="K766" s="5">
        <v>2299.65</v>
      </c>
      <c r="L766" s="5">
        <v>4139.37</v>
      </c>
      <c r="M766" s="6">
        <v>10</v>
      </c>
      <c r="N766" s="48">
        <v>643.72</v>
      </c>
      <c r="O766" s="5">
        <v>89.67</v>
      </c>
      <c r="P766" s="3" t="s">
        <v>45</v>
      </c>
      <c r="Q766" s="3" t="s">
        <v>36</v>
      </c>
      <c r="R766" s="28">
        <f t="shared" si="11"/>
        <v>0.15551158751210933</v>
      </c>
    </row>
    <row r="767" spans="1:18" x14ac:dyDescent="0.3">
      <c r="A767" s="7" t="s">
        <v>1376</v>
      </c>
      <c r="B767" s="8">
        <v>45882</v>
      </c>
      <c r="C767" s="7" t="s">
        <v>910</v>
      </c>
      <c r="D767" s="7" t="s">
        <v>29</v>
      </c>
      <c r="E767" s="7" t="s">
        <v>40</v>
      </c>
      <c r="F767" s="7" t="s">
        <v>77</v>
      </c>
      <c r="G767" s="7" t="s">
        <v>134</v>
      </c>
      <c r="H767" s="7" t="s">
        <v>244</v>
      </c>
      <c r="I767" s="7" t="s">
        <v>334</v>
      </c>
      <c r="J767" s="7">
        <v>1</v>
      </c>
      <c r="K767" s="9">
        <v>788</v>
      </c>
      <c r="L767" s="9">
        <v>748.6</v>
      </c>
      <c r="M767" s="10">
        <v>5</v>
      </c>
      <c r="N767" s="49">
        <v>167.37</v>
      </c>
      <c r="O767" s="9">
        <v>222.35</v>
      </c>
      <c r="P767" s="7" t="s">
        <v>64</v>
      </c>
      <c r="Q767" s="7" t="s">
        <v>65</v>
      </c>
      <c r="R767" s="28">
        <f t="shared" si="11"/>
        <v>0.22357734437616886</v>
      </c>
    </row>
    <row r="768" spans="1:18" x14ac:dyDescent="0.3">
      <c r="A768" s="3" t="s">
        <v>1377</v>
      </c>
      <c r="B768" s="4">
        <v>45886</v>
      </c>
      <c r="C768" s="3" t="s">
        <v>744</v>
      </c>
      <c r="D768" s="3" t="s">
        <v>39</v>
      </c>
      <c r="E768" s="3" t="s">
        <v>60</v>
      </c>
      <c r="F768" s="3" t="s">
        <v>104</v>
      </c>
      <c r="G768" s="3" t="s">
        <v>117</v>
      </c>
      <c r="H768" s="3" t="s">
        <v>125</v>
      </c>
      <c r="I768" s="3" t="s">
        <v>454</v>
      </c>
      <c r="J768" s="3">
        <v>3</v>
      </c>
      <c r="K768" s="5">
        <v>1644.38</v>
      </c>
      <c r="L768" s="5">
        <v>4193.17</v>
      </c>
      <c r="M768" s="6">
        <v>15</v>
      </c>
      <c r="N768" s="48">
        <v>657.74</v>
      </c>
      <c r="O768" s="5">
        <v>119.81</v>
      </c>
      <c r="P768" s="3" t="s">
        <v>83</v>
      </c>
      <c r="Q768" s="3" t="s">
        <v>26</v>
      </c>
      <c r="R768" s="28">
        <f t="shared" si="11"/>
        <v>0.15685984589224858</v>
      </c>
    </row>
    <row r="769" spans="1:18" x14ac:dyDescent="0.3">
      <c r="A769" s="7" t="s">
        <v>1378</v>
      </c>
      <c r="B769" s="8">
        <v>45887</v>
      </c>
      <c r="C769" s="7" t="s">
        <v>780</v>
      </c>
      <c r="D769" s="7" t="s">
        <v>39</v>
      </c>
      <c r="E769" s="7" t="s">
        <v>60</v>
      </c>
      <c r="F769" s="7" t="s">
        <v>72</v>
      </c>
      <c r="G769" s="7" t="s">
        <v>32</v>
      </c>
      <c r="H769" s="7" t="s">
        <v>86</v>
      </c>
      <c r="I769" s="7" t="s">
        <v>87</v>
      </c>
      <c r="J769" s="7">
        <v>1</v>
      </c>
      <c r="K769" s="9">
        <v>6954.99</v>
      </c>
      <c r="L769" s="9">
        <v>6954.99</v>
      </c>
      <c r="M769" s="10">
        <v>0</v>
      </c>
      <c r="N769" s="49">
        <v>1249.69</v>
      </c>
      <c r="O769" s="9">
        <v>33.869999999999997</v>
      </c>
      <c r="P769" s="7" t="s">
        <v>35</v>
      </c>
      <c r="Q769" s="7" t="s">
        <v>26</v>
      </c>
      <c r="R769" s="28">
        <f t="shared" si="11"/>
        <v>0.17968250134076399</v>
      </c>
    </row>
    <row r="770" spans="1:18" x14ac:dyDescent="0.3">
      <c r="A770" s="3" t="s">
        <v>1379</v>
      </c>
      <c r="B770" s="4">
        <v>45889</v>
      </c>
      <c r="C770" s="3" t="s">
        <v>935</v>
      </c>
      <c r="D770" s="3" t="s">
        <v>39</v>
      </c>
      <c r="E770" s="3" t="s">
        <v>40</v>
      </c>
      <c r="F770" s="3" t="s">
        <v>77</v>
      </c>
      <c r="G770" s="3" t="s">
        <v>134</v>
      </c>
      <c r="H770" s="3" t="s">
        <v>139</v>
      </c>
      <c r="I770" s="3" t="s">
        <v>220</v>
      </c>
      <c r="J770" s="3">
        <v>2</v>
      </c>
      <c r="K770" s="5">
        <v>4348.05</v>
      </c>
      <c r="L770" s="5">
        <v>8696.1</v>
      </c>
      <c r="M770" s="6">
        <v>0</v>
      </c>
      <c r="N770" s="48">
        <v>1775.46</v>
      </c>
      <c r="O770" s="5">
        <v>124.55</v>
      </c>
      <c r="P770" s="3" t="s">
        <v>83</v>
      </c>
      <c r="Q770" s="3" t="s">
        <v>26</v>
      </c>
      <c r="R770" s="28">
        <f t="shared" si="11"/>
        <v>0.20416738537965295</v>
      </c>
    </row>
    <row r="771" spans="1:18" x14ac:dyDescent="0.3">
      <c r="A771" s="7" t="s">
        <v>1380</v>
      </c>
      <c r="B771" s="8">
        <v>45893</v>
      </c>
      <c r="C771" s="7" t="s">
        <v>1381</v>
      </c>
      <c r="D771" s="7" t="s">
        <v>39</v>
      </c>
      <c r="E771" s="7" t="s">
        <v>20</v>
      </c>
      <c r="F771" s="7" t="s">
        <v>129</v>
      </c>
      <c r="G771" s="7" t="s">
        <v>49</v>
      </c>
      <c r="H771" s="7" t="s">
        <v>98</v>
      </c>
      <c r="I771" s="7" t="s">
        <v>299</v>
      </c>
      <c r="J771" s="7">
        <v>1</v>
      </c>
      <c r="K771" s="9">
        <v>5340.15</v>
      </c>
      <c r="L771" s="9">
        <v>4539.13</v>
      </c>
      <c r="M771" s="10">
        <v>15</v>
      </c>
      <c r="N771" s="49">
        <v>492.85</v>
      </c>
      <c r="O771" s="9">
        <v>251.72</v>
      </c>
      <c r="P771" s="7" t="s">
        <v>25</v>
      </c>
      <c r="Q771" s="7" t="s">
        <v>57</v>
      </c>
      <c r="R771" s="28">
        <f t="shared" ref="R771:R834" si="12">N771/L771</f>
        <v>0.10857807553429842</v>
      </c>
    </row>
    <row r="772" spans="1:18" x14ac:dyDescent="0.3">
      <c r="A772" s="3" t="s">
        <v>1382</v>
      </c>
      <c r="B772" s="4">
        <v>45893</v>
      </c>
      <c r="C772" s="3" t="s">
        <v>1383</v>
      </c>
      <c r="D772" s="3" t="s">
        <v>29</v>
      </c>
      <c r="E772" s="3" t="s">
        <v>20</v>
      </c>
      <c r="F772" s="3" t="s">
        <v>129</v>
      </c>
      <c r="G772" s="3" t="s">
        <v>117</v>
      </c>
      <c r="H772" s="3" t="s">
        <v>130</v>
      </c>
      <c r="I772" s="3" t="s">
        <v>326</v>
      </c>
      <c r="J772" s="3">
        <v>1</v>
      </c>
      <c r="K772" s="5">
        <v>1551.87</v>
      </c>
      <c r="L772" s="5">
        <v>1396.68</v>
      </c>
      <c r="M772" s="6">
        <v>10</v>
      </c>
      <c r="N772" s="48">
        <v>273.13</v>
      </c>
      <c r="O772" s="5">
        <v>137.04</v>
      </c>
      <c r="P772" s="3" t="s">
        <v>64</v>
      </c>
      <c r="Q772" s="3" t="s">
        <v>65</v>
      </c>
      <c r="R772" s="28">
        <f t="shared" si="12"/>
        <v>0.19555660566486238</v>
      </c>
    </row>
    <row r="773" spans="1:18" x14ac:dyDescent="0.3">
      <c r="A773" s="7" t="s">
        <v>1384</v>
      </c>
      <c r="B773" s="8">
        <v>45895</v>
      </c>
      <c r="C773" s="7" t="s">
        <v>1029</v>
      </c>
      <c r="D773" s="7" t="s">
        <v>39</v>
      </c>
      <c r="E773" s="7" t="s">
        <v>60</v>
      </c>
      <c r="F773" s="7" t="s">
        <v>72</v>
      </c>
      <c r="G773" s="7" t="s">
        <v>117</v>
      </c>
      <c r="H773" s="7" t="s">
        <v>130</v>
      </c>
      <c r="I773" s="7" t="s">
        <v>310</v>
      </c>
      <c r="J773" s="7">
        <v>5</v>
      </c>
      <c r="K773" s="9">
        <v>747.82</v>
      </c>
      <c r="L773" s="9">
        <v>3739.1</v>
      </c>
      <c r="M773" s="10">
        <v>0</v>
      </c>
      <c r="N773" s="49">
        <v>1002.02</v>
      </c>
      <c r="O773" s="9">
        <v>321.13</v>
      </c>
      <c r="P773" s="7" t="s">
        <v>83</v>
      </c>
      <c r="Q773" s="7" t="s">
        <v>57</v>
      </c>
      <c r="R773" s="28">
        <f t="shared" si="12"/>
        <v>0.26798427429060467</v>
      </c>
    </row>
    <row r="774" spans="1:18" x14ac:dyDescent="0.3">
      <c r="A774" s="3" t="s">
        <v>1385</v>
      </c>
      <c r="B774" s="4">
        <v>45897</v>
      </c>
      <c r="C774" s="3" t="s">
        <v>1386</v>
      </c>
      <c r="D774" s="3" t="s">
        <v>39</v>
      </c>
      <c r="E774" s="3" t="s">
        <v>20</v>
      </c>
      <c r="F774" s="3" t="s">
        <v>21</v>
      </c>
      <c r="G774" s="3" t="s">
        <v>134</v>
      </c>
      <c r="H774" s="3" t="s">
        <v>135</v>
      </c>
      <c r="I774" s="3" t="s">
        <v>136</v>
      </c>
      <c r="J774" s="3">
        <v>1</v>
      </c>
      <c r="K774" s="5">
        <v>1158.68</v>
      </c>
      <c r="L774" s="5">
        <v>984.88</v>
      </c>
      <c r="M774" s="6">
        <v>15</v>
      </c>
      <c r="N774" s="48">
        <v>134.99</v>
      </c>
      <c r="O774" s="5">
        <v>226.84</v>
      </c>
      <c r="P774" s="3" t="s">
        <v>64</v>
      </c>
      <c r="Q774" s="3" t="s">
        <v>26</v>
      </c>
      <c r="R774" s="28">
        <f t="shared" si="12"/>
        <v>0.13706238323450573</v>
      </c>
    </row>
    <row r="775" spans="1:18" x14ac:dyDescent="0.3">
      <c r="A775" s="7" t="s">
        <v>1387</v>
      </c>
      <c r="B775" s="8">
        <v>45897</v>
      </c>
      <c r="C775" s="7" t="s">
        <v>281</v>
      </c>
      <c r="D775" s="7" t="s">
        <v>39</v>
      </c>
      <c r="E775" s="7" t="s">
        <v>40</v>
      </c>
      <c r="F775" s="7" t="s">
        <v>109</v>
      </c>
      <c r="G775" s="7" t="s">
        <v>134</v>
      </c>
      <c r="H775" s="7" t="s">
        <v>91</v>
      </c>
      <c r="I775" s="7" t="s">
        <v>206</v>
      </c>
      <c r="J775" s="7">
        <v>2</v>
      </c>
      <c r="K775" s="9">
        <v>1017.73</v>
      </c>
      <c r="L775" s="9">
        <v>1526.6</v>
      </c>
      <c r="M775" s="10">
        <v>25</v>
      </c>
      <c r="N775" s="49">
        <v>117.95</v>
      </c>
      <c r="O775" s="9">
        <v>258.97000000000003</v>
      </c>
      <c r="P775" s="7" t="s">
        <v>83</v>
      </c>
      <c r="Q775" s="7" t="s">
        <v>57</v>
      </c>
      <c r="R775" s="28">
        <f t="shared" si="12"/>
        <v>7.7263199266343521E-2</v>
      </c>
    </row>
    <row r="776" spans="1:18" x14ac:dyDescent="0.3">
      <c r="A776" s="3" t="s">
        <v>1388</v>
      </c>
      <c r="B776" s="4">
        <v>45898</v>
      </c>
      <c r="C776" s="3" t="s">
        <v>729</v>
      </c>
      <c r="D776" s="3" t="s">
        <v>39</v>
      </c>
      <c r="E776" s="3" t="s">
        <v>40</v>
      </c>
      <c r="F776" s="3" t="s">
        <v>109</v>
      </c>
      <c r="G776" s="3" t="s">
        <v>117</v>
      </c>
      <c r="H776" s="3" t="s">
        <v>130</v>
      </c>
      <c r="I776" s="3" t="s">
        <v>391</v>
      </c>
      <c r="J776" s="3">
        <v>1</v>
      </c>
      <c r="K776" s="5">
        <v>1067.7</v>
      </c>
      <c r="L776" s="5">
        <v>907.54</v>
      </c>
      <c r="M776" s="6">
        <v>15</v>
      </c>
      <c r="N776" s="48">
        <v>177.44</v>
      </c>
      <c r="O776" s="5">
        <v>137.69999999999999</v>
      </c>
      <c r="P776" s="3" t="s">
        <v>64</v>
      </c>
      <c r="Q776" s="3" t="s">
        <v>26</v>
      </c>
      <c r="R776" s="28">
        <f t="shared" si="12"/>
        <v>0.19551755294532472</v>
      </c>
    </row>
    <row r="777" spans="1:18" x14ac:dyDescent="0.3">
      <c r="A777" s="7" t="s">
        <v>1389</v>
      </c>
      <c r="B777" s="8">
        <v>45898</v>
      </c>
      <c r="C777" s="7" t="s">
        <v>681</v>
      </c>
      <c r="D777" s="7" t="s">
        <v>29</v>
      </c>
      <c r="E777" s="7" t="s">
        <v>40</v>
      </c>
      <c r="F777" s="7" t="s">
        <v>41</v>
      </c>
      <c r="G777" s="7" t="s">
        <v>49</v>
      </c>
      <c r="H777" s="7" t="s">
        <v>62</v>
      </c>
      <c r="I777" s="7" t="s">
        <v>424</v>
      </c>
      <c r="J777" s="7">
        <v>3</v>
      </c>
      <c r="K777" s="9">
        <v>14467.03</v>
      </c>
      <c r="L777" s="9">
        <v>39060.980000000003</v>
      </c>
      <c r="M777" s="10">
        <v>10</v>
      </c>
      <c r="N777" s="49">
        <v>4584.8599999999997</v>
      </c>
      <c r="O777" s="9">
        <v>183.23</v>
      </c>
      <c r="P777" s="7" t="s">
        <v>64</v>
      </c>
      <c r="Q777" s="7" t="s">
        <v>36</v>
      </c>
      <c r="R777" s="28">
        <f t="shared" si="12"/>
        <v>0.11737698337317699</v>
      </c>
    </row>
    <row r="778" spans="1:18" x14ac:dyDescent="0.3">
      <c r="A778" s="3" t="s">
        <v>1390</v>
      </c>
      <c r="B778" s="4">
        <v>45900</v>
      </c>
      <c r="C778" s="3" t="s">
        <v>578</v>
      </c>
      <c r="D778" s="3" t="s">
        <v>39</v>
      </c>
      <c r="E778" s="3" t="s">
        <v>40</v>
      </c>
      <c r="F778" s="3" t="s">
        <v>41</v>
      </c>
      <c r="G778" s="3" t="s">
        <v>32</v>
      </c>
      <c r="H778" s="3" t="s">
        <v>73</v>
      </c>
      <c r="I778" s="3" t="s">
        <v>214</v>
      </c>
      <c r="J778" s="3">
        <v>2</v>
      </c>
      <c r="K778" s="5">
        <v>6309.3</v>
      </c>
      <c r="L778" s="5">
        <v>11987.67</v>
      </c>
      <c r="M778" s="6">
        <v>5</v>
      </c>
      <c r="N778" s="48">
        <v>878.52</v>
      </c>
      <c r="O778" s="5">
        <v>244.65</v>
      </c>
      <c r="P778" s="3" t="s">
        <v>25</v>
      </c>
      <c r="Q778" s="3" t="s">
        <v>36</v>
      </c>
      <c r="R778" s="28">
        <f t="shared" si="12"/>
        <v>7.3285300646414184E-2</v>
      </c>
    </row>
    <row r="779" spans="1:18" x14ac:dyDescent="0.3">
      <c r="A779" s="7" t="s">
        <v>1391</v>
      </c>
      <c r="B779" s="8">
        <v>45901</v>
      </c>
      <c r="C779" s="7" t="s">
        <v>178</v>
      </c>
      <c r="D779" s="7" t="s">
        <v>29</v>
      </c>
      <c r="E779" s="7" t="s">
        <v>20</v>
      </c>
      <c r="F779" s="7" t="s">
        <v>129</v>
      </c>
      <c r="G779" s="7" t="s">
        <v>49</v>
      </c>
      <c r="H779" s="7" t="s">
        <v>98</v>
      </c>
      <c r="I779" s="7" t="s">
        <v>299</v>
      </c>
      <c r="J779" s="7">
        <v>2</v>
      </c>
      <c r="K779" s="9">
        <v>12428.51</v>
      </c>
      <c r="L779" s="9">
        <v>22371.32</v>
      </c>
      <c r="M779" s="10">
        <v>10</v>
      </c>
      <c r="N779" s="49">
        <v>3393.76</v>
      </c>
      <c r="O779" s="9">
        <v>217.89</v>
      </c>
      <c r="P779" s="7" t="s">
        <v>64</v>
      </c>
      <c r="Q779" s="7" t="s">
        <v>57</v>
      </c>
      <c r="R779" s="28">
        <f t="shared" si="12"/>
        <v>0.15170137479594412</v>
      </c>
    </row>
    <row r="780" spans="1:18" x14ac:dyDescent="0.3">
      <c r="A780" s="3" t="s">
        <v>1392</v>
      </c>
      <c r="B780" s="4">
        <v>45901</v>
      </c>
      <c r="C780" s="3" t="s">
        <v>1041</v>
      </c>
      <c r="D780" s="3" t="s">
        <v>39</v>
      </c>
      <c r="E780" s="3" t="s">
        <v>30</v>
      </c>
      <c r="F780" s="3" t="s">
        <v>48</v>
      </c>
      <c r="G780" s="3" t="s">
        <v>32</v>
      </c>
      <c r="H780" s="3" t="s">
        <v>86</v>
      </c>
      <c r="I780" s="3" t="s">
        <v>211</v>
      </c>
      <c r="J780" s="3">
        <v>1</v>
      </c>
      <c r="K780" s="5">
        <v>4733.24</v>
      </c>
      <c r="L780" s="5">
        <v>4023.25</v>
      </c>
      <c r="M780" s="6">
        <v>15</v>
      </c>
      <c r="N780" s="48">
        <v>417.77</v>
      </c>
      <c r="O780" s="5">
        <v>46.16</v>
      </c>
      <c r="P780" s="3" t="s">
        <v>45</v>
      </c>
      <c r="Q780" s="3" t="s">
        <v>26</v>
      </c>
      <c r="R780" s="28">
        <f t="shared" si="12"/>
        <v>0.10383893618343379</v>
      </c>
    </row>
    <row r="781" spans="1:18" x14ac:dyDescent="0.3">
      <c r="A781" s="7" t="s">
        <v>1393</v>
      </c>
      <c r="B781" s="8">
        <v>45903</v>
      </c>
      <c r="C781" s="7" t="s">
        <v>509</v>
      </c>
      <c r="D781" s="7" t="s">
        <v>19</v>
      </c>
      <c r="E781" s="7" t="s">
        <v>60</v>
      </c>
      <c r="F781" s="7" t="s">
        <v>61</v>
      </c>
      <c r="G781" s="7" t="s">
        <v>134</v>
      </c>
      <c r="H781" s="7" t="s">
        <v>135</v>
      </c>
      <c r="I781" s="7" t="s">
        <v>382</v>
      </c>
      <c r="J781" s="7">
        <v>1</v>
      </c>
      <c r="K781" s="9">
        <v>1902.77</v>
      </c>
      <c r="L781" s="9">
        <v>1807.63</v>
      </c>
      <c r="M781" s="10">
        <v>5</v>
      </c>
      <c r="N781" s="49">
        <v>402.23</v>
      </c>
      <c r="O781" s="9">
        <v>71.23</v>
      </c>
      <c r="P781" s="7" t="s">
        <v>45</v>
      </c>
      <c r="Q781" s="7" t="s">
        <v>65</v>
      </c>
      <c r="R781" s="28">
        <f t="shared" si="12"/>
        <v>0.22251788253127022</v>
      </c>
    </row>
    <row r="782" spans="1:18" x14ac:dyDescent="0.3">
      <c r="A782" s="3" t="s">
        <v>1394</v>
      </c>
      <c r="B782" s="4">
        <v>45903</v>
      </c>
      <c r="C782" s="3" t="s">
        <v>859</v>
      </c>
      <c r="D782" s="3" t="s">
        <v>19</v>
      </c>
      <c r="E782" s="3" t="s">
        <v>40</v>
      </c>
      <c r="F782" s="3" t="s">
        <v>90</v>
      </c>
      <c r="G782" s="3" t="s">
        <v>49</v>
      </c>
      <c r="H782" s="3" t="s">
        <v>50</v>
      </c>
      <c r="I782" s="3" t="s">
        <v>485</v>
      </c>
      <c r="J782" s="3">
        <v>1</v>
      </c>
      <c r="K782" s="5">
        <v>10331.82</v>
      </c>
      <c r="L782" s="5">
        <v>9298.64</v>
      </c>
      <c r="M782" s="6">
        <v>10</v>
      </c>
      <c r="N782" s="48">
        <v>1406.05</v>
      </c>
      <c r="O782" s="5">
        <v>330.86</v>
      </c>
      <c r="P782" s="3" t="s">
        <v>64</v>
      </c>
      <c r="Q782" s="3" t="s">
        <v>65</v>
      </c>
      <c r="R782" s="28">
        <f t="shared" si="12"/>
        <v>0.15121028451472474</v>
      </c>
    </row>
    <row r="783" spans="1:18" x14ac:dyDescent="0.3">
      <c r="A783" s="7" t="s">
        <v>1395</v>
      </c>
      <c r="B783" s="8">
        <v>45904</v>
      </c>
      <c r="C783" s="7" t="s">
        <v>1297</v>
      </c>
      <c r="D783" s="7" t="s">
        <v>39</v>
      </c>
      <c r="E783" s="7" t="s">
        <v>60</v>
      </c>
      <c r="F783" s="7" t="s">
        <v>68</v>
      </c>
      <c r="G783" s="7" t="s">
        <v>42</v>
      </c>
      <c r="H783" s="7" t="s">
        <v>164</v>
      </c>
      <c r="I783" s="7" t="s">
        <v>199</v>
      </c>
      <c r="J783" s="7">
        <v>5</v>
      </c>
      <c r="K783" s="9">
        <v>612.34</v>
      </c>
      <c r="L783" s="9">
        <v>2755.53</v>
      </c>
      <c r="M783" s="10">
        <v>10</v>
      </c>
      <c r="N783" s="49">
        <v>138.53</v>
      </c>
      <c r="O783" s="9">
        <v>286.89999999999998</v>
      </c>
      <c r="P783" s="7" t="s">
        <v>35</v>
      </c>
      <c r="Q783" s="7" t="s">
        <v>26</v>
      </c>
      <c r="R783" s="28">
        <f t="shared" si="12"/>
        <v>5.0273450116674466E-2</v>
      </c>
    </row>
    <row r="784" spans="1:18" x14ac:dyDescent="0.3">
      <c r="A784" s="3" t="s">
        <v>1396</v>
      </c>
      <c r="B784" s="4">
        <v>45904</v>
      </c>
      <c r="C784" s="3" t="s">
        <v>67</v>
      </c>
      <c r="D784" s="3" t="s">
        <v>29</v>
      </c>
      <c r="E784" s="3" t="s">
        <v>40</v>
      </c>
      <c r="F784" s="3" t="s">
        <v>90</v>
      </c>
      <c r="G784" s="3" t="s">
        <v>42</v>
      </c>
      <c r="H784" s="3" t="s">
        <v>172</v>
      </c>
      <c r="I784" s="3" t="s">
        <v>1014</v>
      </c>
      <c r="J784" s="3">
        <v>1</v>
      </c>
      <c r="K784" s="5">
        <v>531.24</v>
      </c>
      <c r="L784" s="5">
        <v>478.12</v>
      </c>
      <c r="M784" s="6">
        <v>10</v>
      </c>
      <c r="N784" s="48">
        <v>65.17</v>
      </c>
      <c r="O784" s="5">
        <v>143.94999999999999</v>
      </c>
      <c r="P784" s="3" t="s">
        <v>35</v>
      </c>
      <c r="Q784" s="3" t="s">
        <v>36</v>
      </c>
      <c r="R784" s="28">
        <f t="shared" si="12"/>
        <v>0.13630469338241447</v>
      </c>
    </row>
    <row r="785" spans="1:18" x14ac:dyDescent="0.3">
      <c r="A785" s="7" t="s">
        <v>1397</v>
      </c>
      <c r="B785" s="8">
        <v>45907</v>
      </c>
      <c r="C785" s="7" t="s">
        <v>1398</v>
      </c>
      <c r="D785" s="7" t="s">
        <v>39</v>
      </c>
      <c r="E785" s="7" t="s">
        <v>60</v>
      </c>
      <c r="F785" s="7" t="s">
        <v>61</v>
      </c>
      <c r="G785" s="7" t="s">
        <v>117</v>
      </c>
      <c r="H785" s="7" t="s">
        <v>125</v>
      </c>
      <c r="I785" s="7" t="s">
        <v>217</v>
      </c>
      <c r="J785" s="7">
        <v>1</v>
      </c>
      <c r="K785" s="9">
        <v>2184.84</v>
      </c>
      <c r="L785" s="9">
        <v>1966.36</v>
      </c>
      <c r="M785" s="10">
        <v>10</v>
      </c>
      <c r="N785" s="49">
        <v>576.30999999999995</v>
      </c>
      <c r="O785" s="9">
        <v>124.97</v>
      </c>
      <c r="P785" s="7" t="s">
        <v>45</v>
      </c>
      <c r="Q785" s="7" t="s">
        <v>65</v>
      </c>
      <c r="R785" s="28">
        <f t="shared" si="12"/>
        <v>0.2930846843914644</v>
      </c>
    </row>
    <row r="786" spans="1:18" x14ac:dyDescent="0.3">
      <c r="A786" s="3" t="s">
        <v>1399</v>
      </c>
      <c r="B786" s="4">
        <v>45909</v>
      </c>
      <c r="C786" s="3" t="s">
        <v>306</v>
      </c>
      <c r="D786" s="3" t="s">
        <v>19</v>
      </c>
      <c r="E786" s="3" t="s">
        <v>60</v>
      </c>
      <c r="F786" s="3" t="s">
        <v>104</v>
      </c>
      <c r="G786" s="3" t="s">
        <v>42</v>
      </c>
      <c r="H786" s="3" t="s">
        <v>43</v>
      </c>
      <c r="I786" s="3" t="s">
        <v>44</v>
      </c>
      <c r="J786" s="3">
        <v>1</v>
      </c>
      <c r="K786" s="5">
        <v>926.38</v>
      </c>
      <c r="L786" s="5">
        <v>926.38</v>
      </c>
      <c r="M786" s="6">
        <v>0</v>
      </c>
      <c r="N786" s="48">
        <v>168.89</v>
      </c>
      <c r="O786" s="5">
        <v>189.37</v>
      </c>
      <c r="P786" s="3" t="s">
        <v>64</v>
      </c>
      <c r="Q786" s="3" t="s">
        <v>26</v>
      </c>
      <c r="R786" s="28">
        <f t="shared" si="12"/>
        <v>0.18231179429607719</v>
      </c>
    </row>
    <row r="787" spans="1:18" x14ac:dyDescent="0.3">
      <c r="A787" s="7" t="s">
        <v>1400</v>
      </c>
      <c r="B787" s="8">
        <v>45909</v>
      </c>
      <c r="C787" s="7" t="s">
        <v>370</v>
      </c>
      <c r="D787" s="7" t="s">
        <v>39</v>
      </c>
      <c r="E787" s="7" t="s">
        <v>20</v>
      </c>
      <c r="F787" s="7" t="s">
        <v>129</v>
      </c>
      <c r="G787" s="7" t="s">
        <v>117</v>
      </c>
      <c r="H787" s="7" t="s">
        <v>153</v>
      </c>
      <c r="I787" s="7" t="s">
        <v>284</v>
      </c>
      <c r="J787" s="7">
        <v>2</v>
      </c>
      <c r="K787" s="9">
        <v>849.03</v>
      </c>
      <c r="L787" s="9">
        <v>1358.45</v>
      </c>
      <c r="M787" s="10">
        <v>20</v>
      </c>
      <c r="N787" s="49">
        <v>149.47999999999999</v>
      </c>
      <c r="O787" s="9">
        <v>128.75</v>
      </c>
      <c r="P787" s="7" t="s">
        <v>35</v>
      </c>
      <c r="Q787" s="7" t="s">
        <v>26</v>
      </c>
      <c r="R787" s="28">
        <f t="shared" si="12"/>
        <v>0.11003717472118958</v>
      </c>
    </row>
    <row r="788" spans="1:18" x14ac:dyDescent="0.3">
      <c r="A788" s="3" t="s">
        <v>1401</v>
      </c>
      <c r="B788" s="4">
        <v>45910</v>
      </c>
      <c r="C788" s="3" t="s">
        <v>949</v>
      </c>
      <c r="D788" s="3" t="s">
        <v>29</v>
      </c>
      <c r="E788" s="3" t="s">
        <v>30</v>
      </c>
      <c r="F788" s="3" t="s">
        <v>48</v>
      </c>
      <c r="G788" s="3" t="s">
        <v>117</v>
      </c>
      <c r="H788" s="3" t="s">
        <v>130</v>
      </c>
      <c r="I788" s="3" t="s">
        <v>326</v>
      </c>
      <c r="J788" s="3">
        <v>2</v>
      </c>
      <c r="K788" s="5">
        <v>821.9</v>
      </c>
      <c r="L788" s="5">
        <v>1561.61</v>
      </c>
      <c r="M788" s="6">
        <v>5</v>
      </c>
      <c r="N788" s="48">
        <v>478.29</v>
      </c>
      <c r="O788" s="5">
        <v>314.67</v>
      </c>
      <c r="P788" s="3" t="s">
        <v>64</v>
      </c>
      <c r="Q788" s="3" t="s">
        <v>26</v>
      </c>
      <c r="R788" s="28">
        <f t="shared" si="12"/>
        <v>0.30628005712053591</v>
      </c>
    </row>
    <row r="789" spans="1:18" x14ac:dyDescent="0.3">
      <c r="A789" s="7" t="s">
        <v>1402</v>
      </c>
      <c r="B789" s="8">
        <v>45910</v>
      </c>
      <c r="C789" s="7" t="s">
        <v>1403</v>
      </c>
      <c r="D789" s="7" t="s">
        <v>19</v>
      </c>
      <c r="E789" s="7" t="s">
        <v>40</v>
      </c>
      <c r="F789" s="7" t="s">
        <v>41</v>
      </c>
      <c r="G789" s="7" t="s">
        <v>49</v>
      </c>
      <c r="H789" s="7" t="s">
        <v>50</v>
      </c>
      <c r="I789" s="7" t="s">
        <v>485</v>
      </c>
      <c r="J789" s="7">
        <v>3</v>
      </c>
      <c r="K789" s="9">
        <v>704.41</v>
      </c>
      <c r="L789" s="9">
        <v>2113.23</v>
      </c>
      <c r="M789" s="10">
        <v>0</v>
      </c>
      <c r="N789" s="49">
        <v>304.35000000000002</v>
      </c>
      <c r="O789" s="9">
        <v>326.14</v>
      </c>
      <c r="P789" s="7" t="s">
        <v>35</v>
      </c>
      <c r="Q789" s="7" t="s">
        <v>26</v>
      </c>
      <c r="R789" s="28">
        <f t="shared" si="12"/>
        <v>0.14402123763149302</v>
      </c>
    </row>
    <row r="790" spans="1:18" x14ac:dyDescent="0.3">
      <c r="A790" s="3" t="s">
        <v>1404</v>
      </c>
      <c r="B790" s="4">
        <v>45911</v>
      </c>
      <c r="C790" s="3" t="s">
        <v>1405</v>
      </c>
      <c r="D790" s="3" t="s">
        <v>39</v>
      </c>
      <c r="E790" s="3" t="s">
        <v>60</v>
      </c>
      <c r="F790" s="3" t="s">
        <v>104</v>
      </c>
      <c r="G790" s="3" t="s">
        <v>22</v>
      </c>
      <c r="H790" s="3" t="s">
        <v>23</v>
      </c>
      <c r="I790" s="3" t="s">
        <v>78</v>
      </c>
      <c r="J790" s="3">
        <v>3</v>
      </c>
      <c r="K790" s="5">
        <v>13103.17</v>
      </c>
      <c r="L790" s="5">
        <v>31447.61</v>
      </c>
      <c r="M790" s="6">
        <v>20</v>
      </c>
      <c r="N790" s="48">
        <v>-476.31</v>
      </c>
      <c r="O790" s="5">
        <v>318.38</v>
      </c>
      <c r="P790" s="3" t="s">
        <v>35</v>
      </c>
      <c r="Q790" s="3" t="s">
        <v>65</v>
      </c>
      <c r="R790" s="28">
        <f t="shared" si="12"/>
        <v>-1.5146143061428197E-2</v>
      </c>
    </row>
    <row r="791" spans="1:18" x14ac:dyDescent="0.3">
      <c r="A791" s="7" t="s">
        <v>1406</v>
      </c>
      <c r="B791" s="8">
        <v>45911</v>
      </c>
      <c r="C791" s="7" t="s">
        <v>1407</v>
      </c>
      <c r="D791" s="7" t="s">
        <v>39</v>
      </c>
      <c r="E791" s="7" t="s">
        <v>40</v>
      </c>
      <c r="F791" s="7" t="s">
        <v>77</v>
      </c>
      <c r="G791" s="7" t="s">
        <v>134</v>
      </c>
      <c r="H791" s="7" t="s">
        <v>135</v>
      </c>
      <c r="I791" s="7" t="s">
        <v>136</v>
      </c>
      <c r="J791" s="7">
        <v>1</v>
      </c>
      <c r="K791" s="9">
        <v>2567.6</v>
      </c>
      <c r="L791" s="9">
        <v>1925.7</v>
      </c>
      <c r="M791" s="10">
        <v>25</v>
      </c>
      <c r="N791" s="49">
        <v>103.83</v>
      </c>
      <c r="O791" s="9">
        <v>46.54</v>
      </c>
      <c r="P791" s="7" t="s">
        <v>25</v>
      </c>
      <c r="Q791" s="7" t="s">
        <v>65</v>
      </c>
      <c r="R791" s="28">
        <f t="shared" si="12"/>
        <v>5.3918055771927091E-2</v>
      </c>
    </row>
    <row r="792" spans="1:18" x14ac:dyDescent="0.3">
      <c r="A792" s="3" t="s">
        <v>1408</v>
      </c>
      <c r="B792" s="4">
        <v>45911</v>
      </c>
      <c r="C792" s="3" t="s">
        <v>325</v>
      </c>
      <c r="D792" s="3" t="s">
        <v>29</v>
      </c>
      <c r="E792" s="3" t="s">
        <v>60</v>
      </c>
      <c r="F792" s="3" t="s">
        <v>68</v>
      </c>
      <c r="G792" s="3" t="s">
        <v>49</v>
      </c>
      <c r="H792" s="3" t="s">
        <v>50</v>
      </c>
      <c r="I792" s="3" t="s">
        <v>51</v>
      </c>
      <c r="J792" s="3">
        <v>1</v>
      </c>
      <c r="K792" s="5">
        <v>5902.94</v>
      </c>
      <c r="L792" s="5">
        <v>5607.79</v>
      </c>
      <c r="M792" s="6">
        <v>5</v>
      </c>
      <c r="N792" s="48">
        <v>883.64</v>
      </c>
      <c r="O792" s="5">
        <v>322.82</v>
      </c>
      <c r="P792" s="3" t="s">
        <v>64</v>
      </c>
      <c r="Q792" s="3" t="s">
        <v>26</v>
      </c>
      <c r="R792" s="28">
        <f t="shared" si="12"/>
        <v>0.15757366092524863</v>
      </c>
    </row>
    <row r="793" spans="1:18" x14ac:dyDescent="0.3">
      <c r="A793" s="7" t="s">
        <v>1409</v>
      </c>
      <c r="B793" s="8">
        <v>45913</v>
      </c>
      <c r="C793" s="7" t="s">
        <v>1410</v>
      </c>
      <c r="D793" s="7" t="s">
        <v>39</v>
      </c>
      <c r="E793" s="7" t="s">
        <v>60</v>
      </c>
      <c r="F793" s="7" t="s">
        <v>61</v>
      </c>
      <c r="G793" s="7" t="s">
        <v>117</v>
      </c>
      <c r="H793" s="7" t="s">
        <v>118</v>
      </c>
      <c r="I793" s="7" t="s">
        <v>438</v>
      </c>
      <c r="J793" s="7">
        <v>1</v>
      </c>
      <c r="K793" s="9">
        <v>703.05</v>
      </c>
      <c r="L793" s="9">
        <v>667.9</v>
      </c>
      <c r="M793" s="10">
        <v>5</v>
      </c>
      <c r="N793" s="49">
        <v>115.84</v>
      </c>
      <c r="O793" s="9">
        <v>220.5</v>
      </c>
      <c r="P793" s="7" t="s">
        <v>35</v>
      </c>
      <c r="Q793" s="7" t="s">
        <v>57</v>
      </c>
      <c r="R793" s="28">
        <f t="shared" si="12"/>
        <v>0.17343913759544843</v>
      </c>
    </row>
    <row r="794" spans="1:18" x14ac:dyDescent="0.3">
      <c r="A794" s="3" t="s">
        <v>1411</v>
      </c>
      <c r="B794" s="4">
        <v>45914</v>
      </c>
      <c r="C794" s="3" t="s">
        <v>1412</v>
      </c>
      <c r="D794" s="3" t="s">
        <v>39</v>
      </c>
      <c r="E794" s="3" t="s">
        <v>20</v>
      </c>
      <c r="F794" s="3" t="s">
        <v>21</v>
      </c>
      <c r="G794" s="3" t="s">
        <v>22</v>
      </c>
      <c r="H794" s="3" t="s">
        <v>55</v>
      </c>
      <c r="I794" s="3" t="s">
        <v>56</v>
      </c>
      <c r="J794" s="3">
        <v>1</v>
      </c>
      <c r="K794" s="5">
        <v>62070.75</v>
      </c>
      <c r="L794" s="5">
        <v>52760.14</v>
      </c>
      <c r="M794" s="6">
        <v>15</v>
      </c>
      <c r="N794" s="48">
        <v>-4098.34</v>
      </c>
      <c r="O794" s="5">
        <v>73.2</v>
      </c>
      <c r="P794" s="3" t="s">
        <v>64</v>
      </c>
      <c r="Q794" s="3" t="s">
        <v>26</v>
      </c>
      <c r="R794" s="28">
        <f t="shared" si="12"/>
        <v>-7.7678717304389258E-2</v>
      </c>
    </row>
    <row r="795" spans="1:18" x14ac:dyDescent="0.3">
      <c r="A795" s="7" t="s">
        <v>1413</v>
      </c>
      <c r="B795" s="8">
        <v>45915</v>
      </c>
      <c r="C795" s="7" t="s">
        <v>819</v>
      </c>
      <c r="D795" s="7" t="s">
        <v>39</v>
      </c>
      <c r="E795" s="7" t="s">
        <v>60</v>
      </c>
      <c r="F795" s="7" t="s">
        <v>104</v>
      </c>
      <c r="G795" s="7" t="s">
        <v>32</v>
      </c>
      <c r="H795" s="7" t="s">
        <v>33</v>
      </c>
      <c r="I795" s="7" t="s">
        <v>69</v>
      </c>
      <c r="J795" s="7">
        <v>3</v>
      </c>
      <c r="K795" s="9">
        <v>1763.6</v>
      </c>
      <c r="L795" s="9">
        <v>4232.6400000000003</v>
      </c>
      <c r="M795" s="10">
        <v>20</v>
      </c>
      <c r="N795" s="49">
        <v>118.75</v>
      </c>
      <c r="O795" s="9">
        <v>112.89</v>
      </c>
      <c r="P795" s="7" t="s">
        <v>35</v>
      </c>
      <c r="Q795" s="7" t="s">
        <v>65</v>
      </c>
      <c r="R795" s="28">
        <f t="shared" si="12"/>
        <v>2.8055776064111287E-2</v>
      </c>
    </row>
    <row r="796" spans="1:18" x14ac:dyDescent="0.3">
      <c r="A796" s="3" t="s">
        <v>1414</v>
      </c>
      <c r="B796" s="4">
        <v>45916</v>
      </c>
      <c r="C796" s="3" t="s">
        <v>679</v>
      </c>
      <c r="D796" s="3" t="s">
        <v>29</v>
      </c>
      <c r="E796" s="3" t="s">
        <v>20</v>
      </c>
      <c r="F796" s="3" t="s">
        <v>129</v>
      </c>
      <c r="G796" s="3" t="s">
        <v>117</v>
      </c>
      <c r="H796" s="3" t="s">
        <v>118</v>
      </c>
      <c r="I796" s="3" t="s">
        <v>553</v>
      </c>
      <c r="J796" s="3">
        <v>2</v>
      </c>
      <c r="K796" s="5">
        <v>304.07</v>
      </c>
      <c r="L796" s="5">
        <v>547.33000000000004</v>
      </c>
      <c r="M796" s="6">
        <v>10</v>
      </c>
      <c r="N796" s="48">
        <v>157.96</v>
      </c>
      <c r="O796" s="5">
        <v>114.73</v>
      </c>
      <c r="P796" s="3" t="s">
        <v>64</v>
      </c>
      <c r="Q796" s="3" t="s">
        <v>65</v>
      </c>
      <c r="R796" s="28">
        <f t="shared" si="12"/>
        <v>0.28860102680284289</v>
      </c>
    </row>
    <row r="797" spans="1:18" x14ac:dyDescent="0.3">
      <c r="A797" s="7" t="s">
        <v>1415</v>
      </c>
      <c r="B797" s="8">
        <v>45917</v>
      </c>
      <c r="C797" s="7" t="s">
        <v>848</v>
      </c>
      <c r="D797" s="7" t="s">
        <v>39</v>
      </c>
      <c r="E797" s="7" t="s">
        <v>40</v>
      </c>
      <c r="F797" s="7" t="s">
        <v>90</v>
      </c>
      <c r="G797" s="7" t="s">
        <v>134</v>
      </c>
      <c r="H797" s="7" t="s">
        <v>244</v>
      </c>
      <c r="I797" s="7" t="s">
        <v>245</v>
      </c>
      <c r="J797" s="7">
        <v>2</v>
      </c>
      <c r="K797" s="9">
        <v>2941.56</v>
      </c>
      <c r="L797" s="9">
        <v>5294.81</v>
      </c>
      <c r="M797" s="10">
        <v>10</v>
      </c>
      <c r="N797" s="49">
        <v>392.76</v>
      </c>
      <c r="O797" s="9">
        <v>325.79000000000002</v>
      </c>
      <c r="P797" s="7" t="s">
        <v>35</v>
      </c>
      <c r="Q797" s="7" t="s">
        <v>57</v>
      </c>
      <c r="R797" s="28">
        <f t="shared" si="12"/>
        <v>7.4178299126880842E-2</v>
      </c>
    </row>
    <row r="798" spans="1:18" x14ac:dyDescent="0.3">
      <c r="A798" s="3" t="s">
        <v>1416</v>
      </c>
      <c r="B798" s="4">
        <v>45919</v>
      </c>
      <c r="C798" s="3" t="s">
        <v>473</v>
      </c>
      <c r="D798" s="3" t="s">
        <v>29</v>
      </c>
      <c r="E798" s="3" t="s">
        <v>20</v>
      </c>
      <c r="F798" s="3" t="s">
        <v>21</v>
      </c>
      <c r="G798" s="3" t="s">
        <v>49</v>
      </c>
      <c r="H798" s="3" t="s">
        <v>98</v>
      </c>
      <c r="I798" s="3" t="s">
        <v>258</v>
      </c>
      <c r="J798" s="3">
        <v>1</v>
      </c>
      <c r="K798" s="5">
        <v>8850.25</v>
      </c>
      <c r="L798" s="5">
        <v>8407.74</v>
      </c>
      <c r="M798" s="6">
        <v>5</v>
      </c>
      <c r="N798" s="48">
        <v>1034.92</v>
      </c>
      <c r="O798" s="5">
        <v>83.56</v>
      </c>
      <c r="P798" s="3" t="s">
        <v>35</v>
      </c>
      <c r="Q798" s="3" t="s">
        <v>65</v>
      </c>
      <c r="R798" s="28">
        <f t="shared" si="12"/>
        <v>0.12309134202532429</v>
      </c>
    </row>
    <row r="799" spans="1:18" x14ac:dyDescent="0.3">
      <c r="A799" s="7" t="s">
        <v>1417</v>
      </c>
      <c r="B799" s="8">
        <v>45919</v>
      </c>
      <c r="C799" s="7" t="s">
        <v>817</v>
      </c>
      <c r="D799" s="7" t="s">
        <v>19</v>
      </c>
      <c r="E799" s="7" t="s">
        <v>40</v>
      </c>
      <c r="F799" s="7" t="s">
        <v>90</v>
      </c>
      <c r="G799" s="7" t="s">
        <v>42</v>
      </c>
      <c r="H799" s="7" t="s">
        <v>164</v>
      </c>
      <c r="I799" s="7" t="s">
        <v>199</v>
      </c>
      <c r="J799" s="7">
        <v>3</v>
      </c>
      <c r="K799" s="9">
        <v>596.49</v>
      </c>
      <c r="L799" s="9">
        <v>1789.47</v>
      </c>
      <c r="M799" s="10">
        <v>0</v>
      </c>
      <c r="N799" s="49">
        <v>330.18</v>
      </c>
      <c r="O799" s="9">
        <v>77.48</v>
      </c>
      <c r="P799" s="7" t="s">
        <v>45</v>
      </c>
      <c r="Q799" s="7" t="s">
        <v>57</v>
      </c>
      <c r="R799" s="28">
        <f t="shared" si="12"/>
        <v>0.18451273282033229</v>
      </c>
    </row>
    <row r="800" spans="1:18" x14ac:dyDescent="0.3">
      <c r="A800" s="3" t="s">
        <v>1418</v>
      </c>
      <c r="B800" s="4">
        <v>45920</v>
      </c>
      <c r="C800" s="3" t="s">
        <v>982</v>
      </c>
      <c r="D800" s="3" t="s">
        <v>39</v>
      </c>
      <c r="E800" s="3" t="s">
        <v>30</v>
      </c>
      <c r="F800" s="3" t="s">
        <v>226</v>
      </c>
      <c r="G800" s="3" t="s">
        <v>42</v>
      </c>
      <c r="H800" s="3" t="s">
        <v>164</v>
      </c>
      <c r="I800" s="3" t="s">
        <v>165</v>
      </c>
      <c r="J800" s="3">
        <v>3</v>
      </c>
      <c r="K800" s="5">
        <v>383</v>
      </c>
      <c r="L800" s="5">
        <v>1091.55</v>
      </c>
      <c r="M800" s="6">
        <v>5</v>
      </c>
      <c r="N800" s="48">
        <v>165.66</v>
      </c>
      <c r="O800" s="5">
        <v>294.02</v>
      </c>
      <c r="P800" s="3" t="s">
        <v>45</v>
      </c>
      <c r="Q800" s="3" t="s">
        <v>57</v>
      </c>
      <c r="R800" s="28">
        <f t="shared" si="12"/>
        <v>0.15176583757042739</v>
      </c>
    </row>
    <row r="801" spans="1:18" x14ac:dyDescent="0.3">
      <c r="A801" s="7" t="s">
        <v>1419</v>
      </c>
      <c r="B801" s="8">
        <v>45920</v>
      </c>
      <c r="C801" s="7" t="s">
        <v>184</v>
      </c>
      <c r="D801" s="7" t="s">
        <v>39</v>
      </c>
      <c r="E801" s="7" t="s">
        <v>30</v>
      </c>
      <c r="F801" s="7" t="s">
        <v>31</v>
      </c>
      <c r="G801" s="7" t="s">
        <v>49</v>
      </c>
      <c r="H801" s="7" t="s">
        <v>62</v>
      </c>
      <c r="I801" s="7" t="s">
        <v>63</v>
      </c>
      <c r="J801" s="7">
        <v>1</v>
      </c>
      <c r="K801" s="9">
        <v>12271.68</v>
      </c>
      <c r="L801" s="9">
        <v>9817.34</v>
      </c>
      <c r="M801" s="10">
        <v>20</v>
      </c>
      <c r="N801" s="49">
        <v>-15.06</v>
      </c>
      <c r="O801" s="9">
        <v>182.54</v>
      </c>
      <c r="P801" s="7" t="s">
        <v>35</v>
      </c>
      <c r="Q801" s="7" t="s">
        <v>36</v>
      </c>
      <c r="R801" s="28">
        <f t="shared" si="12"/>
        <v>-1.5340204169357484E-3</v>
      </c>
    </row>
    <row r="802" spans="1:18" x14ac:dyDescent="0.3">
      <c r="A802" s="3" t="s">
        <v>1420</v>
      </c>
      <c r="B802" s="4">
        <v>45920</v>
      </c>
      <c r="C802" s="3" t="s">
        <v>1032</v>
      </c>
      <c r="D802" s="3" t="s">
        <v>19</v>
      </c>
      <c r="E802" s="3" t="s">
        <v>60</v>
      </c>
      <c r="F802" s="3" t="s">
        <v>61</v>
      </c>
      <c r="G802" s="3" t="s">
        <v>134</v>
      </c>
      <c r="H802" s="3" t="s">
        <v>139</v>
      </c>
      <c r="I802" s="3" t="s">
        <v>587</v>
      </c>
      <c r="J802" s="3">
        <v>3</v>
      </c>
      <c r="K802" s="5">
        <v>4090.3</v>
      </c>
      <c r="L802" s="5">
        <v>11657.35</v>
      </c>
      <c r="M802" s="6">
        <v>5</v>
      </c>
      <c r="N802" s="48">
        <v>2029.93</v>
      </c>
      <c r="O802" s="5">
        <v>81.260000000000005</v>
      </c>
      <c r="P802" s="3" t="s">
        <v>64</v>
      </c>
      <c r="Q802" s="3" t="s">
        <v>57</v>
      </c>
      <c r="R802" s="28">
        <f t="shared" si="12"/>
        <v>0.17413305768463674</v>
      </c>
    </row>
    <row r="803" spans="1:18" x14ac:dyDescent="0.3">
      <c r="A803" s="7" t="s">
        <v>1421</v>
      </c>
      <c r="B803" s="8">
        <v>45921</v>
      </c>
      <c r="C803" s="7" t="s">
        <v>213</v>
      </c>
      <c r="D803" s="7" t="s">
        <v>39</v>
      </c>
      <c r="E803" s="7" t="s">
        <v>30</v>
      </c>
      <c r="F803" s="7" t="s">
        <v>226</v>
      </c>
      <c r="G803" s="7" t="s">
        <v>32</v>
      </c>
      <c r="H803" s="7" t="s">
        <v>86</v>
      </c>
      <c r="I803" s="7" t="s">
        <v>227</v>
      </c>
      <c r="J803" s="7">
        <v>1</v>
      </c>
      <c r="K803" s="9">
        <v>2369.19</v>
      </c>
      <c r="L803" s="9">
        <v>2250.73</v>
      </c>
      <c r="M803" s="10">
        <v>5</v>
      </c>
      <c r="N803" s="49">
        <v>101.83</v>
      </c>
      <c r="O803" s="9">
        <v>295.24</v>
      </c>
      <c r="P803" s="7" t="s">
        <v>64</v>
      </c>
      <c r="Q803" s="7" t="s">
        <v>26</v>
      </c>
      <c r="R803" s="28">
        <f t="shared" si="12"/>
        <v>4.5243098905688374E-2</v>
      </c>
    </row>
    <row r="804" spans="1:18" x14ac:dyDescent="0.3">
      <c r="A804" s="3" t="s">
        <v>1422</v>
      </c>
      <c r="B804" s="4">
        <v>45922</v>
      </c>
      <c r="C804" s="3" t="s">
        <v>487</v>
      </c>
      <c r="D804" s="3" t="s">
        <v>29</v>
      </c>
      <c r="E804" s="3" t="s">
        <v>30</v>
      </c>
      <c r="F804" s="3" t="s">
        <v>226</v>
      </c>
      <c r="G804" s="3" t="s">
        <v>32</v>
      </c>
      <c r="H804" s="3" t="s">
        <v>86</v>
      </c>
      <c r="I804" s="3" t="s">
        <v>227</v>
      </c>
      <c r="J804" s="3">
        <v>1</v>
      </c>
      <c r="K804" s="5">
        <v>4776.5</v>
      </c>
      <c r="L804" s="5">
        <v>3582.38</v>
      </c>
      <c r="M804" s="6">
        <v>25</v>
      </c>
      <c r="N804" s="48">
        <v>-8.34</v>
      </c>
      <c r="O804" s="5">
        <v>68.319999999999993</v>
      </c>
      <c r="P804" s="3" t="s">
        <v>64</v>
      </c>
      <c r="Q804" s="3" t="s">
        <v>57</v>
      </c>
      <c r="R804" s="28">
        <f t="shared" si="12"/>
        <v>-2.3280612330350212E-3</v>
      </c>
    </row>
    <row r="805" spans="1:18" x14ac:dyDescent="0.3">
      <c r="A805" s="7" t="s">
        <v>1423</v>
      </c>
      <c r="B805" s="8">
        <v>45923</v>
      </c>
      <c r="C805" s="7" t="s">
        <v>887</v>
      </c>
      <c r="D805" s="7" t="s">
        <v>29</v>
      </c>
      <c r="E805" s="7" t="s">
        <v>20</v>
      </c>
      <c r="F805" s="7" t="s">
        <v>21</v>
      </c>
      <c r="G805" s="7" t="s">
        <v>42</v>
      </c>
      <c r="H805" s="7" t="s">
        <v>43</v>
      </c>
      <c r="I805" s="7" t="s">
        <v>751</v>
      </c>
      <c r="J805" s="7">
        <v>5</v>
      </c>
      <c r="K805" s="9">
        <v>344.6</v>
      </c>
      <c r="L805" s="9">
        <v>1550.7</v>
      </c>
      <c r="M805" s="10">
        <v>10</v>
      </c>
      <c r="N805" s="49">
        <v>201.16</v>
      </c>
      <c r="O805" s="9">
        <v>115.27</v>
      </c>
      <c r="P805" s="7" t="s">
        <v>35</v>
      </c>
      <c r="Q805" s="7" t="s">
        <v>65</v>
      </c>
      <c r="R805" s="28">
        <f t="shared" si="12"/>
        <v>0.12972206100470754</v>
      </c>
    </row>
    <row r="806" spans="1:18" x14ac:dyDescent="0.3">
      <c r="A806" s="3" t="s">
        <v>1424</v>
      </c>
      <c r="B806" s="4">
        <v>45923</v>
      </c>
      <c r="C806" s="3" t="s">
        <v>796</v>
      </c>
      <c r="D806" s="3" t="s">
        <v>39</v>
      </c>
      <c r="E806" s="3" t="s">
        <v>20</v>
      </c>
      <c r="F806" s="3" t="s">
        <v>129</v>
      </c>
      <c r="G806" s="3" t="s">
        <v>49</v>
      </c>
      <c r="H806" s="3" t="s">
        <v>62</v>
      </c>
      <c r="I806" s="3" t="s">
        <v>424</v>
      </c>
      <c r="J806" s="3">
        <v>3</v>
      </c>
      <c r="K806" s="5">
        <v>14631.33</v>
      </c>
      <c r="L806" s="5">
        <v>41699.29</v>
      </c>
      <c r="M806" s="6">
        <v>5</v>
      </c>
      <c r="N806" s="48">
        <v>4859.53</v>
      </c>
      <c r="O806" s="5">
        <v>330.33</v>
      </c>
      <c r="P806" s="3" t="s">
        <v>83</v>
      </c>
      <c r="Q806" s="3" t="s">
        <v>57</v>
      </c>
      <c r="R806" s="28">
        <f t="shared" si="12"/>
        <v>0.11653747581793358</v>
      </c>
    </row>
    <row r="807" spans="1:18" x14ac:dyDescent="0.3">
      <c r="A807" s="7" t="s">
        <v>1425</v>
      </c>
      <c r="B807" s="8">
        <v>45923</v>
      </c>
      <c r="C807" s="7" t="s">
        <v>1141</v>
      </c>
      <c r="D807" s="7" t="s">
        <v>19</v>
      </c>
      <c r="E807" s="7" t="s">
        <v>30</v>
      </c>
      <c r="F807" s="7" t="s">
        <v>48</v>
      </c>
      <c r="G807" s="7" t="s">
        <v>49</v>
      </c>
      <c r="H807" s="7" t="s">
        <v>62</v>
      </c>
      <c r="I807" s="7" t="s">
        <v>63</v>
      </c>
      <c r="J807" s="7">
        <v>1</v>
      </c>
      <c r="K807" s="9">
        <v>6284.75</v>
      </c>
      <c r="L807" s="9">
        <v>6284.75</v>
      </c>
      <c r="M807" s="10">
        <v>0</v>
      </c>
      <c r="N807" s="49">
        <v>1456.9</v>
      </c>
      <c r="O807" s="9">
        <v>319.95999999999998</v>
      </c>
      <c r="P807" s="7" t="s">
        <v>25</v>
      </c>
      <c r="Q807" s="7" t="s">
        <v>65</v>
      </c>
      <c r="R807" s="28">
        <f t="shared" si="12"/>
        <v>0.23181510799952268</v>
      </c>
    </row>
    <row r="808" spans="1:18" x14ac:dyDescent="0.3">
      <c r="A808" s="3" t="s">
        <v>1426</v>
      </c>
      <c r="B808" s="4">
        <v>45923</v>
      </c>
      <c r="C808" s="3" t="s">
        <v>435</v>
      </c>
      <c r="D808" s="3" t="s">
        <v>39</v>
      </c>
      <c r="E808" s="3" t="s">
        <v>60</v>
      </c>
      <c r="F808" s="3" t="s">
        <v>68</v>
      </c>
      <c r="G808" s="3" t="s">
        <v>117</v>
      </c>
      <c r="H808" s="3" t="s">
        <v>118</v>
      </c>
      <c r="I808" s="3" t="s">
        <v>438</v>
      </c>
      <c r="J808" s="3">
        <v>4</v>
      </c>
      <c r="K808" s="5">
        <v>2053.04</v>
      </c>
      <c r="L808" s="5">
        <v>6980.34</v>
      </c>
      <c r="M808" s="6">
        <v>15</v>
      </c>
      <c r="N808" s="48">
        <v>1752.94</v>
      </c>
      <c r="O808" s="5">
        <v>262.31</v>
      </c>
      <c r="P808" s="3" t="s">
        <v>45</v>
      </c>
      <c r="Q808" s="3" t="s">
        <v>57</v>
      </c>
      <c r="R808" s="28">
        <f t="shared" si="12"/>
        <v>0.25112530335198574</v>
      </c>
    </row>
    <row r="809" spans="1:18" x14ac:dyDescent="0.3">
      <c r="A809" s="7" t="s">
        <v>1427</v>
      </c>
      <c r="B809" s="8">
        <v>45925</v>
      </c>
      <c r="C809" s="7" t="s">
        <v>325</v>
      </c>
      <c r="D809" s="7" t="s">
        <v>29</v>
      </c>
      <c r="E809" s="7" t="s">
        <v>20</v>
      </c>
      <c r="F809" s="7" t="s">
        <v>54</v>
      </c>
      <c r="G809" s="7" t="s">
        <v>117</v>
      </c>
      <c r="H809" s="7" t="s">
        <v>125</v>
      </c>
      <c r="I809" s="7" t="s">
        <v>196</v>
      </c>
      <c r="J809" s="7">
        <v>1</v>
      </c>
      <c r="K809" s="9">
        <v>1215.52</v>
      </c>
      <c r="L809" s="9">
        <v>1093.97</v>
      </c>
      <c r="M809" s="10">
        <v>10</v>
      </c>
      <c r="N809" s="49">
        <v>223.77</v>
      </c>
      <c r="O809" s="9">
        <v>67.459999999999994</v>
      </c>
      <c r="P809" s="7" t="s">
        <v>64</v>
      </c>
      <c r="Q809" s="7" t="s">
        <v>65</v>
      </c>
      <c r="R809" s="28">
        <f t="shared" si="12"/>
        <v>0.20454857080175873</v>
      </c>
    </row>
    <row r="810" spans="1:18" x14ac:dyDescent="0.3">
      <c r="A810" s="3" t="s">
        <v>1428</v>
      </c>
      <c r="B810" s="4">
        <v>45926</v>
      </c>
      <c r="C810" s="3" t="s">
        <v>1429</v>
      </c>
      <c r="D810" s="3" t="s">
        <v>39</v>
      </c>
      <c r="E810" s="3" t="s">
        <v>30</v>
      </c>
      <c r="F810" s="3" t="s">
        <v>48</v>
      </c>
      <c r="G810" s="3" t="s">
        <v>134</v>
      </c>
      <c r="H810" s="3" t="s">
        <v>139</v>
      </c>
      <c r="I810" s="3" t="s">
        <v>587</v>
      </c>
      <c r="J810" s="3">
        <v>5</v>
      </c>
      <c r="K810" s="5">
        <v>843.96</v>
      </c>
      <c r="L810" s="5">
        <v>4008.81</v>
      </c>
      <c r="M810" s="6">
        <v>5</v>
      </c>
      <c r="N810" s="48">
        <v>987.31</v>
      </c>
      <c r="O810" s="5">
        <v>374.4</v>
      </c>
      <c r="P810" s="3" t="s">
        <v>45</v>
      </c>
      <c r="Q810" s="3" t="s">
        <v>65</v>
      </c>
      <c r="R810" s="28">
        <f t="shared" si="12"/>
        <v>0.24628505716160157</v>
      </c>
    </row>
    <row r="811" spans="1:18" x14ac:dyDescent="0.3">
      <c r="A811" s="7" t="s">
        <v>1430</v>
      </c>
      <c r="B811" s="8">
        <v>45926</v>
      </c>
      <c r="C811" s="7" t="s">
        <v>1431</v>
      </c>
      <c r="D811" s="7" t="s">
        <v>19</v>
      </c>
      <c r="E811" s="7" t="s">
        <v>40</v>
      </c>
      <c r="F811" s="7" t="s">
        <v>109</v>
      </c>
      <c r="G811" s="7" t="s">
        <v>42</v>
      </c>
      <c r="H811" s="7" t="s">
        <v>43</v>
      </c>
      <c r="I811" s="7" t="s">
        <v>44</v>
      </c>
      <c r="J811" s="7">
        <v>1</v>
      </c>
      <c r="K811" s="9">
        <v>183.17</v>
      </c>
      <c r="L811" s="9">
        <v>164.85</v>
      </c>
      <c r="M811" s="10">
        <v>10</v>
      </c>
      <c r="N811" s="49">
        <v>15.93</v>
      </c>
      <c r="O811" s="9">
        <v>329.59</v>
      </c>
      <c r="P811" s="7" t="s">
        <v>25</v>
      </c>
      <c r="Q811" s="7" t="s">
        <v>26</v>
      </c>
      <c r="R811" s="28">
        <f t="shared" si="12"/>
        <v>9.6633303002729751E-2</v>
      </c>
    </row>
    <row r="812" spans="1:18" x14ac:dyDescent="0.3">
      <c r="A812" s="3" t="s">
        <v>1432</v>
      </c>
      <c r="B812" s="4">
        <v>45928</v>
      </c>
      <c r="C812" s="3" t="s">
        <v>1327</v>
      </c>
      <c r="D812" s="3" t="s">
        <v>19</v>
      </c>
      <c r="E812" s="3" t="s">
        <v>30</v>
      </c>
      <c r="F812" s="3" t="s">
        <v>31</v>
      </c>
      <c r="G812" s="3" t="s">
        <v>42</v>
      </c>
      <c r="H812" s="3" t="s">
        <v>172</v>
      </c>
      <c r="I812" s="3" t="s">
        <v>223</v>
      </c>
      <c r="J812" s="3">
        <v>2</v>
      </c>
      <c r="K812" s="5">
        <v>371.2</v>
      </c>
      <c r="L812" s="5">
        <v>668.16</v>
      </c>
      <c r="M812" s="6">
        <v>10</v>
      </c>
      <c r="N812" s="48">
        <v>109.46</v>
      </c>
      <c r="O812" s="5">
        <v>279.60000000000002</v>
      </c>
      <c r="P812" s="3" t="s">
        <v>64</v>
      </c>
      <c r="Q812" s="3" t="s">
        <v>57</v>
      </c>
      <c r="R812" s="28">
        <f t="shared" si="12"/>
        <v>0.16382303639846743</v>
      </c>
    </row>
    <row r="813" spans="1:18" x14ac:dyDescent="0.3">
      <c r="A813" s="7" t="s">
        <v>1433</v>
      </c>
      <c r="B813" s="8">
        <v>45928</v>
      </c>
      <c r="C813" s="7" t="s">
        <v>203</v>
      </c>
      <c r="D813" s="7" t="s">
        <v>39</v>
      </c>
      <c r="E813" s="7" t="s">
        <v>40</v>
      </c>
      <c r="F813" s="7" t="s">
        <v>90</v>
      </c>
      <c r="G813" s="7" t="s">
        <v>117</v>
      </c>
      <c r="H813" s="7" t="s">
        <v>153</v>
      </c>
      <c r="I813" s="7" t="s">
        <v>154</v>
      </c>
      <c r="J813" s="7">
        <v>3</v>
      </c>
      <c r="K813" s="9">
        <v>895.7</v>
      </c>
      <c r="L813" s="9">
        <v>2552.7399999999998</v>
      </c>
      <c r="M813" s="10">
        <v>5</v>
      </c>
      <c r="N813" s="49">
        <v>663.62</v>
      </c>
      <c r="O813" s="9">
        <v>84.47</v>
      </c>
      <c r="P813" s="7" t="s">
        <v>35</v>
      </c>
      <c r="Q813" s="7" t="s">
        <v>26</v>
      </c>
      <c r="R813" s="28">
        <f t="shared" si="12"/>
        <v>0.25996380359926985</v>
      </c>
    </row>
    <row r="814" spans="1:18" x14ac:dyDescent="0.3">
      <c r="A814" s="3" t="s">
        <v>1434</v>
      </c>
      <c r="B814" s="4">
        <v>45930</v>
      </c>
      <c r="C814" s="3" t="s">
        <v>1010</v>
      </c>
      <c r="D814" s="3" t="s">
        <v>19</v>
      </c>
      <c r="E814" s="3" t="s">
        <v>20</v>
      </c>
      <c r="F814" s="3" t="s">
        <v>129</v>
      </c>
      <c r="G814" s="3" t="s">
        <v>32</v>
      </c>
      <c r="H814" s="3" t="s">
        <v>86</v>
      </c>
      <c r="I814" s="3" t="s">
        <v>211</v>
      </c>
      <c r="J814" s="3">
        <v>1</v>
      </c>
      <c r="K814" s="5">
        <v>8494.86</v>
      </c>
      <c r="L814" s="5">
        <v>8494.86</v>
      </c>
      <c r="M814" s="6">
        <v>0</v>
      </c>
      <c r="N814" s="48">
        <v>1217.67</v>
      </c>
      <c r="O814" s="5">
        <v>318.08</v>
      </c>
      <c r="P814" s="3" t="s">
        <v>25</v>
      </c>
      <c r="Q814" s="3" t="s">
        <v>65</v>
      </c>
      <c r="R814" s="28">
        <f t="shared" si="12"/>
        <v>0.1433419738524237</v>
      </c>
    </row>
    <row r="815" spans="1:18" x14ac:dyDescent="0.3">
      <c r="A815" s="7" t="s">
        <v>1435</v>
      </c>
      <c r="B815" s="8">
        <v>45931</v>
      </c>
      <c r="C815" s="7" t="s">
        <v>1436</v>
      </c>
      <c r="D815" s="7" t="s">
        <v>39</v>
      </c>
      <c r="E815" s="7" t="s">
        <v>60</v>
      </c>
      <c r="F815" s="7" t="s">
        <v>104</v>
      </c>
      <c r="G815" s="7" t="s">
        <v>117</v>
      </c>
      <c r="H815" s="7" t="s">
        <v>153</v>
      </c>
      <c r="I815" s="7" t="s">
        <v>356</v>
      </c>
      <c r="J815" s="7">
        <v>2</v>
      </c>
      <c r="K815" s="9">
        <v>1390.83</v>
      </c>
      <c r="L815" s="9">
        <v>2781.66</v>
      </c>
      <c r="M815" s="10">
        <v>0</v>
      </c>
      <c r="N815" s="49">
        <v>608.78</v>
      </c>
      <c r="O815" s="9">
        <v>313.07</v>
      </c>
      <c r="P815" s="7" t="s">
        <v>25</v>
      </c>
      <c r="Q815" s="7" t="s">
        <v>26</v>
      </c>
      <c r="R815" s="28">
        <f t="shared" si="12"/>
        <v>0.21885492835213505</v>
      </c>
    </row>
    <row r="816" spans="1:18" x14ac:dyDescent="0.3">
      <c r="A816" s="3" t="s">
        <v>1437</v>
      </c>
      <c r="B816" s="4">
        <v>45931</v>
      </c>
      <c r="C816" s="3" t="s">
        <v>1438</v>
      </c>
      <c r="D816" s="3" t="s">
        <v>19</v>
      </c>
      <c r="E816" s="3" t="s">
        <v>30</v>
      </c>
      <c r="F816" s="3" t="s">
        <v>226</v>
      </c>
      <c r="G816" s="3" t="s">
        <v>49</v>
      </c>
      <c r="H816" s="3" t="s">
        <v>91</v>
      </c>
      <c r="I816" s="3" t="s">
        <v>92</v>
      </c>
      <c r="J816" s="3">
        <v>1</v>
      </c>
      <c r="K816" s="5">
        <v>9768.2199999999993</v>
      </c>
      <c r="L816" s="5">
        <v>9279.81</v>
      </c>
      <c r="M816" s="6">
        <v>5</v>
      </c>
      <c r="N816" s="48">
        <v>1820.82</v>
      </c>
      <c r="O816" s="5">
        <v>252.13</v>
      </c>
      <c r="P816" s="3" t="s">
        <v>64</v>
      </c>
      <c r="Q816" s="3" t="s">
        <v>26</v>
      </c>
      <c r="R816" s="28">
        <f t="shared" si="12"/>
        <v>0.19621306901757687</v>
      </c>
    </row>
    <row r="817" spans="1:18" x14ac:dyDescent="0.3">
      <c r="A817" s="7" t="s">
        <v>1439</v>
      </c>
      <c r="B817" s="8">
        <v>45931</v>
      </c>
      <c r="C817" s="7" t="s">
        <v>53</v>
      </c>
      <c r="D817" s="7" t="s">
        <v>29</v>
      </c>
      <c r="E817" s="7" t="s">
        <v>40</v>
      </c>
      <c r="F817" s="7" t="s">
        <v>109</v>
      </c>
      <c r="G817" s="7" t="s">
        <v>134</v>
      </c>
      <c r="H817" s="7" t="s">
        <v>91</v>
      </c>
      <c r="I817" s="7" t="s">
        <v>188</v>
      </c>
      <c r="J817" s="7">
        <v>2</v>
      </c>
      <c r="K817" s="9">
        <v>2686.9</v>
      </c>
      <c r="L817" s="9">
        <v>5105.1099999999997</v>
      </c>
      <c r="M817" s="10">
        <v>5</v>
      </c>
      <c r="N817" s="49">
        <v>782.47</v>
      </c>
      <c r="O817" s="9">
        <v>74.98</v>
      </c>
      <c r="P817" s="7" t="s">
        <v>35</v>
      </c>
      <c r="Q817" s="7" t="s">
        <v>26</v>
      </c>
      <c r="R817" s="28">
        <f t="shared" si="12"/>
        <v>0.15327191774516125</v>
      </c>
    </row>
    <row r="818" spans="1:18" x14ac:dyDescent="0.3">
      <c r="A818" s="3" t="s">
        <v>1440</v>
      </c>
      <c r="B818" s="4">
        <v>45931</v>
      </c>
      <c r="C818" s="3" t="s">
        <v>902</v>
      </c>
      <c r="D818" s="3" t="s">
        <v>29</v>
      </c>
      <c r="E818" s="3" t="s">
        <v>60</v>
      </c>
      <c r="F818" s="3" t="s">
        <v>104</v>
      </c>
      <c r="G818" s="3" t="s">
        <v>49</v>
      </c>
      <c r="H818" s="3" t="s">
        <v>50</v>
      </c>
      <c r="I818" s="3" t="s">
        <v>95</v>
      </c>
      <c r="J818" s="3">
        <v>1</v>
      </c>
      <c r="K818" s="5">
        <v>3640.46</v>
      </c>
      <c r="L818" s="5">
        <v>2912.37</v>
      </c>
      <c r="M818" s="6">
        <v>20</v>
      </c>
      <c r="N818" s="48">
        <v>-172.5</v>
      </c>
      <c r="O818" s="5">
        <v>174.78</v>
      </c>
      <c r="P818" s="3" t="s">
        <v>83</v>
      </c>
      <c r="Q818" s="3" t="s">
        <v>65</v>
      </c>
      <c r="R818" s="28">
        <f t="shared" si="12"/>
        <v>-5.9230111558627514E-2</v>
      </c>
    </row>
    <row r="819" spans="1:18" x14ac:dyDescent="0.3">
      <c r="A819" s="7" t="s">
        <v>1441</v>
      </c>
      <c r="B819" s="8">
        <v>45933</v>
      </c>
      <c r="C819" s="7" t="s">
        <v>175</v>
      </c>
      <c r="D819" s="7" t="s">
        <v>29</v>
      </c>
      <c r="E819" s="7" t="s">
        <v>60</v>
      </c>
      <c r="F819" s="7" t="s">
        <v>72</v>
      </c>
      <c r="G819" s="7" t="s">
        <v>42</v>
      </c>
      <c r="H819" s="7" t="s">
        <v>43</v>
      </c>
      <c r="I819" s="7" t="s">
        <v>208</v>
      </c>
      <c r="J819" s="7">
        <v>1</v>
      </c>
      <c r="K819" s="9">
        <v>853.08</v>
      </c>
      <c r="L819" s="9">
        <v>853.08</v>
      </c>
      <c r="M819" s="10">
        <v>0</v>
      </c>
      <c r="N819" s="49">
        <v>61.78</v>
      </c>
      <c r="O819" s="9">
        <v>52.38</v>
      </c>
      <c r="P819" s="7" t="s">
        <v>64</v>
      </c>
      <c r="Q819" s="7" t="s">
        <v>26</v>
      </c>
      <c r="R819" s="28">
        <f t="shared" si="12"/>
        <v>7.2419937168846996E-2</v>
      </c>
    </row>
    <row r="820" spans="1:18" x14ac:dyDescent="0.3">
      <c r="A820" s="3" t="s">
        <v>1442</v>
      </c>
      <c r="B820" s="4">
        <v>45933</v>
      </c>
      <c r="C820" s="3" t="s">
        <v>1443</v>
      </c>
      <c r="D820" s="3" t="s">
        <v>39</v>
      </c>
      <c r="E820" s="3" t="s">
        <v>20</v>
      </c>
      <c r="F820" s="3" t="s">
        <v>129</v>
      </c>
      <c r="G820" s="3" t="s">
        <v>49</v>
      </c>
      <c r="H820" s="3" t="s">
        <v>91</v>
      </c>
      <c r="I820" s="3" t="s">
        <v>168</v>
      </c>
      <c r="J820" s="3">
        <v>2</v>
      </c>
      <c r="K820" s="5">
        <v>1256.6300000000001</v>
      </c>
      <c r="L820" s="5">
        <v>1759.28</v>
      </c>
      <c r="M820" s="6">
        <v>30</v>
      </c>
      <c r="N820" s="48">
        <v>248.86</v>
      </c>
      <c r="O820" s="5">
        <v>285.45999999999998</v>
      </c>
      <c r="P820" s="3" t="s">
        <v>35</v>
      </c>
      <c r="Q820" s="3" t="s">
        <v>57</v>
      </c>
      <c r="R820" s="28">
        <f t="shared" si="12"/>
        <v>0.14145559547087447</v>
      </c>
    </row>
    <row r="821" spans="1:18" x14ac:dyDescent="0.3">
      <c r="A821" s="7" t="s">
        <v>1444</v>
      </c>
      <c r="B821" s="8">
        <v>45934</v>
      </c>
      <c r="C821" s="7" t="s">
        <v>1118</v>
      </c>
      <c r="D821" s="7" t="s">
        <v>19</v>
      </c>
      <c r="E821" s="7" t="s">
        <v>40</v>
      </c>
      <c r="F821" s="7" t="s">
        <v>77</v>
      </c>
      <c r="G821" s="7" t="s">
        <v>42</v>
      </c>
      <c r="H821" s="7" t="s">
        <v>164</v>
      </c>
      <c r="I821" s="7" t="s">
        <v>329</v>
      </c>
      <c r="J821" s="7">
        <v>2</v>
      </c>
      <c r="K821" s="9">
        <v>541.97</v>
      </c>
      <c r="L821" s="9">
        <v>758.76</v>
      </c>
      <c r="M821" s="10">
        <v>30</v>
      </c>
      <c r="N821" s="49">
        <v>-36.85</v>
      </c>
      <c r="O821" s="9">
        <v>131.63999999999999</v>
      </c>
      <c r="P821" s="7" t="s">
        <v>64</v>
      </c>
      <c r="Q821" s="7" t="s">
        <v>65</v>
      </c>
      <c r="R821" s="28">
        <f t="shared" si="12"/>
        <v>-4.8566081501397018E-2</v>
      </c>
    </row>
    <row r="822" spans="1:18" x14ac:dyDescent="0.3">
      <c r="A822" s="3" t="s">
        <v>1445</v>
      </c>
      <c r="B822" s="4">
        <v>45934</v>
      </c>
      <c r="C822" s="3" t="s">
        <v>1446</v>
      </c>
      <c r="D822" s="3" t="s">
        <v>39</v>
      </c>
      <c r="E822" s="3" t="s">
        <v>40</v>
      </c>
      <c r="F822" s="3" t="s">
        <v>109</v>
      </c>
      <c r="G822" s="3" t="s">
        <v>134</v>
      </c>
      <c r="H822" s="3" t="s">
        <v>135</v>
      </c>
      <c r="I822" s="3" t="s">
        <v>185</v>
      </c>
      <c r="J822" s="3">
        <v>3</v>
      </c>
      <c r="K822" s="5">
        <v>2983.94</v>
      </c>
      <c r="L822" s="5">
        <v>6266.27</v>
      </c>
      <c r="M822" s="6">
        <v>30</v>
      </c>
      <c r="N822" s="48">
        <v>-391.75</v>
      </c>
      <c r="O822" s="5">
        <v>365.13</v>
      </c>
      <c r="P822" s="3" t="s">
        <v>35</v>
      </c>
      <c r="Q822" s="3" t="s">
        <v>65</v>
      </c>
      <c r="R822" s="28">
        <f t="shared" si="12"/>
        <v>-6.2517255081571646E-2</v>
      </c>
    </row>
    <row r="823" spans="1:18" x14ac:dyDescent="0.3">
      <c r="A823" s="7" t="s">
        <v>1447</v>
      </c>
      <c r="B823" s="8">
        <v>45934</v>
      </c>
      <c r="C823" s="7" t="s">
        <v>1179</v>
      </c>
      <c r="D823" s="7" t="s">
        <v>39</v>
      </c>
      <c r="E823" s="7" t="s">
        <v>30</v>
      </c>
      <c r="F823" s="7" t="s">
        <v>226</v>
      </c>
      <c r="G823" s="7" t="s">
        <v>49</v>
      </c>
      <c r="H823" s="7" t="s">
        <v>98</v>
      </c>
      <c r="I823" s="7" t="s">
        <v>299</v>
      </c>
      <c r="J823" s="7">
        <v>1</v>
      </c>
      <c r="K823" s="9">
        <v>3028.57</v>
      </c>
      <c r="L823" s="9">
        <v>2574.2800000000002</v>
      </c>
      <c r="M823" s="10">
        <v>15</v>
      </c>
      <c r="N823" s="49">
        <v>320.61</v>
      </c>
      <c r="O823" s="9">
        <v>294.23</v>
      </c>
      <c r="P823" s="7" t="s">
        <v>35</v>
      </c>
      <c r="Q823" s="7" t="s">
        <v>65</v>
      </c>
      <c r="R823" s="28">
        <f t="shared" si="12"/>
        <v>0.12454356169492052</v>
      </c>
    </row>
    <row r="824" spans="1:18" x14ac:dyDescent="0.3">
      <c r="A824" s="3" t="s">
        <v>1448</v>
      </c>
      <c r="B824" s="4">
        <v>45935</v>
      </c>
      <c r="C824" s="3" t="s">
        <v>1130</v>
      </c>
      <c r="D824" s="3" t="s">
        <v>19</v>
      </c>
      <c r="E824" s="3" t="s">
        <v>20</v>
      </c>
      <c r="F824" s="3" t="s">
        <v>54</v>
      </c>
      <c r="G824" s="3" t="s">
        <v>117</v>
      </c>
      <c r="H824" s="3" t="s">
        <v>153</v>
      </c>
      <c r="I824" s="3" t="s">
        <v>284</v>
      </c>
      <c r="J824" s="3">
        <v>2</v>
      </c>
      <c r="K824" s="5">
        <v>1735.46</v>
      </c>
      <c r="L824" s="5">
        <v>2950.28</v>
      </c>
      <c r="M824" s="6">
        <v>15</v>
      </c>
      <c r="N824" s="48">
        <v>648.67999999999995</v>
      </c>
      <c r="O824" s="5">
        <v>300.3</v>
      </c>
      <c r="P824" s="3" t="s">
        <v>64</v>
      </c>
      <c r="Q824" s="3" t="s">
        <v>36</v>
      </c>
      <c r="R824" s="28">
        <f t="shared" si="12"/>
        <v>0.21987065634448252</v>
      </c>
    </row>
    <row r="825" spans="1:18" x14ac:dyDescent="0.3">
      <c r="A825" s="7" t="s">
        <v>1449</v>
      </c>
      <c r="B825" s="8">
        <v>45935</v>
      </c>
      <c r="C825" s="7" t="s">
        <v>320</v>
      </c>
      <c r="D825" s="7" t="s">
        <v>39</v>
      </c>
      <c r="E825" s="7" t="s">
        <v>60</v>
      </c>
      <c r="F825" s="7" t="s">
        <v>61</v>
      </c>
      <c r="G825" s="7" t="s">
        <v>42</v>
      </c>
      <c r="H825" s="7" t="s">
        <v>172</v>
      </c>
      <c r="I825" s="7" t="s">
        <v>302</v>
      </c>
      <c r="J825" s="7">
        <v>3</v>
      </c>
      <c r="K825" s="9">
        <v>369.27</v>
      </c>
      <c r="L825" s="9">
        <v>886.25</v>
      </c>
      <c r="M825" s="10">
        <v>20</v>
      </c>
      <c r="N825" s="49">
        <v>10.56</v>
      </c>
      <c r="O825" s="9">
        <v>78.739999999999995</v>
      </c>
      <c r="P825" s="7" t="s">
        <v>35</v>
      </c>
      <c r="Q825" s="7" t="s">
        <v>65</v>
      </c>
      <c r="R825" s="28">
        <f t="shared" si="12"/>
        <v>1.191537376586742E-2</v>
      </c>
    </row>
    <row r="826" spans="1:18" x14ac:dyDescent="0.3">
      <c r="A826" s="3" t="s">
        <v>1450</v>
      </c>
      <c r="B826" s="4">
        <v>45935</v>
      </c>
      <c r="C826" s="3" t="s">
        <v>601</v>
      </c>
      <c r="D826" s="3" t="s">
        <v>19</v>
      </c>
      <c r="E826" s="3" t="s">
        <v>20</v>
      </c>
      <c r="F826" s="3" t="s">
        <v>21</v>
      </c>
      <c r="G826" s="3" t="s">
        <v>49</v>
      </c>
      <c r="H826" s="3" t="s">
        <v>98</v>
      </c>
      <c r="I826" s="3" t="s">
        <v>258</v>
      </c>
      <c r="J826" s="3">
        <v>2</v>
      </c>
      <c r="K826" s="5">
        <v>7151.09</v>
      </c>
      <c r="L826" s="5">
        <v>12871.96</v>
      </c>
      <c r="M826" s="6">
        <v>10</v>
      </c>
      <c r="N826" s="48">
        <v>855.4</v>
      </c>
      <c r="O826" s="5">
        <v>276.27999999999997</v>
      </c>
      <c r="P826" s="3" t="s">
        <v>35</v>
      </c>
      <c r="Q826" s="3" t="s">
        <v>57</v>
      </c>
      <c r="R826" s="28">
        <f t="shared" si="12"/>
        <v>6.6454525961858177E-2</v>
      </c>
    </row>
    <row r="827" spans="1:18" x14ac:dyDescent="0.3">
      <c r="A827" s="7" t="s">
        <v>1451</v>
      </c>
      <c r="B827" s="8">
        <v>45937</v>
      </c>
      <c r="C827" s="7" t="s">
        <v>379</v>
      </c>
      <c r="D827" s="7" t="s">
        <v>39</v>
      </c>
      <c r="E827" s="7" t="s">
        <v>60</v>
      </c>
      <c r="F827" s="7" t="s">
        <v>61</v>
      </c>
      <c r="G827" s="7" t="s">
        <v>32</v>
      </c>
      <c r="H827" s="7" t="s">
        <v>143</v>
      </c>
      <c r="I827" s="7" t="s">
        <v>516</v>
      </c>
      <c r="J827" s="7">
        <v>2</v>
      </c>
      <c r="K827" s="9">
        <v>8893.34</v>
      </c>
      <c r="L827" s="9">
        <v>17786.68</v>
      </c>
      <c r="M827" s="10">
        <v>0</v>
      </c>
      <c r="N827" s="49">
        <v>3834.47</v>
      </c>
      <c r="O827" s="9">
        <v>203.17</v>
      </c>
      <c r="P827" s="7" t="s">
        <v>64</v>
      </c>
      <c r="Q827" s="7" t="s">
        <v>36</v>
      </c>
      <c r="R827" s="28">
        <f t="shared" si="12"/>
        <v>0.21558098532160019</v>
      </c>
    </row>
    <row r="828" spans="1:18" x14ac:dyDescent="0.3">
      <c r="A828" s="3" t="s">
        <v>1452</v>
      </c>
      <c r="B828" s="4">
        <v>45937</v>
      </c>
      <c r="C828" s="3" t="s">
        <v>1453</v>
      </c>
      <c r="D828" s="3" t="s">
        <v>19</v>
      </c>
      <c r="E828" s="3" t="s">
        <v>60</v>
      </c>
      <c r="F828" s="3" t="s">
        <v>72</v>
      </c>
      <c r="G828" s="3" t="s">
        <v>117</v>
      </c>
      <c r="H828" s="3" t="s">
        <v>118</v>
      </c>
      <c r="I828" s="3" t="s">
        <v>119</v>
      </c>
      <c r="J828" s="3">
        <v>1</v>
      </c>
      <c r="K828" s="5">
        <v>1055.22</v>
      </c>
      <c r="L828" s="5">
        <v>896.94</v>
      </c>
      <c r="M828" s="6">
        <v>15</v>
      </c>
      <c r="N828" s="48">
        <v>144.96</v>
      </c>
      <c r="O828" s="5">
        <v>30.33</v>
      </c>
      <c r="P828" s="3" t="s">
        <v>25</v>
      </c>
      <c r="Q828" s="3" t="s">
        <v>26</v>
      </c>
      <c r="R828" s="28">
        <f t="shared" si="12"/>
        <v>0.1616161616161616</v>
      </c>
    </row>
    <row r="829" spans="1:18" x14ac:dyDescent="0.3">
      <c r="A829" s="7" t="s">
        <v>1454</v>
      </c>
      <c r="B829" s="8">
        <v>45937</v>
      </c>
      <c r="C829" s="7" t="s">
        <v>76</v>
      </c>
      <c r="D829" s="7" t="s">
        <v>29</v>
      </c>
      <c r="E829" s="7" t="s">
        <v>30</v>
      </c>
      <c r="F829" s="7" t="s">
        <v>31</v>
      </c>
      <c r="G829" s="7" t="s">
        <v>42</v>
      </c>
      <c r="H829" s="7" t="s">
        <v>81</v>
      </c>
      <c r="I829" s="7" t="s">
        <v>621</v>
      </c>
      <c r="J829" s="7">
        <v>2</v>
      </c>
      <c r="K829" s="9">
        <v>783.09</v>
      </c>
      <c r="L829" s="9">
        <v>1409.56</v>
      </c>
      <c r="M829" s="10">
        <v>10</v>
      </c>
      <c r="N829" s="49">
        <v>24.44</v>
      </c>
      <c r="O829" s="9">
        <v>309.55</v>
      </c>
      <c r="P829" s="7" t="s">
        <v>64</v>
      </c>
      <c r="Q829" s="7" t="s">
        <v>36</v>
      </c>
      <c r="R829" s="28">
        <f t="shared" si="12"/>
        <v>1.733874400522149E-2</v>
      </c>
    </row>
    <row r="830" spans="1:18" x14ac:dyDescent="0.3">
      <c r="A830" s="3" t="s">
        <v>1455</v>
      </c>
      <c r="B830" s="4">
        <v>45937</v>
      </c>
      <c r="C830" s="3" t="s">
        <v>1456</v>
      </c>
      <c r="D830" s="3" t="s">
        <v>19</v>
      </c>
      <c r="E830" s="3" t="s">
        <v>40</v>
      </c>
      <c r="F830" s="3" t="s">
        <v>77</v>
      </c>
      <c r="G830" s="3" t="s">
        <v>117</v>
      </c>
      <c r="H830" s="3" t="s">
        <v>130</v>
      </c>
      <c r="I830" s="3" t="s">
        <v>391</v>
      </c>
      <c r="J830" s="3">
        <v>1</v>
      </c>
      <c r="K830" s="5">
        <v>1556.2</v>
      </c>
      <c r="L830" s="5">
        <v>1089.3399999999999</v>
      </c>
      <c r="M830" s="6">
        <v>30</v>
      </c>
      <c r="N830" s="48">
        <v>61.99</v>
      </c>
      <c r="O830" s="5">
        <v>51.56</v>
      </c>
      <c r="P830" s="3" t="s">
        <v>45</v>
      </c>
      <c r="Q830" s="3" t="s">
        <v>57</v>
      </c>
      <c r="R830" s="28">
        <f t="shared" si="12"/>
        <v>5.6906016487047212E-2</v>
      </c>
    </row>
    <row r="831" spans="1:18" x14ac:dyDescent="0.3">
      <c r="A831" s="7" t="s">
        <v>1457</v>
      </c>
      <c r="B831" s="8">
        <v>45937</v>
      </c>
      <c r="C831" s="7" t="s">
        <v>430</v>
      </c>
      <c r="D831" s="7" t="s">
        <v>39</v>
      </c>
      <c r="E831" s="7" t="s">
        <v>30</v>
      </c>
      <c r="F831" s="7" t="s">
        <v>226</v>
      </c>
      <c r="G831" s="7" t="s">
        <v>49</v>
      </c>
      <c r="H831" s="7" t="s">
        <v>98</v>
      </c>
      <c r="I831" s="7" t="s">
        <v>258</v>
      </c>
      <c r="J831" s="7">
        <v>2</v>
      </c>
      <c r="K831" s="9">
        <v>10755.06</v>
      </c>
      <c r="L831" s="9">
        <v>20434.61</v>
      </c>
      <c r="M831" s="10">
        <v>5</v>
      </c>
      <c r="N831" s="49">
        <v>4083.29</v>
      </c>
      <c r="O831" s="9">
        <v>145.59</v>
      </c>
      <c r="P831" s="7" t="s">
        <v>25</v>
      </c>
      <c r="Q831" s="7" t="s">
        <v>57</v>
      </c>
      <c r="R831" s="28">
        <f t="shared" si="12"/>
        <v>0.19982226232847114</v>
      </c>
    </row>
    <row r="832" spans="1:18" x14ac:dyDescent="0.3">
      <c r="A832" s="3" t="s">
        <v>1458</v>
      </c>
      <c r="B832" s="4">
        <v>45938</v>
      </c>
      <c r="C832" s="3" t="s">
        <v>1363</v>
      </c>
      <c r="D832" s="3" t="s">
        <v>39</v>
      </c>
      <c r="E832" s="3" t="s">
        <v>20</v>
      </c>
      <c r="F832" s="3" t="s">
        <v>21</v>
      </c>
      <c r="G832" s="3" t="s">
        <v>42</v>
      </c>
      <c r="H832" s="3" t="s">
        <v>81</v>
      </c>
      <c r="I832" s="3" t="s">
        <v>621</v>
      </c>
      <c r="J832" s="3">
        <v>2</v>
      </c>
      <c r="K832" s="5">
        <v>196.37</v>
      </c>
      <c r="L832" s="5">
        <v>392.74</v>
      </c>
      <c r="M832" s="6">
        <v>0</v>
      </c>
      <c r="N832" s="48">
        <v>68.989999999999995</v>
      </c>
      <c r="O832" s="5">
        <v>154.37</v>
      </c>
      <c r="P832" s="3" t="s">
        <v>83</v>
      </c>
      <c r="Q832" s="3" t="s">
        <v>36</v>
      </c>
      <c r="R832" s="28">
        <f t="shared" si="12"/>
        <v>0.17566328868971837</v>
      </c>
    </row>
    <row r="833" spans="1:18" x14ac:dyDescent="0.3">
      <c r="A833" s="7" t="s">
        <v>1459</v>
      </c>
      <c r="B833" s="8">
        <v>45939</v>
      </c>
      <c r="C833" s="7" t="s">
        <v>1381</v>
      </c>
      <c r="D833" s="7" t="s">
        <v>19</v>
      </c>
      <c r="E833" s="7" t="s">
        <v>60</v>
      </c>
      <c r="F833" s="7" t="s">
        <v>68</v>
      </c>
      <c r="G833" s="7" t="s">
        <v>42</v>
      </c>
      <c r="H833" s="7" t="s">
        <v>81</v>
      </c>
      <c r="I833" s="7" t="s">
        <v>82</v>
      </c>
      <c r="J833" s="7">
        <v>1</v>
      </c>
      <c r="K833" s="9">
        <v>535.29999999999995</v>
      </c>
      <c r="L833" s="9">
        <v>508.53</v>
      </c>
      <c r="M833" s="10">
        <v>5</v>
      </c>
      <c r="N833" s="49">
        <v>90.57</v>
      </c>
      <c r="O833" s="9">
        <v>171.57</v>
      </c>
      <c r="P833" s="7" t="s">
        <v>64</v>
      </c>
      <c r="Q833" s="7" t="s">
        <v>26</v>
      </c>
      <c r="R833" s="28">
        <f t="shared" si="12"/>
        <v>0.17810158692702496</v>
      </c>
    </row>
    <row r="834" spans="1:18" x14ac:dyDescent="0.3">
      <c r="A834" s="3" t="s">
        <v>1460</v>
      </c>
      <c r="B834" s="4">
        <v>45939</v>
      </c>
      <c r="C834" s="3" t="s">
        <v>1461</v>
      </c>
      <c r="D834" s="3" t="s">
        <v>39</v>
      </c>
      <c r="E834" s="3" t="s">
        <v>20</v>
      </c>
      <c r="F834" s="3" t="s">
        <v>129</v>
      </c>
      <c r="G834" s="3" t="s">
        <v>49</v>
      </c>
      <c r="H834" s="3" t="s">
        <v>62</v>
      </c>
      <c r="I834" s="3" t="s">
        <v>122</v>
      </c>
      <c r="J834" s="3">
        <v>2</v>
      </c>
      <c r="K834" s="5">
        <v>3849.25</v>
      </c>
      <c r="L834" s="5">
        <v>6543.72</v>
      </c>
      <c r="M834" s="6">
        <v>15</v>
      </c>
      <c r="N834" s="48">
        <v>-98.75</v>
      </c>
      <c r="O834" s="5">
        <v>196.35</v>
      </c>
      <c r="P834" s="3" t="s">
        <v>64</v>
      </c>
      <c r="Q834" s="3" t="s">
        <v>57</v>
      </c>
      <c r="R834" s="28">
        <f t="shared" si="12"/>
        <v>-1.5090804618779532E-2</v>
      </c>
    </row>
    <row r="835" spans="1:18" x14ac:dyDescent="0.3">
      <c r="A835" s="7" t="s">
        <v>1462</v>
      </c>
      <c r="B835" s="8">
        <v>45939</v>
      </c>
      <c r="C835" s="7" t="s">
        <v>426</v>
      </c>
      <c r="D835" s="7" t="s">
        <v>19</v>
      </c>
      <c r="E835" s="7" t="s">
        <v>60</v>
      </c>
      <c r="F835" s="7" t="s">
        <v>68</v>
      </c>
      <c r="G835" s="7" t="s">
        <v>49</v>
      </c>
      <c r="H835" s="7" t="s">
        <v>50</v>
      </c>
      <c r="I835" s="7" t="s">
        <v>485</v>
      </c>
      <c r="J835" s="7">
        <v>1</v>
      </c>
      <c r="K835" s="9">
        <v>5526.61</v>
      </c>
      <c r="L835" s="9">
        <v>5250.28</v>
      </c>
      <c r="M835" s="10">
        <v>5</v>
      </c>
      <c r="N835" s="49">
        <v>1098.3599999999999</v>
      </c>
      <c r="O835" s="9">
        <v>216.77</v>
      </c>
      <c r="P835" s="7" t="s">
        <v>64</v>
      </c>
      <c r="Q835" s="7" t="s">
        <v>26</v>
      </c>
      <c r="R835" s="28">
        <f t="shared" ref="R835:R898" si="13">N835/L835</f>
        <v>0.20920027122362997</v>
      </c>
    </row>
    <row r="836" spans="1:18" x14ac:dyDescent="0.3">
      <c r="A836" s="3" t="s">
        <v>1463</v>
      </c>
      <c r="B836" s="4">
        <v>45939</v>
      </c>
      <c r="C836" s="3" t="s">
        <v>152</v>
      </c>
      <c r="D836" s="3" t="s">
        <v>19</v>
      </c>
      <c r="E836" s="3" t="s">
        <v>30</v>
      </c>
      <c r="F836" s="3" t="s">
        <v>48</v>
      </c>
      <c r="G836" s="3" t="s">
        <v>22</v>
      </c>
      <c r="H836" s="3" t="s">
        <v>110</v>
      </c>
      <c r="I836" s="3" t="s">
        <v>480</v>
      </c>
      <c r="J836" s="3">
        <v>2</v>
      </c>
      <c r="K836" s="5">
        <v>25078.48</v>
      </c>
      <c r="L836" s="5">
        <v>45141.26</v>
      </c>
      <c r="M836" s="6">
        <v>10</v>
      </c>
      <c r="N836" s="48">
        <v>4411.1000000000004</v>
      </c>
      <c r="O836" s="5">
        <v>348.12</v>
      </c>
      <c r="P836" s="3" t="s">
        <v>64</v>
      </c>
      <c r="Q836" s="3" t="s">
        <v>57</v>
      </c>
      <c r="R836" s="28">
        <f t="shared" si="13"/>
        <v>9.7717697733736286E-2</v>
      </c>
    </row>
    <row r="837" spans="1:18" x14ac:dyDescent="0.3">
      <c r="A837" s="7" t="s">
        <v>1464</v>
      </c>
      <c r="B837" s="8">
        <v>45940</v>
      </c>
      <c r="C837" s="7" t="s">
        <v>529</v>
      </c>
      <c r="D837" s="7" t="s">
        <v>19</v>
      </c>
      <c r="E837" s="7" t="s">
        <v>20</v>
      </c>
      <c r="F837" s="7" t="s">
        <v>54</v>
      </c>
      <c r="G837" s="7" t="s">
        <v>22</v>
      </c>
      <c r="H837" s="7" t="s">
        <v>55</v>
      </c>
      <c r="I837" s="7" t="s">
        <v>323</v>
      </c>
      <c r="J837" s="7">
        <v>1</v>
      </c>
      <c r="K837" s="9">
        <v>52469.91</v>
      </c>
      <c r="L837" s="9">
        <v>49846.41</v>
      </c>
      <c r="M837" s="10">
        <v>5</v>
      </c>
      <c r="N837" s="49">
        <v>4788.4799999999996</v>
      </c>
      <c r="O837" s="9">
        <v>163.68</v>
      </c>
      <c r="P837" s="7" t="s">
        <v>64</v>
      </c>
      <c r="Q837" s="7" t="s">
        <v>26</v>
      </c>
      <c r="R837" s="28">
        <f t="shared" si="13"/>
        <v>9.6064691519409301E-2</v>
      </c>
    </row>
    <row r="838" spans="1:18" x14ac:dyDescent="0.3">
      <c r="A838" s="3" t="s">
        <v>1465</v>
      </c>
      <c r="B838" s="4">
        <v>45940</v>
      </c>
      <c r="C838" s="3" t="s">
        <v>1466</v>
      </c>
      <c r="D838" s="3" t="s">
        <v>29</v>
      </c>
      <c r="E838" s="3" t="s">
        <v>20</v>
      </c>
      <c r="F838" s="3" t="s">
        <v>54</v>
      </c>
      <c r="G838" s="3" t="s">
        <v>22</v>
      </c>
      <c r="H838" s="3" t="s">
        <v>23</v>
      </c>
      <c r="I838" s="3" t="s">
        <v>78</v>
      </c>
      <c r="J838" s="3">
        <v>2</v>
      </c>
      <c r="K838" s="5">
        <v>43139.15</v>
      </c>
      <c r="L838" s="5">
        <v>86278.3</v>
      </c>
      <c r="M838" s="6">
        <v>0</v>
      </c>
      <c r="N838" s="48">
        <v>7246.98</v>
      </c>
      <c r="O838" s="5">
        <v>196.13</v>
      </c>
      <c r="P838" s="3" t="s">
        <v>35</v>
      </c>
      <c r="Q838" s="3" t="s">
        <v>65</v>
      </c>
      <c r="R838" s="28">
        <f t="shared" si="13"/>
        <v>8.3995396293158289E-2</v>
      </c>
    </row>
    <row r="839" spans="1:18" x14ac:dyDescent="0.3">
      <c r="A839" s="7" t="s">
        <v>1467</v>
      </c>
      <c r="B839" s="8">
        <v>45941</v>
      </c>
      <c r="C839" s="7" t="s">
        <v>880</v>
      </c>
      <c r="D839" s="7" t="s">
        <v>19</v>
      </c>
      <c r="E839" s="7" t="s">
        <v>30</v>
      </c>
      <c r="F839" s="7" t="s">
        <v>48</v>
      </c>
      <c r="G839" s="7" t="s">
        <v>134</v>
      </c>
      <c r="H839" s="7" t="s">
        <v>139</v>
      </c>
      <c r="I839" s="7" t="s">
        <v>220</v>
      </c>
      <c r="J839" s="7">
        <v>4</v>
      </c>
      <c r="K839" s="9">
        <v>1377.14</v>
      </c>
      <c r="L839" s="9">
        <v>4406.8500000000004</v>
      </c>
      <c r="M839" s="10">
        <v>20</v>
      </c>
      <c r="N839" s="49">
        <v>334.03</v>
      </c>
      <c r="O839" s="9">
        <v>188.7</v>
      </c>
      <c r="P839" s="7" t="s">
        <v>64</v>
      </c>
      <c r="Q839" s="7" t="s">
        <v>26</v>
      </c>
      <c r="R839" s="28">
        <f t="shared" si="13"/>
        <v>7.5797905533430895E-2</v>
      </c>
    </row>
    <row r="840" spans="1:18" x14ac:dyDescent="0.3">
      <c r="A840" s="3" t="s">
        <v>1468</v>
      </c>
      <c r="B840" s="4">
        <v>45941</v>
      </c>
      <c r="C840" s="3" t="s">
        <v>604</v>
      </c>
      <c r="D840" s="3" t="s">
        <v>39</v>
      </c>
      <c r="E840" s="3" t="s">
        <v>60</v>
      </c>
      <c r="F840" s="3" t="s">
        <v>68</v>
      </c>
      <c r="G840" s="3" t="s">
        <v>22</v>
      </c>
      <c r="H840" s="3" t="s">
        <v>110</v>
      </c>
      <c r="I840" s="3" t="s">
        <v>359</v>
      </c>
      <c r="J840" s="3">
        <v>1</v>
      </c>
      <c r="K840" s="5">
        <v>13995.74</v>
      </c>
      <c r="L840" s="5">
        <v>12596.17</v>
      </c>
      <c r="M840" s="6">
        <v>10</v>
      </c>
      <c r="N840" s="48">
        <v>-1107.44</v>
      </c>
      <c r="O840" s="5">
        <v>95.15</v>
      </c>
      <c r="P840" s="3" t="s">
        <v>64</v>
      </c>
      <c r="Q840" s="3" t="s">
        <v>65</v>
      </c>
      <c r="R840" s="28">
        <f t="shared" si="13"/>
        <v>-8.791878801254667E-2</v>
      </c>
    </row>
    <row r="841" spans="1:18" x14ac:dyDescent="0.3">
      <c r="A841" s="7" t="s">
        <v>1469</v>
      </c>
      <c r="B841" s="8">
        <v>45941</v>
      </c>
      <c r="C841" s="7" t="s">
        <v>286</v>
      </c>
      <c r="D841" s="7" t="s">
        <v>19</v>
      </c>
      <c r="E841" s="7" t="s">
        <v>30</v>
      </c>
      <c r="F841" s="7" t="s">
        <v>31</v>
      </c>
      <c r="G841" s="7" t="s">
        <v>49</v>
      </c>
      <c r="H841" s="7" t="s">
        <v>62</v>
      </c>
      <c r="I841" s="7" t="s">
        <v>341</v>
      </c>
      <c r="J841" s="7">
        <v>1</v>
      </c>
      <c r="K841" s="9">
        <v>8316.75</v>
      </c>
      <c r="L841" s="9">
        <v>7900.91</v>
      </c>
      <c r="M841" s="10">
        <v>5</v>
      </c>
      <c r="N841" s="49">
        <v>1461.03</v>
      </c>
      <c r="O841" s="9">
        <v>107.4</v>
      </c>
      <c r="P841" s="7" t="s">
        <v>25</v>
      </c>
      <c r="Q841" s="7" t="s">
        <v>65</v>
      </c>
      <c r="R841" s="28">
        <f t="shared" si="13"/>
        <v>0.18491920550923882</v>
      </c>
    </row>
    <row r="842" spans="1:18" x14ac:dyDescent="0.3">
      <c r="A842" s="3" t="s">
        <v>1470</v>
      </c>
      <c r="B842" s="4">
        <v>45941</v>
      </c>
      <c r="C842" s="3" t="s">
        <v>1471</v>
      </c>
      <c r="D842" s="3" t="s">
        <v>39</v>
      </c>
      <c r="E842" s="3" t="s">
        <v>30</v>
      </c>
      <c r="F842" s="3" t="s">
        <v>48</v>
      </c>
      <c r="G842" s="3" t="s">
        <v>22</v>
      </c>
      <c r="H842" s="3" t="s">
        <v>55</v>
      </c>
      <c r="I842" s="3" t="s">
        <v>416</v>
      </c>
      <c r="J842" s="3">
        <v>1</v>
      </c>
      <c r="K842" s="5">
        <v>26658.45</v>
      </c>
      <c r="L842" s="5">
        <v>22659.68</v>
      </c>
      <c r="M842" s="6">
        <v>15</v>
      </c>
      <c r="N842" s="48">
        <v>809.24</v>
      </c>
      <c r="O842" s="5">
        <v>298.74</v>
      </c>
      <c r="P842" s="3" t="s">
        <v>35</v>
      </c>
      <c r="Q842" s="3" t="s">
        <v>57</v>
      </c>
      <c r="R842" s="28">
        <f t="shared" si="13"/>
        <v>3.5712772642861684E-2</v>
      </c>
    </row>
    <row r="843" spans="1:18" x14ac:dyDescent="0.3">
      <c r="A843" s="7" t="s">
        <v>1472</v>
      </c>
      <c r="B843" s="8">
        <v>45941</v>
      </c>
      <c r="C843" s="7" t="s">
        <v>1473</v>
      </c>
      <c r="D843" s="7" t="s">
        <v>39</v>
      </c>
      <c r="E843" s="7" t="s">
        <v>40</v>
      </c>
      <c r="F843" s="7" t="s">
        <v>77</v>
      </c>
      <c r="G843" s="7" t="s">
        <v>49</v>
      </c>
      <c r="H843" s="7" t="s">
        <v>62</v>
      </c>
      <c r="I843" s="7" t="s">
        <v>122</v>
      </c>
      <c r="J843" s="7">
        <v>2</v>
      </c>
      <c r="K843" s="9">
        <v>7778.42</v>
      </c>
      <c r="L843" s="9">
        <v>15556.84</v>
      </c>
      <c r="M843" s="10">
        <v>0</v>
      </c>
      <c r="N843" s="49">
        <v>2500.9499999999998</v>
      </c>
      <c r="O843" s="9">
        <v>105.13</v>
      </c>
      <c r="P843" s="7" t="s">
        <v>83</v>
      </c>
      <c r="Q843" s="7" t="s">
        <v>57</v>
      </c>
      <c r="R843" s="28">
        <f t="shared" si="13"/>
        <v>0.1607620827880212</v>
      </c>
    </row>
    <row r="844" spans="1:18" x14ac:dyDescent="0.3">
      <c r="A844" s="3" t="s">
        <v>1474</v>
      </c>
      <c r="B844" s="4">
        <v>45942</v>
      </c>
      <c r="C844" s="3" t="s">
        <v>593</v>
      </c>
      <c r="D844" s="3" t="s">
        <v>39</v>
      </c>
      <c r="E844" s="3" t="s">
        <v>30</v>
      </c>
      <c r="F844" s="3" t="s">
        <v>48</v>
      </c>
      <c r="G844" s="3" t="s">
        <v>42</v>
      </c>
      <c r="H844" s="3" t="s">
        <v>81</v>
      </c>
      <c r="I844" s="3" t="s">
        <v>248</v>
      </c>
      <c r="J844" s="3">
        <v>1</v>
      </c>
      <c r="K844" s="5">
        <v>809.86</v>
      </c>
      <c r="L844" s="5">
        <v>688.38</v>
      </c>
      <c r="M844" s="6">
        <v>15</v>
      </c>
      <c r="N844" s="48">
        <v>-35.82</v>
      </c>
      <c r="O844" s="5">
        <v>333.75</v>
      </c>
      <c r="P844" s="3" t="s">
        <v>64</v>
      </c>
      <c r="Q844" s="3" t="s">
        <v>26</v>
      </c>
      <c r="R844" s="28">
        <f t="shared" si="13"/>
        <v>-5.2035213109038615E-2</v>
      </c>
    </row>
    <row r="845" spans="1:18" x14ac:dyDescent="0.3">
      <c r="A845" s="7" t="s">
        <v>1475</v>
      </c>
      <c r="B845" s="8">
        <v>45942</v>
      </c>
      <c r="C845" s="7" t="s">
        <v>1170</v>
      </c>
      <c r="D845" s="7" t="s">
        <v>39</v>
      </c>
      <c r="E845" s="7" t="s">
        <v>20</v>
      </c>
      <c r="F845" s="7" t="s">
        <v>129</v>
      </c>
      <c r="G845" s="7" t="s">
        <v>49</v>
      </c>
      <c r="H845" s="7" t="s">
        <v>91</v>
      </c>
      <c r="I845" s="7" t="s">
        <v>206</v>
      </c>
      <c r="J845" s="7">
        <v>1</v>
      </c>
      <c r="K845" s="9">
        <v>13961.89</v>
      </c>
      <c r="L845" s="9">
        <v>10471.42</v>
      </c>
      <c r="M845" s="10">
        <v>25</v>
      </c>
      <c r="N845" s="49">
        <v>716.06</v>
      </c>
      <c r="O845" s="9">
        <v>97.72</v>
      </c>
      <c r="P845" s="7" t="s">
        <v>25</v>
      </c>
      <c r="Q845" s="7" t="s">
        <v>65</v>
      </c>
      <c r="R845" s="28">
        <f t="shared" si="13"/>
        <v>6.8382320640371599E-2</v>
      </c>
    </row>
    <row r="846" spans="1:18" x14ac:dyDescent="0.3">
      <c r="A846" s="3" t="s">
        <v>1476</v>
      </c>
      <c r="B846" s="4">
        <v>45942</v>
      </c>
      <c r="C846" s="3" t="s">
        <v>1429</v>
      </c>
      <c r="D846" s="3" t="s">
        <v>19</v>
      </c>
      <c r="E846" s="3" t="s">
        <v>40</v>
      </c>
      <c r="F846" s="3" t="s">
        <v>109</v>
      </c>
      <c r="G846" s="3" t="s">
        <v>22</v>
      </c>
      <c r="H846" s="3" t="s">
        <v>110</v>
      </c>
      <c r="I846" s="3" t="s">
        <v>359</v>
      </c>
      <c r="J846" s="3">
        <v>3</v>
      </c>
      <c r="K846" s="5">
        <v>63133.85</v>
      </c>
      <c r="L846" s="5">
        <v>179931.47</v>
      </c>
      <c r="M846" s="6">
        <v>5</v>
      </c>
      <c r="N846" s="48">
        <v>24280.05</v>
      </c>
      <c r="O846" s="5">
        <v>361.54</v>
      </c>
      <c r="P846" s="3" t="s">
        <v>45</v>
      </c>
      <c r="Q846" s="3" t="s">
        <v>26</v>
      </c>
      <c r="R846" s="28">
        <f t="shared" si="13"/>
        <v>0.13494054152950566</v>
      </c>
    </row>
    <row r="847" spans="1:18" x14ac:dyDescent="0.3">
      <c r="A847" s="7" t="s">
        <v>1477</v>
      </c>
      <c r="B847" s="8">
        <v>45943</v>
      </c>
      <c r="C847" s="7" t="s">
        <v>599</v>
      </c>
      <c r="D847" s="7" t="s">
        <v>29</v>
      </c>
      <c r="E847" s="7" t="s">
        <v>20</v>
      </c>
      <c r="F847" s="7" t="s">
        <v>54</v>
      </c>
      <c r="G847" s="7" t="s">
        <v>134</v>
      </c>
      <c r="H847" s="7" t="s">
        <v>244</v>
      </c>
      <c r="I847" s="7" t="s">
        <v>334</v>
      </c>
      <c r="J847" s="7">
        <v>1</v>
      </c>
      <c r="K847" s="9">
        <v>1806.21</v>
      </c>
      <c r="L847" s="9">
        <v>1715.9</v>
      </c>
      <c r="M847" s="10">
        <v>5</v>
      </c>
      <c r="N847" s="49">
        <v>293.92</v>
      </c>
      <c r="O847" s="9">
        <v>275.29000000000002</v>
      </c>
      <c r="P847" s="7" t="s">
        <v>64</v>
      </c>
      <c r="Q847" s="7" t="s">
        <v>65</v>
      </c>
      <c r="R847" s="28">
        <f t="shared" si="13"/>
        <v>0.17129203333527596</v>
      </c>
    </row>
    <row r="848" spans="1:18" x14ac:dyDescent="0.3">
      <c r="A848" s="3" t="s">
        <v>1478</v>
      </c>
      <c r="B848" s="4">
        <v>45943</v>
      </c>
      <c r="C848" s="3" t="s">
        <v>809</v>
      </c>
      <c r="D848" s="3" t="s">
        <v>29</v>
      </c>
      <c r="E848" s="3" t="s">
        <v>60</v>
      </c>
      <c r="F848" s="3" t="s">
        <v>68</v>
      </c>
      <c r="G848" s="3" t="s">
        <v>32</v>
      </c>
      <c r="H848" s="3" t="s">
        <v>86</v>
      </c>
      <c r="I848" s="3" t="s">
        <v>227</v>
      </c>
      <c r="J848" s="3">
        <v>2</v>
      </c>
      <c r="K848" s="5">
        <v>11993.81</v>
      </c>
      <c r="L848" s="5">
        <v>21588.86</v>
      </c>
      <c r="M848" s="6">
        <v>10</v>
      </c>
      <c r="N848" s="48">
        <v>2249.48</v>
      </c>
      <c r="O848" s="5">
        <v>78.540000000000006</v>
      </c>
      <c r="P848" s="3" t="s">
        <v>35</v>
      </c>
      <c r="Q848" s="3" t="s">
        <v>65</v>
      </c>
      <c r="R848" s="28">
        <f t="shared" si="13"/>
        <v>0.10419633088546593</v>
      </c>
    </row>
    <row r="849" spans="1:18" x14ac:dyDescent="0.3">
      <c r="A849" s="7" t="s">
        <v>1479</v>
      </c>
      <c r="B849" s="8">
        <v>45944</v>
      </c>
      <c r="C849" s="7" t="s">
        <v>1034</v>
      </c>
      <c r="D849" s="7" t="s">
        <v>39</v>
      </c>
      <c r="E849" s="7" t="s">
        <v>20</v>
      </c>
      <c r="F849" s="7" t="s">
        <v>21</v>
      </c>
      <c r="G849" s="7" t="s">
        <v>117</v>
      </c>
      <c r="H849" s="7" t="s">
        <v>118</v>
      </c>
      <c r="I849" s="7" t="s">
        <v>438</v>
      </c>
      <c r="J849" s="7">
        <v>1</v>
      </c>
      <c r="K849" s="9">
        <v>1749.51</v>
      </c>
      <c r="L849" s="9">
        <v>1749.51</v>
      </c>
      <c r="M849" s="10">
        <v>0</v>
      </c>
      <c r="N849" s="49">
        <v>489.84</v>
      </c>
      <c r="O849" s="9">
        <v>275.60000000000002</v>
      </c>
      <c r="P849" s="7" t="s">
        <v>35</v>
      </c>
      <c r="Q849" s="7" t="s">
        <v>57</v>
      </c>
      <c r="R849" s="28">
        <f t="shared" si="13"/>
        <v>0.27998696777954968</v>
      </c>
    </row>
    <row r="850" spans="1:18" x14ac:dyDescent="0.3">
      <c r="A850" s="3" t="s">
        <v>1480</v>
      </c>
      <c r="B850" s="4">
        <v>45944</v>
      </c>
      <c r="C850" s="3" t="s">
        <v>1446</v>
      </c>
      <c r="D850" s="3" t="s">
        <v>29</v>
      </c>
      <c r="E850" s="3" t="s">
        <v>40</v>
      </c>
      <c r="F850" s="3" t="s">
        <v>90</v>
      </c>
      <c r="G850" s="3" t="s">
        <v>42</v>
      </c>
      <c r="H850" s="3" t="s">
        <v>43</v>
      </c>
      <c r="I850" s="3" t="s">
        <v>751</v>
      </c>
      <c r="J850" s="3">
        <v>1</v>
      </c>
      <c r="K850" s="5">
        <v>238.92</v>
      </c>
      <c r="L850" s="5">
        <v>203.08</v>
      </c>
      <c r="M850" s="6">
        <v>15</v>
      </c>
      <c r="N850" s="48">
        <v>-2</v>
      </c>
      <c r="O850" s="5">
        <v>179.34</v>
      </c>
      <c r="P850" s="3" t="s">
        <v>64</v>
      </c>
      <c r="Q850" s="3" t="s">
        <v>57</v>
      </c>
      <c r="R850" s="28">
        <f t="shared" si="13"/>
        <v>-9.8483356312783141E-3</v>
      </c>
    </row>
    <row r="851" spans="1:18" x14ac:dyDescent="0.3">
      <c r="A851" s="7" t="s">
        <v>1481</v>
      </c>
      <c r="B851" s="8">
        <v>45944</v>
      </c>
      <c r="C851" s="7" t="s">
        <v>819</v>
      </c>
      <c r="D851" s="7" t="s">
        <v>39</v>
      </c>
      <c r="E851" s="7" t="s">
        <v>40</v>
      </c>
      <c r="F851" s="7" t="s">
        <v>90</v>
      </c>
      <c r="G851" s="7" t="s">
        <v>32</v>
      </c>
      <c r="H851" s="7" t="s">
        <v>73</v>
      </c>
      <c r="I851" s="7" t="s">
        <v>74</v>
      </c>
      <c r="J851" s="7">
        <v>2</v>
      </c>
      <c r="K851" s="9">
        <v>4663.3999999999996</v>
      </c>
      <c r="L851" s="9">
        <v>8860.4599999999991</v>
      </c>
      <c r="M851" s="10">
        <v>5</v>
      </c>
      <c r="N851" s="49">
        <v>1554.02</v>
      </c>
      <c r="O851" s="9">
        <v>183.4</v>
      </c>
      <c r="P851" s="7" t="s">
        <v>25</v>
      </c>
      <c r="Q851" s="7" t="s">
        <v>26</v>
      </c>
      <c r="R851" s="28">
        <f t="shared" si="13"/>
        <v>0.17538818526351907</v>
      </c>
    </row>
    <row r="852" spans="1:18" x14ac:dyDescent="0.3">
      <c r="A852" s="3" t="s">
        <v>1482</v>
      </c>
      <c r="B852" s="4">
        <v>45944</v>
      </c>
      <c r="C852" s="3" t="s">
        <v>631</v>
      </c>
      <c r="D852" s="3" t="s">
        <v>39</v>
      </c>
      <c r="E852" s="3" t="s">
        <v>60</v>
      </c>
      <c r="F852" s="3" t="s">
        <v>72</v>
      </c>
      <c r="G852" s="3" t="s">
        <v>134</v>
      </c>
      <c r="H852" s="3" t="s">
        <v>244</v>
      </c>
      <c r="I852" s="3" t="s">
        <v>334</v>
      </c>
      <c r="J852" s="3">
        <v>4</v>
      </c>
      <c r="K852" s="5">
        <v>4233.09</v>
      </c>
      <c r="L852" s="5">
        <v>16932.36</v>
      </c>
      <c r="M852" s="6">
        <v>0</v>
      </c>
      <c r="N852" s="48">
        <v>3770.83</v>
      </c>
      <c r="O852" s="5">
        <v>355.35</v>
      </c>
      <c r="P852" s="3" t="s">
        <v>64</v>
      </c>
      <c r="Q852" s="3" t="s">
        <v>26</v>
      </c>
      <c r="R852" s="28">
        <f t="shared" si="13"/>
        <v>0.22269961186745379</v>
      </c>
    </row>
    <row r="853" spans="1:18" x14ac:dyDescent="0.3">
      <c r="A853" s="7" t="s">
        <v>1483</v>
      </c>
      <c r="B853" s="8">
        <v>45945</v>
      </c>
      <c r="C853" s="7" t="s">
        <v>1484</v>
      </c>
      <c r="D853" s="7" t="s">
        <v>19</v>
      </c>
      <c r="E853" s="7" t="s">
        <v>40</v>
      </c>
      <c r="F853" s="7" t="s">
        <v>77</v>
      </c>
      <c r="G853" s="7" t="s">
        <v>134</v>
      </c>
      <c r="H853" s="7" t="s">
        <v>139</v>
      </c>
      <c r="I853" s="7" t="s">
        <v>587</v>
      </c>
      <c r="J853" s="7">
        <v>2</v>
      </c>
      <c r="K853" s="9">
        <v>794.13</v>
      </c>
      <c r="L853" s="9">
        <v>1350.02</v>
      </c>
      <c r="M853" s="10">
        <v>15</v>
      </c>
      <c r="N853" s="49">
        <v>129.46</v>
      </c>
      <c r="O853" s="9">
        <v>166.89</v>
      </c>
      <c r="P853" s="7" t="s">
        <v>83</v>
      </c>
      <c r="Q853" s="7" t="s">
        <v>65</v>
      </c>
      <c r="R853" s="28">
        <f t="shared" si="13"/>
        <v>9.5894875631472129E-2</v>
      </c>
    </row>
    <row r="854" spans="1:18" x14ac:dyDescent="0.3">
      <c r="A854" s="3" t="s">
        <v>1485</v>
      </c>
      <c r="B854" s="4">
        <v>45946</v>
      </c>
      <c r="C854" s="3" t="s">
        <v>175</v>
      </c>
      <c r="D854" s="3" t="s">
        <v>29</v>
      </c>
      <c r="E854" s="3" t="s">
        <v>40</v>
      </c>
      <c r="F854" s="3" t="s">
        <v>77</v>
      </c>
      <c r="G854" s="3" t="s">
        <v>134</v>
      </c>
      <c r="H854" s="3" t="s">
        <v>135</v>
      </c>
      <c r="I854" s="3" t="s">
        <v>136</v>
      </c>
      <c r="J854" s="3">
        <v>1</v>
      </c>
      <c r="K854" s="5">
        <v>3473.31</v>
      </c>
      <c r="L854" s="5">
        <v>3473.31</v>
      </c>
      <c r="M854" s="6">
        <v>0</v>
      </c>
      <c r="N854" s="48">
        <v>623.72</v>
      </c>
      <c r="O854" s="5">
        <v>327.5</v>
      </c>
      <c r="P854" s="3" t="s">
        <v>35</v>
      </c>
      <c r="Q854" s="3" t="s">
        <v>57</v>
      </c>
      <c r="R854" s="28">
        <f t="shared" si="13"/>
        <v>0.17957510271182245</v>
      </c>
    </row>
    <row r="855" spans="1:18" x14ac:dyDescent="0.3">
      <c r="A855" s="7" t="s">
        <v>1486</v>
      </c>
      <c r="B855" s="8">
        <v>45946</v>
      </c>
      <c r="C855" s="7" t="s">
        <v>616</v>
      </c>
      <c r="D855" s="7" t="s">
        <v>39</v>
      </c>
      <c r="E855" s="7" t="s">
        <v>60</v>
      </c>
      <c r="F855" s="7" t="s">
        <v>104</v>
      </c>
      <c r="G855" s="7" t="s">
        <v>49</v>
      </c>
      <c r="H855" s="7" t="s">
        <v>98</v>
      </c>
      <c r="I855" s="7" t="s">
        <v>258</v>
      </c>
      <c r="J855" s="7">
        <v>3</v>
      </c>
      <c r="K855" s="9">
        <v>12416.09</v>
      </c>
      <c r="L855" s="9">
        <v>37248.269999999997</v>
      </c>
      <c r="M855" s="10">
        <v>0</v>
      </c>
      <c r="N855" s="49">
        <v>7946.89</v>
      </c>
      <c r="O855" s="9">
        <v>183.08</v>
      </c>
      <c r="P855" s="7" t="s">
        <v>25</v>
      </c>
      <c r="Q855" s="7" t="s">
        <v>36</v>
      </c>
      <c r="R855" s="28">
        <f t="shared" si="13"/>
        <v>0.21334923742767117</v>
      </c>
    </row>
    <row r="856" spans="1:18" x14ac:dyDescent="0.3">
      <c r="A856" s="3" t="s">
        <v>1487</v>
      </c>
      <c r="B856" s="4">
        <v>45946</v>
      </c>
      <c r="C856" s="3" t="s">
        <v>982</v>
      </c>
      <c r="D856" s="3" t="s">
        <v>29</v>
      </c>
      <c r="E856" s="3" t="s">
        <v>40</v>
      </c>
      <c r="F856" s="3" t="s">
        <v>90</v>
      </c>
      <c r="G856" s="3" t="s">
        <v>42</v>
      </c>
      <c r="H856" s="3" t="s">
        <v>172</v>
      </c>
      <c r="I856" s="3" t="s">
        <v>1014</v>
      </c>
      <c r="J856" s="3">
        <v>1</v>
      </c>
      <c r="K856" s="5">
        <v>365.13</v>
      </c>
      <c r="L856" s="5">
        <v>310.36</v>
      </c>
      <c r="M856" s="6">
        <v>15</v>
      </c>
      <c r="N856" s="48">
        <v>13.03</v>
      </c>
      <c r="O856" s="5">
        <v>174.4</v>
      </c>
      <c r="P856" s="3" t="s">
        <v>64</v>
      </c>
      <c r="Q856" s="3" t="s">
        <v>26</v>
      </c>
      <c r="R856" s="28">
        <f t="shared" si="13"/>
        <v>4.1983503028740814E-2</v>
      </c>
    </row>
    <row r="857" spans="1:18" x14ac:dyDescent="0.3">
      <c r="A857" s="7" t="s">
        <v>1488</v>
      </c>
      <c r="B857" s="8">
        <v>45946</v>
      </c>
      <c r="C857" s="7" t="s">
        <v>1305</v>
      </c>
      <c r="D857" s="7" t="s">
        <v>39</v>
      </c>
      <c r="E857" s="7" t="s">
        <v>20</v>
      </c>
      <c r="F857" s="7" t="s">
        <v>129</v>
      </c>
      <c r="G857" s="7" t="s">
        <v>42</v>
      </c>
      <c r="H857" s="7" t="s">
        <v>81</v>
      </c>
      <c r="I857" s="7" t="s">
        <v>248</v>
      </c>
      <c r="J857" s="7">
        <v>3</v>
      </c>
      <c r="K857" s="9">
        <v>391.76</v>
      </c>
      <c r="L857" s="9">
        <v>998.99</v>
      </c>
      <c r="M857" s="10">
        <v>15</v>
      </c>
      <c r="N857" s="49">
        <v>87.85</v>
      </c>
      <c r="O857" s="9">
        <v>142.19999999999999</v>
      </c>
      <c r="P857" s="7" t="s">
        <v>64</v>
      </c>
      <c r="Q857" s="7" t="s">
        <v>57</v>
      </c>
      <c r="R857" s="28">
        <f t="shared" si="13"/>
        <v>8.793881820638845E-2</v>
      </c>
    </row>
    <row r="858" spans="1:18" x14ac:dyDescent="0.3">
      <c r="A858" s="3" t="s">
        <v>1489</v>
      </c>
      <c r="B858" s="4">
        <v>45949</v>
      </c>
      <c r="C858" s="3" t="s">
        <v>1490</v>
      </c>
      <c r="D858" s="3" t="s">
        <v>19</v>
      </c>
      <c r="E858" s="3" t="s">
        <v>20</v>
      </c>
      <c r="F858" s="3" t="s">
        <v>129</v>
      </c>
      <c r="G858" s="3" t="s">
        <v>49</v>
      </c>
      <c r="H858" s="3" t="s">
        <v>91</v>
      </c>
      <c r="I858" s="3" t="s">
        <v>188</v>
      </c>
      <c r="J858" s="3">
        <v>2</v>
      </c>
      <c r="K858" s="5">
        <v>2217.67</v>
      </c>
      <c r="L858" s="5">
        <v>3991.81</v>
      </c>
      <c r="M858" s="6">
        <v>10</v>
      </c>
      <c r="N858" s="48">
        <v>558.95000000000005</v>
      </c>
      <c r="O858" s="5">
        <v>301.07</v>
      </c>
      <c r="P858" s="3" t="s">
        <v>83</v>
      </c>
      <c r="Q858" s="3" t="s">
        <v>26</v>
      </c>
      <c r="R858" s="28">
        <f t="shared" si="13"/>
        <v>0.14002419954857573</v>
      </c>
    </row>
    <row r="859" spans="1:18" x14ac:dyDescent="0.3">
      <c r="A859" s="7" t="s">
        <v>1491</v>
      </c>
      <c r="B859" s="8">
        <v>45949</v>
      </c>
      <c r="C859" s="7" t="s">
        <v>1492</v>
      </c>
      <c r="D859" s="7" t="s">
        <v>39</v>
      </c>
      <c r="E859" s="7" t="s">
        <v>60</v>
      </c>
      <c r="F859" s="7" t="s">
        <v>61</v>
      </c>
      <c r="G859" s="7" t="s">
        <v>49</v>
      </c>
      <c r="H859" s="7" t="s">
        <v>98</v>
      </c>
      <c r="I859" s="7" t="s">
        <v>99</v>
      </c>
      <c r="J859" s="7">
        <v>2</v>
      </c>
      <c r="K859" s="9">
        <v>2027.24</v>
      </c>
      <c r="L859" s="9">
        <v>3446.31</v>
      </c>
      <c r="M859" s="10">
        <v>15</v>
      </c>
      <c r="N859" s="49">
        <v>471.31</v>
      </c>
      <c r="O859" s="9">
        <v>167.83</v>
      </c>
      <c r="P859" s="7" t="s">
        <v>45</v>
      </c>
      <c r="Q859" s="7" t="s">
        <v>65</v>
      </c>
      <c r="R859" s="28">
        <f t="shared" si="13"/>
        <v>0.13675786565921233</v>
      </c>
    </row>
    <row r="860" spans="1:18" x14ac:dyDescent="0.3">
      <c r="A860" s="3" t="s">
        <v>1493</v>
      </c>
      <c r="B860" s="4">
        <v>45949</v>
      </c>
      <c r="C860" s="3" t="s">
        <v>473</v>
      </c>
      <c r="D860" s="3" t="s">
        <v>19</v>
      </c>
      <c r="E860" s="3" t="s">
        <v>20</v>
      </c>
      <c r="F860" s="3" t="s">
        <v>129</v>
      </c>
      <c r="G860" s="3" t="s">
        <v>134</v>
      </c>
      <c r="H860" s="3" t="s">
        <v>91</v>
      </c>
      <c r="I860" s="3" t="s">
        <v>206</v>
      </c>
      <c r="J860" s="3">
        <v>2</v>
      </c>
      <c r="K860" s="5">
        <v>1996.37</v>
      </c>
      <c r="L860" s="5">
        <v>3992.74</v>
      </c>
      <c r="M860" s="6">
        <v>0</v>
      </c>
      <c r="N860" s="48">
        <v>894.59</v>
      </c>
      <c r="O860" s="5">
        <v>320.76</v>
      </c>
      <c r="P860" s="3" t="s">
        <v>35</v>
      </c>
      <c r="Q860" s="3" t="s">
        <v>26</v>
      </c>
      <c r="R860" s="28">
        <f t="shared" si="13"/>
        <v>0.22405415829730962</v>
      </c>
    </row>
    <row r="861" spans="1:18" x14ac:dyDescent="0.3">
      <c r="A861" s="7" t="s">
        <v>1494</v>
      </c>
      <c r="B861" s="8">
        <v>45949</v>
      </c>
      <c r="C861" s="7" t="s">
        <v>947</v>
      </c>
      <c r="D861" s="7" t="s">
        <v>39</v>
      </c>
      <c r="E861" s="7" t="s">
        <v>40</v>
      </c>
      <c r="F861" s="7" t="s">
        <v>90</v>
      </c>
      <c r="G861" s="7" t="s">
        <v>32</v>
      </c>
      <c r="H861" s="7" t="s">
        <v>73</v>
      </c>
      <c r="I861" s="7" t="s">
        <v>214</v>
      </c>
      <c r="J861" s="7">
        <v>1</v>
      </c>
      <c r="K861" s="9">
        <v>7759.32</v>
      </c>
      <c r="L861" s="9">
        <v>6207.46</v>
      </c>
      <c r="M861" s="10">
        <v>20</v>
      </c>
      <c r="N861" s="49">
        <v>377.69</v>
      </c>
      <c r="O861" s="9">
        <v>276.64999999999998</v>
      </c>
      <c r="P861" s="7" t="s">
        <v>83</v>
      </c>
      <c r="Q861" s="7" t="s">
        <v>36</v>
      </c>
      <c r="R861" s="28">
        <f t="shared" si="13"/>
        <v>6.0844532224130318E-2</v>
      </c>
    </row>
    <row r="862" spans="1:18" x14ac:dyDescent="0.3">
      <c r="A862" s="3" t="s">
        <v>1495</v>
      </c>
      <c r="B862" s="4">
        <v>45950</v>
      </c>
      <c r="C862" s="3" t="s">
        <v>1471</v>
      </c>
      <c r="D862" s="3" t="s">
        <v>19</v>
      </c>
      <c r="E862" s="3" t="s">
        <v>40</v>
      </c>
      <c r="F862" s="3" t="s">
        <v>41</v>
      </c>
      <c r="G862" s="3" t="s">
        <v>22</v>
      </c>
      <c r="H862" s="3" t="s">
        <v>55</v>
      </c>
      <c r="I862" s="3" t="s">
        <v>323</v>
      </c>
      <c r="J862" s="3">
        <v>1</v>
      </c>
      <c r="K862" s="5">
        <v>63519.86</v>
      </c>
      <c r="L862" s="5">
        <v>63519.86</v>
      </c>
      <c r="M862" s="6">
        <v>0</v>
      </c>
      <c r="N862" s="48">
        <v>5756.38</v>
      </c>
      <c r="O862" s="5">
        <v>43.45</v>
      </c>
      <c r="P862" s="3" t="s">
        <v>45</v>
      </c>
      <c r="Q862" s="3" t="s">
        <v>65</v>
      </c>
      <c r="R862" s="28">
        <f t="shared" si="13"/>
        <v>9.0623310567749998E-2</v>
      </c>
    </row>
    <row r="863" spans="1:18" x14ac:dyDescent="0.3">
      <c r="A863" s="7" t="s">
        <v>1496</v>
      </c>
      <c r="B863" s="8">
        <v>45950</v>
      </c>
      <c r="C863" s="7" t="s">
        <v>865</v>
      </c>
      <c r="D863" s="7" t="s">
        <v>39</v>
      </c>
      <c r="E863" s="7" t="s">
        <v>30</v>
      </c>
      <c r="F863" s="7" t="s">
        <v>48</v>
      </c>
      <c r="G863" s="7" t="s">
        <v>22</v>
      </c>
      <c r="H863" s="7" t="s">
        <v>55</v>
      </c>
      <c r="I863" s="7" t="s">
        <v>323</v>
      </c>
      <c r="J863" s="7">
        <v>2</v>
      </c>
      <c r="K863" s="9">
        <v>26500.12</v>
      </c>
      <c r="L863" s="9">
        <v>53000.24</v>
      </c>
      <c r="M863" s="10">
        <v>0</v>
      </c>
      <c r="N863" s="49">
        <v>136.88</v>
      </c>
      <c r="O863" s="9">
        <v>87.15</v>
      </c>
      <c r="P863" s="7" t="s">
        <v>64</v>
      </c>
      <c r="Q863" s="7" t="s">
        <v>57</v>
      </c>
      <c r="R863" s="28">
        <f t="shared" si="13"/>
        <v>2.5826298145065004E-3</v>
      </c>
    </row>
    <row r="864" spans="1:18" x14ac:dyDescent="0.3">
      <c r="A864" s="3" t="s">
        <v>1497</v>
      </c>
      <c r="B864" s="4">
        <v>45950</v>
      </c>
      <c r="C864" s="3" t="s">
        <v>444</v>
      </c>
      <c r="D864" s="3" t="s">
        <v>19</v>
      </c>
      <c r="E864" s="3" t="s">
        <v>20</v>
      </c>
      <c r="F864" s="3" t="s">
        <v>54</v>
      </c>
      <c r="G864" s="3" t="s">
        <v>134</v>
      </c>
      <c r="H864" s="3" t="s">
        <v>135</v>
      </c>
      <c r="I864" s="3" t="s">
        <v>382</v>
      </c>
      <c r="J864" s="3">
        <v>1</v>
      </c>
      <c r="K864" s="5">
        <v>2702.42</v>
      </c>
      <c r="L864" s="5">
        <v>2432.1799999999998</v>
      </c>
      <c r="M864" s="6">
        <v>10</v>
      </c>
      <c r="N864" s="48">
        <v>387.74</v>
      </c>
      <c r="O864" s="5">
        <v>119.46</v>
      </c>
      <c r="P864" s="3" t="s">
        <v>64</v>
      </c>
      <c r="Q864" s="3" t="s">
        <v>65</v>
      </c>
      <c r="R864" s="28">
        <f t="shared" si="13"/>
        <v>0.15942076655510695</v>
      </c>
    </row>
    <row r="865" spans="1:18" x14ac:dyDescent="0.3">
      <c r="A865" s="7" t="s">
        <v>1498</v>
      </c>
      <c r="B865" s="8">
        <v>45950</v>
      </c>
      <c r="C865" s="7" t="s">
        <v>306</v>
      </c>
      <c r="D865" s="7" t="s">
        <v>39</v>
      </c>
      <c r="E865" s="7" t="s">
        <v>40</v>
      </c>
      <c r="F865" s="7" t="s">
        <v>90</v>
      </c>
      <c r="G865" s="7" t="s">
        <v>117</v>
      </c>
      <c r="H865" s="7" t="s">
        <v>153</v>
      </c>
      <c r="I865" s="7" t="s">
        <v>296</v>
      </c>
      <c r="J865" s="7">
        <v>1</v>
      </c>
      <c r="K865" s="9">
        <v>1236.3699999999999</v>
      </c>
      <c r="L865" s="9">
        <v>989.1</v>
      </c>
      <c r="M865" s="10">
        <v>20</v>
      </c>
      <c r="N865" s="49">
        <v>231.48</v>
      </c>
      <c r="O865" s="9">
        <v>312.32</v>
      </c>
      <c r="P865" s="7" t="s">
        <v>25</v>
      </c>
      <c r="Q865" s="7" t="s">
        <v>65</v>
      </c>
      <c r="R865" s="28">
        <f t="shared" si="13"/>
        <v>0.23403093721565058</v>
      </c>
    </row>
    <row r="866" spans="1:18" x14ac:dyDescent="0.3">
      <c r="A866" s="3" t="s">
        <v>1499</v>
      </c>
      <c r="B866" s="4">
        <v>45950</v>
      </c>
      <c r="C866" s="3" t="s">
        <v>1130</v>
      </c>
      <c r="D866" s="3" t="s">
        <v>19</v>
      </c>
      <c r="E866" s="3" t="s">
        <v>30</v>
      </c>
      <c r="F866" s="3" t="s">
        <v>48</v>
      </c>
      <c r="G866" s="3" t="s">
        <v>22</v>
      </c>
      <c r="H866" s="3" t="s">
        <v>624</v>
      </c>
      <c r="I866" s="3" t="s">
        <v>932</v>
      </c>
      <c r="J866" s="3">
        <v>1</v>
      </c>
      <c r="K866" s="5">
        <v>55747.34</v>
      </c>
      <c r="L866" s="5">
        <v>52959.97</v>
      </c>
      <c r="M866" s="6">
        <v>5</v>
      </c>
      <c r="N866" s="48">
        <v>1923.84</v>
      </c>
      <c r="O866" s="5">
        <v>312.42</v>
      </c>
      <c r="P866" s="3" t="s">
        <v>25</v>
      </c>
      <c r="Q866" s="3" t="s">
        <v>36</v>
      </c>
      <c r="R866" s="28">
        <f t="shared" si="13"/>
        <v>3.6326304565504848E-2</v>
      </c>
    </row>
    <row r="867" spans="1:18" x14ac:dyDescent="0.3">
      <c r="A867" s="7" t="s">
        <v>1500</v>
      </c>
      <c r="B867" s="8">
        <v>45951</v>
      </c>
      <c r="C867" s="7" t="s">
        <v>1183</v>
      </c>
      <c r="D867" s="7" t="s">
        <v>39</v>
      </c>
      <c r="E867" s="7" t="s">
        <v>30</v>
      </c>
      <c r="F867" s="7" t="s">
        <v>31</v>
      </c>
      <c r="G867" s="7" t="s">
        <v>134</v>
      </c>
      <c r="H867" s="7" t="s">
        <v>244</v>
      </c>
      <c r="I867" s="7" t="s">
        <v>245</v>
      </c>
      <c r="J867" s="7">
        <v>1</v>
      </c>
      <c r="K867" s="9">
        <v>433.32</v>
      </c>
      <c r="L867" s="9">
        <v>303.32</v>
      </c>
      <c r="M867" s="10">
        <v>30</v>
      </c>
      <c r="N867" s="49">
        <v>-0.11</v>
      </c>
      <c r="O867" s="9">
        <v>224.19</v>
      </c>
      <c r="P867" s="7" t="s">
        <v>25</v>
      </c>
      <c r="Q867" s="7" t="s">
        <v>26</v>
      </c>
      <c r="R867" s="28">
        <f t="shared" si="13"/>
        <v>-3.6265330344190956E-4</v>
      </c>
    </row>
    <row r="868" spans="1:18" x14ac:dyDescent="0.3">
      <c r="A868" s="3" t="s">
        <v>1501</v>
      </c>
      <c r="B868" s="4">
        <v>45951</v>
      </c>
      <c r="C868" s="3" t="s">
        <v>822</v>
      </c>
      <c r="D868" s="3" t="s">
        <v>39</v>
      </c>
      <c r="E868" s="3" t="s">
        <v>30</v>
      </c>
      <c r="F868" s="3" t="s">
        <v>31</v>
      </c>
      <c r="G868" s="3" t="s">
        <v>42</v>
      </c>
      <c r="H868" s="3" t="s">
        <v>43</v>
      </c>
      <c r="I868" s="3" t="s">
        <v>751</v>
      </c>
      <c r="J868" s="3">
        <v>1</v>
      </c>
      <c r="K868" s="5">
        <v>861.01</v>
      </c>
      <c r="L868" s="5">
        <v>774.91</v>
      </c>
      <c r="M868" s="6">
        <v>10</v>
      </c>
      <c r="N868" s="48">
        <v>12.04</v>
      </c>
      <c r="O868" s="5">
        <v>291.25</v>
      </c>
      <c r="P868" s="3" t="s">
        <v>64</v>
      </c>
      <c r="Q868" s="3" t="s">
        <v>65</v>
      </c>
      <c r="R868" s="28">
        <f t="shared" si="13"/>
        <v>1.5537288201210463E-2</v>
      </c>
    </row>
    <row r="869" spans="1:18" x14ac:dyDescent="0.3">
      <c r="A869" s="7" t="s">
        <v>1502</v>
      </c>
      <c r="B869" s="8">
        <v>45951</v>
      </c>
      <c r="C869" s="7" t="s">
        <v>1503</v>
      </c>
      <c r="D869" s="7" t="s">
        <v>39</v>
      </c>
      <c r="E869" s="7" t="s">
        <v>20</v>
      </c>
      <c r="F869" s="7" t="s">
        <v>21</v>
      </c>
      <c r="G869" s="7" t="s">
        <v>117</v>
      </c>
      <c r="H869" s="7" t="s">
        <v>130</v>
      </c>
      <c r="I869" s="7" t="s">
        <v>310</v>
      </c>
      <c r="J869" s="7">
        <v>3</v>
      </c>
      <c r="K869" s="9">
        <v>995.84</v>
      </c>
      <c r="L869" s="9">
        <v>2539.39</v>
      </c>
      <c r="M869" s="10">
        <v>15</v>
      </c>
      <c r="N869" s="49">
        <v>335.41</v>
      </c>
      <c r="O869" s="9">
        <v>308.26</v>
      </c>
      <c r="P869" s="7" t="s">
        <v>25</v>
      </c>
      <c r="Q869" s="7" t="s">
        <v>26</v>
      </c>
      <c r="R869" s="28">
        <f t="shared" si="13"/>
        <v>0.13208290179925103</v>
      </c>
    </row>
    <row r="870" spans="1:18" x14ac:dyDescent="0.3">
      <c r="A870" s="3" t="s">
        <v>1504</v>
      </c>
      <c r="B870" s="4">
        <v>45952</v>
      </c>
      <c r="C870" s="3" t="s">
        <v>563</v>
      </c>
      <c r="D870" s="3" t="s">
        <v>39</v>
      </c>
      <c r="E870" s="3" t="s">
        <v>20</v>
      </c>
      <c r="F870" s="3" t="s">
        <v>129</v>
      </c>
      <c r="G870" s="3" t="s">
        <v>42</v>
      </c>
      <c r="H870" s="3" t="s">
        <v>164</v>
      </c>
      <c r="I870" s="3" t="s">
        <v>165</v>
      </c>
      <c r="J870" s="3">
        <v>1</v>
      </c>
      <c r="K870" s="5">
        <v>250.5</v>
      </c>
      <c r="L870" s="5">
        <v>237.97</v>
      </c>
      <c r="M870" s="6">
        <v>5</v>
      </c>
      <c r="N870" s="48">
        <v>19.809999999999999</v>
      </c>
      <c r="O870" s="5">
        <v>37.56</v>
      </c>
      <c r="P870" s="3" t="s">
        <v>35</v>
      </c>
      <c r="Q870" s="3" t="s">
        <v>57</v>
      </c>
      <c r="R870" s="28">
        <f t="shared" si="13"/>
        <v>8.3245787284111444E-2</v>
      </c>
    </row>
    <row r="871" spans="1:18" x14ac:dyDescent="0.3">
      <c r="A871" s="7" t="s">
        <v>1505</v>
      </c>
      <c r="B871" s="8">
        <v>45952</v>
      </c>
      <c r="C871" s="7" t="s">
        <v>1506</v>
      </c>
      <c r="D871" s="7" t="s">
        <v>19</v>
      </c>
      <c r="E871" s="7" t="s">
        <v>20</v>
      </c>
      <c r="F871" s="7" t="s">
        <v>129</v>
      </c>
      <c r="G871" s="7" t="s">
        <v>22</v>
      </c>
      <c r="H871" s="7" t="s">
        <v>110</v>
      </c>
      <c r="I871" s="7" t="s">
        <v>480</v>
      </c>
      <c r="J871" s="7">
        <v>1</v>
      </c>
      <c r="K871" s="9">
        <v>25399.7</v>
      </c>
      <c r="L871" s="9">
        <v>25399.7</v>
      </c>
      <c r="M871" s="10">
        <v>0</v>
      </c>
      <c r="N871" s="49">
        <v>1528.42</v>
      </c>
      <c r="O871" s="9">
        <v>282.08999999999997</v>
      </c>
      <c r="P871" s="7" t="s">
        <v>25</v>
      </c>
      <c r="Q871" s="7" t="s">
        <v>36</v>
      </c>
      <c r="R871" s="28">
        <f t="shared" si="13"/>
        <v>6.0174726473147325E-2</v>
      </c>
    </row>
    <row r="872" spans="1:18" x14ac:dyDescent="0.3">
      <c r="A872" s="3" t="s">
        <v>1507</v>
      </c>
      <c r="B872" s="4">
        <v>45952</v>
      </c>
      <c r="C872" s="3" t="s">
        <v>595</v>
      </c>
      <c r="D872" s="3" t="s">
        <v>29</v>
      </c>
      <c r="E872" s="3" t="s">
        <v>30</v>
      </c>
      <c r="F872" s="3" t="s">
        <v>48</v>
      </c>
      <c r="G872" s="3" t="s">
        <v>22</v>
      </c>
      <c r="H872" s="3" t="s">
        <v>110</v>
      </c>
      <c r="I872" s="3" t="s">
        <v>111</v>
      </c>
      <c r="J872" s="3">
        <v>2</v>
      </c>
      <c r="K872" s="5">
        <v>63795.32</v>
      </c>
      <c r="L872" s="5">
        <v>127590.64</v>
      </c>
      <c r="M872" s="6">
        <v>0</v>
      </c>
      <c r="N872" s="48">
        <v>-638.12</v>
      </c>
      <c r="O872" s="5">
        <v>252.84</v>
      </c>
      <c r="P872" s="3" t="s">
        <v>64</v>
      </c>
      <c r="Q872" s="3" t="s">
        <v>26</v>
      </c>
      <c r="R872" s="28">
        <f t="shared" si="13"/>
        <v>-5.0013073059277701E-3</v>
      </c>
    </row>
    <row r="873" spans="1:18" x14ac:dyDescent="0.3">
      <c r="A873" s="7" t="s">
        <v>1508</v>
      </c>
      <c r="B873" s="8">
        <v>45953</v>
      </c>
      <c r="C873" s="7" t="s">
        <v>1509</v>
      </c>
      <c r="D873" s="7" t="s">
        <v>39</v>
      </c>
      <c r="E873" s="7" t="s">
        <v>60</v>
      </c>
      <c r="F873" s="7" t="s">
        <v>72</v>
      </c>
      <c r="G873" s="7" t="s">
        <v>42</v>
      </c>
      <c r="H873" s="7" t="s">
        <v>81</v>
      </c>
      <c r="I873" s="7" t="s">
        <v>621</v>
      </c>
      <c r="J873" s="7">
        <v>3</v>
      </c>
      <c r="K873" s="9">
        <v>1183.9000000000001</v>
      </c>
      <c r="L873" s="9">
        <v>3196.53</v>
      </c>
      <c r="M873" s="10">
        <v>10</v>
      </c>
      <c r="N873" s="49">
        <v>475.24</v>
      </c>
      <c r="O873" s="9">
        <v>359.96</v>
      </c>
      <c r="P873" s="7" t="s">
        <v>35</v>
      </c>
      <c r="Q873" s="7" t="s">
        <v>26</v>
      </c>
      <c r="R873" s="28">
        <f t="shared" si="13"/>
        <v>0.1486737180630246</v>
      </c>
    </row>
    <row r="874" spans="1:18" x14ac:dyDescent="0.3">
      <c r="A874" s="3" t="s">
        <v>1510</v>
      </c>
      <c r="B874" s="4">
        <v>45953</v>
      </c>
      <c r="C874" s="3" t="s">
        <v>225</v>
      </c>
      <c r="D874" s="3" t="s">
        <v>19</v>
      </c>
      <c r="E874" s="3" t="s">
        <v>30</v>
      </c>
      <c r="F874" s="3" t="s">
        <v>31</v>
      </c>
      <c r="G874" s="3" t="s">
        <v>117</v>
      </c>
      <c r="H874" s="3" t="s">
        <v>118</v>
      </c>
      <c r="I874" s="3" t="s">
        <v>279</v>
      </c>
      <c r="J874" s="3">
        <v>2</v>
      </c>
      <c r="K874" s="5">
        <v>1399.68</v>
      </c>
      <c r="L874" s="5">
        <v>2379.46</v>
      </c>
      <c r="M874" s="6">
        <v>15</v>
      </c>
      <c r="N874" s="48">
        <v>485.92</v>
      </c>
      <c r="O874" s="5">
        <v>155.33000000000001</v>
      </c>
      <c r="P874" s="3" t="s">
        <v>83</v>
      </c>
      <c r="Q874" s="3" t="s">
        <v>26</v>
      </c>
      <c r="R874" s="28">
        <f t="shared" si="13"/>
        <v>0.20421440158691467</v>
      </c>
    </row>
    <row r="875" spans="1:18" x14ac:dyDescent="0.3">
      <c r="A875" s="7" t="s">
        <v>1511</v>
      </c>
      <c r="B875" s="8">
        <v>45953</v>
      </c>
      <c r="C875" s="7" t="s">
        <v>1255</v>
      </c>
      <c r="D875" s="7" t="s">
        <v>19</v>
      </c>
      <c r="E875" s="7" t="s">
        <v>60</v>
      </c>
      <c r="F875" s="7" t="s">
        <v>61</v>
      </c>
      <c r="G875" s="7" t="s">
        <v>134</v>
      </c>
      <c r="H875" s="7" t="s">
        <v>244</v>
      </c>
      <c r="I875" s="7" t="s">
        <v>334</v>
      </c>
      <c r="J875" s="7">
        <v>1</v>
      </c>
      <c r="K875" s="9">
        <v>550.27</v>
      </c>
      <c r="L875" s="9">
        <v>495.24</v>
      </c>
      <c r="M875" s="10">
        <v>10</v>
      </c>
      <c r="N875" s="49">
        <v>50.1</v>
      </c>
      <c r="O875" s="9">
        <v>223.39</v>
      </c>
      <c r="P875" s="7" t="s">
        <v>25</v>
      </c>
      <c r="Q875" s="7" t="s">
        <v>65</v>
      </c>
      <c r="R875" s="28">
        <f t="shared" si="13"/>
        <v>0.10116307244972135</v>
      </c>
    </row>
    <row r="876" spans="1:18" x14ac:dyDescent="0.3">
      <c r="A876" s="3" t="s">
        <v>1512</v>
      </c>
      <c r="B876" s="4">
        <v>45954</v>
      </c>
      <c r="C876" s="3" t="s">
        <v>403</v>
      </c>
      <c r="D876" s="3" t="s">
        <v>19</v>
      </c>
      <c r="E876" s="3" t="s">
        <v>60</v>
      </c>
      <c r="F876" s="3" t="s">
        <v>72</v>
      </c>
      <c r="G876" s="3" t="s">
        <v>117</v>
      </c>
      <c r="H876" s="3" t="s">
        <v>153</v>
      </c>
      <c r="I876" s="3" t="s">
        <v>154</v>
      </c>
      <c r="J876" s="3">
        <v>4</v>
      </c>
      <c r="K876" s="5">
        <v>522.19000000000005</v>
      </c>
      <c r="L876" s="5">
        <v>2088.7600000000002</v>
      </c>
      <c r="M876" s="6">
        <v>0</v>
      </c>
      <c r="N876" s="48">
        <v>600.91</v>
      </c>
      <c r="O876" s="5">
        <v>240.87</v>
      </c>
      <c r="P876" s="3" t="s">
        <v>64</v>
      </c>
      <c r="Q876" s="3" t="s">
        <v>65</v>
      </c>
      <c r="R876" s="28">
        <f t="shared" si="13"/>
        <v>0.28768743177770539</v>
      </c>
    </row>
    <row r="877" spans="1:18" x14ac:dyDescent="0.3">
      <c r="A877" s="7" t="s">
        <v>1513</v>
      </c>
      <c r="B877" s="8">
        <v>45954</v>
      </c>
      <c r="C877" s="7" t="s">
        <v>1514</v>
      </c>
      <c r="D877" s="7" t="s">
        <v>39</v>
      </c>
      <c r="E877" s="7" t="s">
        <v>60</v>
      </c>
      <c r="F877" s="7" t="s">
        <v>72</v>
      </c>
      <c r="G877" s="7" t="s">
        <v>42</v>
      </c>
      <c r="H877" s="7" t="s">
        <v>43</v>
      </c>
      <c r="I877" s="7" t="s">
        <v>1220</v>
      </c>
      <c r="J877" s="7">
        <v>3</v>
      </c>
      <c r="K877" s="9">
        <v>371.68</v>
      </c>
      <c r="L877" s="9">
        <v>947.78</v>
      </c>
      <c r="M877" s="10">
        <v>15</v>
      </c>
      <c r="N877" s="49">
        <v>-80.89</v>
      </c>
      <c r="O877" s="9">
        <v>167.01</v>
      </c>
      <c r="P877" s="7" t="s">
        <v>83</v>
      </c>
      <c r="Q877" s="7" t="s">
        <v>36</v>
      </c>
      <c r="R877" s="28">
        <f t="shared" si="13"/>
        <v>-8.5346810441241636E-2</v>
      </c>
    </row>
    <row r="878" spans="1:18" x14ac:dyDescent="0.3">
      <c r="A878" s="3" t="s">
        <v>1515</v>
      </c>
      <c r="B878" s="4">
        <v>45955</v>
      </c>
      <c r="C878" s="3" t="s">
        <v>782</v>
      </c>
      <c r="D878" s="3" t="s">
        <v>39</v>
      </c>
      <c r="E878" s="3" t="s">
        <v>30</v>
      </c>
      <c r="F878" s="3" t="s">
        <v>226</v>
      </c>
      <c r="G878" s="3" t="s">
        <v>49</v>
      </c>
      <c r="H878" s="3" t="s">
        <v>91</v>
      </c>
      <c r="I878" s="3" t="s">
        <v>92</v>
      </c>
      <c r="J878" s="3">
        <v>1</v>
      </c>
      <c r="K878" s="5">
        <v>13053.26</v>
      </c>
      <c r="L878" s="5">
        <v>11747.93</v>
      </c>
      <c r="M878" s="6">
        <v>10</v>
      </c>
      <c r="N878" s="48">
        <v>743.61</v>
      </c>
      <c r="O878" s="5">
        <v>247.55</v>
      </c>
      <c r="P878" s="3" t="s">
        <v>35</v>
      </c>
      <c r="Q878" s="3" t="s">
        <v>65</v>
      </c>
      <c r="R878" s="28">
        <f t="shared" si="13"/>
        <v>6.3297108511882513E-2</v>
      </c>
    </row>
    <row r="879" spans="1:18" x14ac:dyDescent="0.3">
      <c r="A879" s="7" t="s">
        <v>1516</v>
      </c>
      <c r="B879" s="8">
        <v>45955</v>
      </c>
      <c r="C879" s="7" t="s">
        <v>947</v>
      </c>
      <c r="D879" s="7" t="s">
        <v>39</v>
      </c>
      <c r="E879" s="7" t="s">
        <v>40</v>
      </c>
      <c r="F879" s="7" t="s">
        <v>109</v>
      </c>
      <c r="G879" s="7" t="s">
        <v>32</v>
      </c>
      <c r="H879" s="7" t="s">
        <v>73</v>
      </c>
      <c r="I879" s="7" t="s">
        <v>230</v>
      </c>
      <c r="J879" s="7">
        <v>3</v>
      </c>
      <c r="K879" s="9">
        <v>7599.66</v>
      </c>
      <c r="L879" s="9">
        <v>21659.03</v>
      </c>
      <c r="M879" s="10">
        <v>5</v>
      </c>
      <c r="N879" s="49">
        <v>4174.8999999999996</v>
      </c>
      <c r="O879" s="9">
        <v>124.42</v>
      </c>
      <c r="P879" s="7" t="s">
        <v>25</v>
      </c>
      <c r="Q879" s="7" t="s">
        <v>65</v>
      </c>
      <c r="R879" s="28">
        <f t="shared" si="13"/>
        <v>0.19275563125403122</v>
      </c>
    </row>
    <row r="880" spans="1:18" x14ac:dyDescent="0.3">
      <c r="A880" s="3" t="s">
        <v>1517</v>
      </c>
      <c r="B880" s="4">
        <v>45955</v>
      </c>
      <c r="C880" s="3" t="s">
        <v>1057</v>
      </c>
      <c r="D880" s="3" t="s">
        <v>29</v>
      </c>
      <c r="E880" s="3" t="s">
        <v>60</v>
      </c>
      <c r="F880" s="3" t="s">
        <v>104</v>
      </c>
      <c r="G880" s="3" t="s">
        <v>117</v>
      </c>
      <c r="H880" s="3" t="s">
        <v>118</v>
      </c>
      <c r="I880" s="3" t="s">
        <v>119</v>
      </c>
      <c r="J880" s="3">
        <v>2</v>
      </c>
      <c r="K880" s="5">
        <v>968.75</v>
      </c>
      <c r="L880" s="5">
        <v>1840.62</v>
      </c>
      <c r="M880" s="6">
        <v>5</v>
      </c>
      <c r="N880" s="48">
        <v>409.43</v>
      </c>
      <c r="O880" s="5">
        <v>296.17</v>
      </c>
      <c r="P880" s="3" t="s">
        <v>35</v>
      </c>
      <c r="Q880" s="3" t="s">
        <v>65</v>
      </c>
      <c r="R880" s="28">
        <f t="shared" si="13"/>
        <v>0.22244135128380657</v>
      </c>
    </row>
    <row r="881" spans="1:18" x14ac:dyDescent="0.3">
      <c r="A881" s="7" t="s">
        <v>1518</v>
      </c>
      <c r="B881" s="8">
        <v>45956</v>
      </c>
      <c r="C881" s="7" t="s">
        <v>128</v>
      </c>
      <c r="D881" s="7" t="s">
        <v>39</v>
      </c>
      <c r="E881" s="7" t="s">
        <v>40</v>
      </c>
      <c r="F881" s="7" t="s">
        <v>109</v>
      </c>
      <c r="G881" s="7" t="s">
        <v>134</v>
      </c>
      <c r="H881" s="7" t="s">
        <v>139</v>
      </c>
      <c r="I881" s="7" t="s">
        <v>147</v>
      </c>
      <c r="J881" s="7">
        <v>1</v>
      </c>
      <c r="K881" s="9">
        <v>3547.2</v>
      </c>
      <c r="L881" s="9">
        <v>3192.48</v>
      </c>
      <c r="M881" s="10">
        <v>10</v>
      </c>
      <c r="N881" s="49">
        <v>294.74</v>
      </c>
      <c r="O881" s="9">
        <v>195.75</v>
      </c>
      <c r="P881" s="7" t="s">
        <v>45</v>
      </c>
      <c r="Q881" s="7" t="s">
        <v>57</v>
      </c>
      <c r="R881" s="28">
        <f t="shared" si="13"/>
        <v>9.2323209542424706E-2</v>
      </c>
    </row>
    <row r="882" spans="1:18" x14ac:dyDescent="0.3">
      <c r="A882" s="3" t="s">
        <v>1519</v>
      </c>
      <c r="B882" s="4">
        <v>45956</v>
      </c>
      <c r="C882" s="3" t="s">
        <v>631</v>
      </c>
      <c r="D882" s="3" t="s">
        <v>39</v>
      </c>
      <c r="E882" s="3" t="s">
        <v>20</v>
      </c>
      <c r="F882" s="3" t="s">
        <v>54</v>
      </c>
      <c r="G882" s="3" t="s">
        <v>32</v>
      </c>
      <c r="H882" s="3" t="s">
        <v>33</v>
      </c>
      <c r="I882" s="3" t="s">
        <v>69</v>
      </c>
      <c r="J882" s="3">
        <v>2</v>
      </c>
      <c r="K882" s="5">
        <v>4539.88</v>
      </c>
      <c r="L882" s="5">
        <v>8171.78</v>
      </c>
      <c r="M882" s="6">
        <v>10</v>
      </c>
      <c r="N882" s="48">
        <v>1409.21</v>
      </c>
      <c r="O882" s="5">
        <v>297.57</v>
      </c>
      <c r="P882" s="3" t="s">
        <v>64</v>
      </c>
      <c r="Q882" s="3" t="s">
        <v>26</v>
      </c>
      <c r="R882" s="28">
        <f t="shared" si="13"/>
        <v>0.17244835274566864</v>
      </c>
    </row>
    <row r="883" spans="1:18" x14ac:dyDescent="0.3">
      <c r="A883" s="7" t="s">
        <v>1520</v>
      </c>
      <c r="B883" s="8">
        <v>45956</v>
      </c>
      <c r="C883" s="7" t="s">
        <v>1012</v>
      </c>
      <c r="D883" s="7" t="s">
        <v>39</v>
      </c>
      <c r="E883" s="7" t="s">
        <v>60</v>
      </c>
      <c r="F883" s="7" t="s">
        <v>68</v>
      </c>
      <c r="G883" s="7" t="s">
        <v>117</v>
      </c>
      <c r="H883" s="7" t="s">
        <v>130</v>
      </c>
      <c r="I883" s="7" t="s">
        <v>391</v>
      </c>
      <c r="J883" s="7">
        <v>2</v>
      </c>
      <c r="K883" s="9">
        <v>837.71</v>
      </c>
      <c r="L883" s="9">
        <v>1591.65</v>
      </c>
      <c r="M883" s="10">
        <v>5</v>
      </c>
      <c r="N883" s="49">
        <v>314.27999999999997</v>
      </c>
      <c r="O883" s="9">
        <v>336.31</v>
      </c>
      <c r="P883" s="7" t="s">
        <v>35</v>
      </c>
      <c r="Q883" s="7" t="s">
        <v>26</v>
      </c>
      <c r="R883" s="28">
        <f t="shared" si="13"/>
        <v>0.19745547073791345</v>
      </c>
    </row>
    <row r="884" spans="1:18" x14ac:dyDescent="0.3">
      <c r="A884" s="3" t="s">
        <v>1521</v>
      </c>
      <c r="B884" s="4">
        <v>45956</v>
      </c>
      <c r="C884" s="3" t="s">
        <v>809</v>
      </c>
      <c r="D884" s="3" t="s">
        <v>19</v>
      </c>
      <c r="E884" s="3" t="s">
        <v>40</v>
      </c>
      <c r="F884" s="3" t="s">
        <v>90</v>
      </c>
      <c r="G884" s="3" t="s">
        <v>22</v>
      </c>
      <c r="H884" s="3" t="s">
        <v>23</v>
      </c>
      <c r="I884" s="3" t="s">
        <v>238</v>
      </c>
      <c r="J884" s="3">
        <v>2</v>
      </c>
      <c r="K884" s="5">
        <v>15802.25</v>
      </c>
      <c r="L884" s="5">
        <v>30024.27</v>
      </c>
      <c r="M884" s="6">
        <v>5</v>
      </c>
      <c r="N884" s="48">
        <v>3301.3</v>
      </c>
      <c r="O884" s="5">
        <v>235.99</v>
      </c>
      <c r="P884" s="3" t="s">
        <v>64</v>
      </c>
      <c r="Q884" s="3" t="s">
        <v>26</v>
      </c>
      <c r="R884" s="28">
        <f t="shared" si="13"/>
        <v>0.1099543802397194</v>
      </c>
    </row>
    <row r="885" spans="1:18" x14ac:dyDescent="0.3">
      <c r="A885" s="7" t="s">
        <v>1522</v>
      </c>
      <c r="B885" s="8">
        <v>45957</v>
      </c>
      <c r="C885" s="7" t="s">
        <v>1122</v>
      </c>
      <c r="D885" s="7" t="s">
        <v>29</v>
      </c>
      <c r="E885" s="7" t="s">
        <v>40</v>
      </c>
      <c r="F885" s="7" t="s">
        <v>77</v>
      </c>
      <c r="G885" s="7" t="s">
        <v>32</v>
      </c>
      <c r="H885" s="7" t="s">
        <v>86</v>
      </c>
      <c r="I885" s="7" t="s">
        <v>211</v>
      </c>
      <c r="J885" s="7">
        <v>1</v>
      </c>
      <c r="K885" s="9">
        <v>1321.12</v>
      </c>
      <c r="L885" s="9">
        <v>1122.95</v>
      </c>
      <c r="M885" s="10">
        <v>15</v>
      </c>
      <c r="N885" s="49">
        <v>55.85</v>
      </c>
      <c r="O885" s="9">
        <v>304.62</v>
      </c>
      <c r="P885" s="7" t="s">
        <v>64</v>
      </c>
      <c r="Q885" s="7" t="s">
        <v>26</v>
      </c>
      <c r="R885" s="28">
        <f t="shared" si="13"/>
        <v>4.973507279932321E-2</v>
      </c>
    </row>
    <row r="886" spans="1:18" x14ac:dyDescent="0.3">
      <c r="A886" s="3" t="s">
        <v>1523</v>
      </c>
      <c r="B886" s="4">
        <v>45957</v>
      </c>
      <c r="C886" s="3" t="s">
        <v>1310</v>
      </c>
      <c r="D886" s="3" t="s">
        <v>39</v>
      </c>
      <c r="E886" s="3" t="s">
        <v>30</v>
      </c>
      <c r="F886" s="3" t="s">
        <v>226</v>
      </c>
      <c r="G886" s="3" t="s">
        <v>42</v>
      </c>
      <c r="H886" s="3" t="s">
        <v>43</v>
      </c>
      <c r="I886" s="3" t="s">
        <v>751</v>
      </c>
      <c r="J886" s="3">
        <v>1</v>
      </c>
      <c r="K886" s="5">
        <v>500.17</v>
      </c>
      <c r="L886" s="5">
        <v>375.13</v>
      </c>
      <c r="M886" s="6">
        <v>25</v>
      </c>
      <c r="N886" s="48">
        <v>12.39</v>
      </c>
      <c r="O886" s="5">
        <v>157.41</v>
      </c>
      <c r="P886" s="3" t="s">
        <v>35</v>
      </c>
      <c r="Q886" s="3" t="s">
        <v>26</v>
      </c>
      <c r="R886" s="28">
        <f t="shared" si="13"/>
        <v>3.3028550102631088E-2</v>
      </c>
    </row>
    <row r="887" spans="1:18" x14ac:dyDescent="0.3">
      <c r="A887" s="7" t="s">
        <v>1524</v>
      </c>
      <c r="B887" s="8">
        <v>45957</v>
      </c>
      <c r="C887" s="7" t="s">
        <v>1525</v>
      </c>
      <c r="D887" s="7" t="s">
        <v>39</v>
      </c>
      <c r="E887" s="7" t="s">
        <v>30</v>
      </c>
      <c r="F887" s="7" t="s">
        <v>31</v>
      </c>
      <c r="G887" s="7" t="s">
        <v>42</v>
      </c>
      <c r="H887" s="7" t="s">
        <v>43</v>
      </c>
      <c r="I887" s="7" t="s">
        <v>208</v>
      </c>
      <c r="J887" s="7">
        <v>1</v>
      </c>
      <c r="K887" s="9">
        <v>188.52</v>
      </c>
      <c r="L887" s="9">
        <v>160.24</v>
      </c>
      <c r="M887" s="10">
        <v>15</v>
      </c>
      <c r="N887" s="49">
        <v>16.440000000000001</v>
      </c>
      <c r="O887" s="9">
        <v>316.47000000000003</v>
      </c>
      <c r="P887" s="7" t="s">
        <v>64</v>
      </c>
      <c r="Q887" s="7" t="s">
        <v>65</v>
      </c>
      <c r="R887" s="28">
        <f t="shared" si="13"/>
        <v>0.10259610584123814</v>
      </c>
    </row>
    <row r="888" spans="1:18" x14ac:dyDescent="0.3">
      <c r="A888" s="3" t="s">
        <v>1526</v>
      </c>
      <c r="B888" s="4">
        <v>45957</v>
      </c>
      <c r="C888" s="3" t="s">
        <v>433</v>
      </c>
      <c r="D888" s="3" t="s">
        <v>19</v>
      </c>
      <c r="E888" s="3" t="s">
        <v>40</v>
      </c>
      <c r="F888" s="3" t="s">
        <v>90</v>
      </c>
      <c r="G888" s="3" t="s">
        <v>49</v>
      </c>
      <c r="H888" s="3" t="s">
        <v>62</v>
      </c>
      <c r="I888" s="3" t="s">
        <v>341</v>
      </c>
      <c r="J888" s="3">
        <v>1</v>
      </c>
      <c r="K888" s="5">
        <v>4681.49</v>
      </c>
      <c r="L888" s="5">
        <v>4447.42</v>
      </c>
      <c r="M888" s="6">
        <v>5</v>
      </c>
      <c r="N888" s="48">
        <v>765.09</v>
      </c>
      <c r="O888" s="5">
        <v>116.97</v>
      </c>
      <c r="P888" s="3" t="s">
        <v>35</v>
      </c>
      <c r="Q888" s="3" t="s">
        <v>65</v>
      </c>
      <c r="R888" s="28">
        <f t="shared" si="13"/>
        <v>0.1720300758642089</v>
      </c>
    </row>
    <row r="889" spans="1:18" x14ac:dyDescent="0.3">
      <c r="A889" s="7" t="s">
        <v>1527</v>
      </c>
      <c r="B889" s="8">
        <v>45957</v>
      </c>
      <c r="C889" s="7" t="s">
        <v>469</v>
      </c>
      <c r="D889" s="7" t="s">
        <v>39</v>
      </c>
      <c r="E889" s="7" t="s">
        <v>60</v>
      </c>
      <c r="F889" s="7" t="s">
        <v>72</v>
      </c>
      <c r="G889" s="7" t="s">
        <v>32</v>
      </c>
      <c r="H889" s="7" t="s">
        <v>33</v>
      </c>
      <c r="I889" s="7" t="s">
        <v>69</v>
      </c>
      <c r="J889" s="7">
        <v>1</v>
      </c>
      <c r="K889" s="9">
        <v>852.35</v>
      </c>
      <c r="L889" s="9">
        <v>852.35</v>
      </c>
      <c r="M889" s="10">
        <v>0</v>
      </c>
      <c r="N889" s="49">
        <v>149.66</v>
      </c>
      <c r="O889" s="9">
        <v>81.209999999999994</v>
      </c>
      <c r="P889" s="7" t="s">
        <v>45</v>
      </c>
      <c r="Q889" s="7" t="s">
        <v>57</v>
      </c>
      <c r="R889" s="28">
        <f t="shared" si="13"/>
        <v>0.17558514694667682</v>
      </c>
    </row>
    <row r="890" spans="1:18" x14ac:dyDescent="0.3">
      <c r="A890" s="3" t="s">
        <v>1528</v>
      </c>
      <c r="B890" s="4">
        <v>45958</v>
      </c>
      <c r="C890" s="3" t="s">
        <v>175</v>
      </c>
      <c r="D890" s="3" t="s">
        <v>39</v>
      </c>
      <c r="E890" s="3" t="s">
        <v>30</v>
      </c>
      <c r="F890" s="3" t="s">
        <v>48</v>
      </c>
      <c r="G890" s="3" t="s">
        <v>32</v>
      </c>
      <c r="H890" s="3" t="s">
        <v>143</v>
      </c>
      <c r="I890" s="3" t="s">
        <v>144</v>
      </c>
      <c r="J890" s="3">
        <v>2</v>
      </c>
      <c r="K890" s="5">
        <v>8143.67</v>
      </c>
      <c r="L890" s="5">
        <v>16287.34</v>
      </c>
      <c r="M890" s="6">
        <v>0</v>
      </c>
      <c r="N890" s="48">
        <v>2567.96</v>
      </c>
      <c r="O890" s="5">
        <v>58.08</v>
      </c>
      <c r="P890" s="3" t="s">
        <v>64</v>
      </c>
      <c r="Q890" s="3" t="s">
        <v>26</v>
      </c>
      <c r="R890" s="28">
        <f t="shared" si="13"/>
        <v>0.15766601544512487</v>
      </c>
    </row>
    <row r="891" spans="1:18" x14ac:dyDescent="0.3">
      <c r="A891" s="7" t="s">
        <v>1529</v>
      </c>
      <c r="B891" s="8">
        <v>45959</v>
      </c>
      <c r="C891" s="7" t="s">
        <v>219</v>
      </c>
      <c r="D891" s="7" t="s">
        <v>19</v>
      </c>
      <c r="E891" s="7" t="s">
        <v>60</v>
      </c>
      <c r="F891" s="7" t="s">
        <v>68</v>
      </c>
      <c r="G891" s="7" t="s">
        <v>134</v>
      </c>
      <c r="H891" s="7" t="s">
        <v>244</v>
      </c>
      <c r="I891" s="7" t="s">
        <v>245</v>
      </c>
      <c r="J891" s="7">
        <v>2</v>
      </c>
      <c r="K891" s="9">
        <v>3068.28</v>
      </c>
      <c r="L891" s="9">
        <v>6136.56</v>
      </c>
      <c r="M891" s="10">
        <v>0</v>
      </c>
      <c r="N891" s="49">
        <v>1473.64</v>
      </c>
      <c r="O891" s="9">
        <v>79.849999999999994</v>
      </c>
      <c r="P891" s="7" t="s">
        <v>64</v>
      </c>
      <c r="Q891" s="7" t="s">
        <v>36</v>
      </c>
      <c r="R891" s="28">
        <f t="shared" si="13"/>
        <v>0.24014105622694149</v>
      </c>
    </row>
    <row r="892" spans="1:18" x14ac:dyDescent="0.3">
      <c r="A892" s="3" t="s">
        <v>1530</v>
      </c>
      <c r="B892" s="4">
        <v>45960</v>
      </c>
      <c r="C892" s="3" t="s">
        <v>222</v>
      </c>
      <c r="D892" s="3" t="s">
        <v>39</v>
      </c>
      <c r="E892" s="3" t="s">
        <v>30</v>
      </c>
      <c r="F892" s="3" t="s">
        <v>48</v>
      </c>
      <c r="G892" s="3" t="s">
        <v>134</v>
      </c>
      <c r="H892" s="3" t="s">
        <v>139</v>
      </c>
      <c r="I892" s="3" t="s">
        <v>140</v>
      </c>
      <c r="J892" s="3">
        <v>1</v>
      </c>
      <c r="K892" s="5">
        <v>2472.41</v>
      </c>
      <c r="L892" s="5">
        <v>2101.5500000000002</v>
      </c>
      <c r="M892" s="6">
        <v>15</v>
      </c>
      <c r="N892" s="48">
        <v>286.8</v>
      </c>
      <c r="O892" s="5">
        <v>151.25</v>
      </c>
      <c r="P892" s="3" t="s">
        <v>25</v>
      </c>
      <c r="Q892" s="3" t="s">
        <v>36</v>
      </c>
      <c r="R892" s="28">
        <f t="shared" si="13"/>
        <v>0.13647070019747329</v>
      </c>
    </row>
    <row r="893" spans="1:18" x14ac:dyDescent="0.3">
      <c r="A893" s="7" t="s">
        <v>1531</v>
      </c>
      <c r="B893" s="8">
        <v>45960</v>
      </c>
      <c r="C893" s="7" t="s">
        <v>1532</v>
      </c>
      <c r="D893" s="7" t="s">
        <v>39</v>
      </c>
      <c r="E893" s="7" t="s">
        <v>20</v>
      </c>
      <c r="F893" s="7" t="s">
        <v>54</v>
      </c>
      <c r="G893" s="7" t="s">
        <v>32</v>
      </c>
      <c r="H893" s="7" t="s">
        <v>86</v>
      </c>
      <c r="I893" s="7" t="s">
        <v>211</v>
      </c>
      <c r="J893" s="7">
        <v>2</v>
      </c>
      <c r="K893" s="9">
        <v>7819.42</v>
      </c>
      <c r="L893" s="9">
        <v>14856.9</v>
      </c>
      <c r="M893" s="10">
        <v>5</v>
      </c>
      <c r="N893" s="49">
        <v>1625.72</v>
      </c>
      <c r="O893" s="9">
        <v>119.94</v>
      </c>
      <c r="P893" s="7" t="s">
        <v>64</v>
      </c>
      <c r="Q893" s="7" t="s">
        <v>65</v>
      </c>
      <c r="R893" s="28">
        <f t="shared" si="13"/>
        <v>0.1094252502204363</v>
      </c>
    </row>
    <row r="894" spans="1:18" x14ac:dyDescent="0.3">
      <c r="A894" s="3" t="s">
        <v>1533</v>
      </c>
      <c r="B894" s="4">
        <v>45960</v>
      </c>
      <c r="C894" s="3" t="s">
        <v>1344</v>
      </c>
      <c r="D894" s="3" t="s">
        <v>39</v>
      </c>
      <c r="E894" s="3" t="s">
        <v>30</v>
      </c>
      <c r="F894" s="3" t="s">
        <v>31</v>
      </c>
      <c r="G894" s="3" t="s">
        <v>117</v>
      </c>
      <c r="H894" s="3" t="s">
        <v>153</v>
      </c>
      <c r="I894" s="3" t="s">
        <v>154</v>
      </c>
      <c r="J894" s="3">
        <v>1</v>
      </c>
      <c r="K894" s="5">
        <v>1220.6300000000001</v>
      </c>
      <c r="L894" s="5">
        <v>1098.57</v>
      </c>
      <c r="M894" s="6">
        <v>10</v>
      </c>
      <c r="N894" s="48">
        <v>183.82</v>
      </c>
      <c r="O894" s="5">
        <v>307.81</v>
      </c>
      <c r="P894" s="3" t="s">
        <v>45</v>
      </c>
      <c r="Q894" s="3" t="s">
        <v>65</v>
      </c>
      <c r="R894" s="28">
        <f t="shared" si="13"/>
        <v>0.16732661550925293</v>
      </c>
    </row>
    <row r="895" spans="1:18" x14ac:dyDescent="0.3">
      <c r="A895" s="7" t="s">
        <v>1534</v>
      </c>
      <c r="B895" s="8">
        <v>45961</v>
      </c>
      <c r="C895" s="7" t="s">
        <v>705</v>
      </c>
      <c r="D895" s="7" t="s">
        <v>39</v>
      </c>
      <c r="E895" s="7" t="s">
        <v>60</v>
      </c>
      <c r="F895" s="7" t="s">
        <v>61</v>
      </c>
      <c r="G895" s="7" t="s">
        <v>42</v>
      </c>
      <c r="H895" s="7" t="s">
        <v>164</v>
      </c>
      <c r="I895" s="7" t="s">
        <v>853</v>
      </c>
      <c r="J895" s="7">
        <v>3</v>
      </c>
      <c r="K895" s="9">
        <v>193.12</v>
      </c>
      <c r="L895" s="9">
        <v>550.39</v>
      </c>
      <c r="M895" s="10">
        <v>5</v>
      </c>
      <c r="N895" s="49">
        <v>88.85</v>
      </c>
      <c r="O895" s="9">
        <v>187.62</v>
      </c>
      <c r="P895" s="7" t="s">
        <v>25</v>
      </c>
      <c r="Q895" s="7" t="s">
        <v>26</v>
      </c>
      <c r="R895" s="28">
        <f t="shared" si="13"/>
        <v>0.16143098530133176</v>
      </c>
    </row>
    <row r="896" spans="1:18" x14ac:dyDescent="0.3">
      <c r="A896" s="3" t="s">
        <v>1535</v>
      </c>
      <c r="B896" s="4">
        <v>45961</v>
      </c>
      <c r="C896" s="3" t="s">
        <v>859</v>
      </c>
      <c r="D896" s="3" t="s">
        <v>39</v>
      </c>
      <c r="E896" s="3" t="s">
        <v>30</v>
      </c>
      <c r="F896" s="3" t="s">
        <v>226</v>
      </c>
      <c r="G896" s="3" t="s">
        <v>32</v>
      </c>
      <c r="H896" s="3" t="s">
        <v>86</v>
      </c>
      <c r="I896" s="3" t="s">
        <v>227</v>
      </c>
      <c r="J896" s="3">
        <v>1</v>
      </c>
      <c r="K896" s="5">
        <v>7762.19</v>
      </c>
      <c r="L896" s="5">
        <v>7374.08</v>
      </c>
      <c r="M896" s="6">
        <v>5</v>
      </c>
      <c r="N896" s="48">
        <v>1108.25</v>
      </c>
      <c r="O896" s="5">
        <v>83.11</v>
      </c>
      <c r="P896" s="3" t="s">
        <v>83</v>
      </c>
      <c r="Q896" s="3" t="s">
        <v>26</v>
      </c>
      <c r="R896" s="28">
        <f t="shared" si="13"/>
        <v>0.15028993447318173</v>
      </c>
    </row>
    <row r="897" spans="1:18" x14ac:dyDescent="0.3">
      <c r="A897" s="7" t="s">
        <v>1536</v>
      </c>
      <c r="B897" s="8">
        <v>45961</v>
      </c>
      <c r="C897" s="7" t="s">
        <v>593</v>
      </c>
      <c r="D897" s="7" t="s">
        <v>29</v>
      </c>
      <c r="E897" s="7" t="s">
        <v>20</v>
      </c>
      <c r="F897" s="7" t="s">
        <v>21</v>
      </c>
      <c r="G897" s="7" t="s">
        <v>134</v>
      </c>
      <c r="H897" s="7" t="s">
        <v>244</v>
      </c>
      <c r="I897" s="7" t="s">
        <v>270</v>
      </c>
      <c r="J897" s="7">
        <v>1</v>
      </c>
      <c r="K897" s="9">
        <v>2191.56</v>
      </c>
      <c r="L897" s="9">
        <v>1862.83</v>
      </c>
      <c r="M897" s="10">
        <v>15</v>
      </c>
      <c r="N897" s="49">
        <v>173.66</v>
      </c>
      <c r="O897" s="9">
        <v>242.77</v>
      </c>
      <c r="P897" s="7" t="s">
        <v>83</v>
      </c>
      <c r="Q897" s="7" t="s">
        <v>26</v>
      </c>
      <c r="R897" s="28">
        <f t="shared" si="13"/>
        <v>9.3223750959561535E-2</v>
      </c>
    </row>
    <row r="898" spans="1:18" x14ac:dyDescent="0.3">
      <c r="A898" s="3" t="s">
        <v>1537</v>
      </c>
      <c r="B898" s="4">
        <v>45961</v>
      </c>
      <c r="C898" s="3" t="s">
        <v>1538</v>
      </c>
      <c r="D898" s="3" t="s">
        <v>29</v>
      </c>
      <c r="E898" s="3" t="s">
        <v>60</v>
      </c>
      <c r="F898" s="3" t="s">
        <v>104</v>
      </c>
      <c r="G898" s="3" t="s">
        <v>42</v>
      </c>
      <c r="H898" s="3" t="s">
        <v>172</v>
      </c>
      <c r="I898" s="3" t="s">
        <v>223</v>
      </c>
      <c r="J898" s="3">
        <v>3</v>
      </c>
      <c r="K898" s="5">
        <v>995.24</v>
      </c>
      <c r="L898" s="5">
        <v>2836.43</v>
      </c>
      <c r="M898" s="6">
        <v>5</v>
      </c>
      <c r="N898" s="48">
        <v>450.76</v>
      </c>
      <c r="O898" s="5">
        <v>219.44</v>
      </c>
      <c r="P898" s="3" t="s">
        <v>35</v>
      </c>
      <c r="Q898" s="3" t="s">
        <v>36</v>
      </c>
      <c r="R898" s="28">
        <f t="shared" si="13"/>
        <v>0.15891807659628476</v>
      </c>
    </row>
    <row r="899" spans="1:18" x14ac:dyDescent="0.3">
      <c r="A899" s="7" t="s">
        <v>1539</v>
      </c>
      <c r="B899" s="8">
        <v>45961</v>
      </c>
      <c r="C899" s="7" t="s">
        <v>1540</v>
      </c>
      <c r="D899" s="7" t="s">
        <v>39</v>
      </c>
      <c r="E899" s="7" t="s">
        <v>30</v>
      </c>
      <c r="F899" s="7" t="s">
        <v>31</v>
      </c>
      <c r="G899" s="7" t="s">
        <v>42</v>
      </c>
      <c r="H899" s="7" t="s">
        <v>81</v>
      </c>
      <c r="I899" s="7" t="s">
        <v>431</v>
      </c>
      <c r="J899" s="7">
        <v>3</v>
      </c>
      <c r="K899" s="9">
        <v>480.76</v>
      </c>
      <c r="L899" s="9">
        <v>1370.17</v>
      </c>
      <c r="M899" s="10">
        <v>5</v>
      </c>
      <c r="N899" s="49">
        <v>266.44</v>
      </c>
      <c r="O899" s="9">
        <v>313.25</v>
      </c>
      <c r="P899" s="7" t="s">
        <v>35</v>
      </c>
      <c r="Q899" s="7" t="s">
        <v>65</v>
      </c>
      <c r="R899" s="28">
        <f t="shared" ref="R899:R962" si="14">N899/L899</f>
        <v>0.19445762204689929</v>
      </c>
    </row>
    <row r="900" spans="1:18" x14ac:dyDescent="0.3">
      <c r="A900" s="3" t="s">
        <v>1541</v>
      </c>
      <c r="B900" s="4">
        <v>45962</v>
      </c>
      <c r="C900" s="3" t="s">
        <v>1185</v>
      </c>
      <c r="D900" s="3" t="s">
        <v>19</v>
      </c>
      <c r="E900" s="3" t="s">
        <v>60</v>
      </c>
      <c r="F900" s="3" t="s">
        <v>72</v>
      </c>
      <c r="G900" s="3" t="s">
        <v>42</v>
      </c>
      <c r="H900" s="3" t="s">
        <v>81</v>
      </c>
      <c r="I900" s="3" t="s">
        <v>431</v>
      </c>
      <c r="J900" s="3">
        <v>1</v>
      </c>
      <c r="K900" s="5">
        <v>995.8</v>
      </c>
      <c r="L900" s="5">
        <v>846.43</v>
      </c>
      <c r="M900" s="6">
        <v>15</v>
      </c>
      <c r="N900" s="48">
        <v>131.68</v>
      </c>
      <c r="O900" s="5">
        <v>157.32</v>
      </c>
      <c r="P900" s="3" t="s">
        <v>35</v>
      </c>
      <c r="Q900" s="3" t="s">
        <v>57</v>
      </c>
      <c r="R900" s="28">
        <f t="shared" si="14"/>
        <v>0.15557104544971234</v>
      </c>
    </row>
    <row r="901" spans="1:18" x14ac:dyDescent="0.3">
      <c r="A901" s="7" t="s">
        <v>1542</v>
      </c>
      <c r="B901" s="8">
        <v>45963</v>
      </c>
      <c r="C901" s="7" t="s">
        <v>1253</v>
      </c>
      <c r="D901" s="7" t="s">
        <v>39</v>
      </c>
      <c r="E901" s="7" t="s">
        <v>40</v>
      </c>
      <c r="F901" s="7" t="s">
        <v>90</v>
      </c>
      <c r="G901" s="7" t="s">
        <v>22</v>
      </c>
      <c r="H901" s="7" t="s">
        <v>624</v>
      </c>
      <c r="I901" s="7" t="s">
        <v>1215</v>
      </c>
      <c r="J901" s="7">
        <v>4</v>
      </c>
      <c r="K901" s="9">
        <v>43549.78</v>
      </c>
      <c r="L901" s="9">
        <v>174199.12</v>
      </c>
      <c r="M901" s="10">
        <v>0</v>
      </c>
      <c r="N901" s="49">
        <v>18003.400000000001</v>
      </c>
      <c r="O901" s="9">
        <v>374.78</v>
      </c>
      <c r="P901" s="7" t="s">
        <v>64</v>
      </c>
      <c r="Q901" s="7" t="s">
        <v>26</v>
      </c>
      <c r="R901" s="28">
        <f t="shared" si="14"/>
        <v>0.10334954619747794</v>
      </c>
    </row>
    <row r="902" spans="1:18" x14ac:dyDescent="0.3">
      <c r="A902" s="3" t="s">
        <v>1543</v>
      </c>
      <c r="B902" s="4">
        <v>45964</v>
      </c>
      <c r="C902" s="3" t="s">
        <v>94</v>
      </c>
      <c r="D902" s="3" t="s">
        <v>19</v>
      </c>
      <c r="E902" s="3" t="s">
        <v>60</v>
      </c>
      <c r="F902" s="3" t="s">
        <v>68</v>
      </c>
      <c r="G902" s="3" t="s">
        <v>42</v>
      </c>
      <c r="H902" s="3" t="s">
        <v>81</v>
      </c>
      <c r="I902" s="3" t="s">
        <v>431</v>
      </c>
      <c r="J902" s="3">
        <v>1</v>
      </c>
      <c r="K902" s="5">
        <v>368.28</v>
      </c>
      <c r="L902" s="5">
        <v>368.28</v>
      </c>
      <c r="M902" s="6">
        <v>0</v>
      </c>
      <c r="N902" s="48">
        <v>49.54</v>
      </c>
      <c r="O902" s="5">
        <v>38.49</v>
      </c>
      <c r="P902" s="3" t="s">
        <v>25</v>
      </c>
      <c r="Q902" s="3" t="s">
        <v>26</v>
      </c>
      <c r="R902" s="28">
        <f t="shared" si="14"/>
        <v>0.13451721516237647</v>
      </c>
    </row>
    <row r="903" spans="1:18" x14ac:dyDescent="0.3">
      <c r="A903" s="7" t="s">
        <v>1544</v>
      </c>
      <c r="B903" s="8">
        <v>45964</v>
      </c>
      <c r="C903" s="7" t="s">
        <v>377</v>
      </c>
      <c r="D903" s="7" t="s">
        <v>19</v>
      </c>
      <c r="E903" s="7" t="s">
        <v>60</v>
      </c>
      <c r="F903" s="7" t="s">
        <v>104</v>
      </c>
      <c r="G903" s="7" t="s">
        <v>22</v>
      </c>
      <c r="H903" s="7" t="s">
        <v>110</v>
      </c>
      <c r="I903" s="7" t="s">
        <v>111</v>
      </c>
      <c r="J903" s="7">
        <v>5</v>
      </c>
      <c r="K903" s="9">
        <v>24756.9</v>
      </c>
      <c r="L903" s="9">
        <v>111406.05</v>
      </c>
      <c r="M903" s="10">
        <v>10</v>
      </c>
      <c r="N903" s="49">
        <v>-4798.93</v>
      </c>
      <c r="O903" s="9">
        <v>235.37</v>
      </c>
      <c r="P903" s="7" t="s">
        <v>25</v>
      </c>
      <c r="Q903" s="7" t="s">
        <v>36</v>
      </c>
      <c r="R903" s="28">
        <f t="shared" si="14"/>
        <v>-4.3076026840553096E-2</v>
      </c>
    </row>
    <row r="904" spans="1:18" x14ac:dyDescent="0.3">
      <c r="A904" s="3" t="s">
        <v>1545</v>
      </c>
      <c r="B904" s="4">
        <v>45965</v>
      </c>
      <c r="C904" s="3" t="s">
        <v>1237</v>
      </c>
      <c r="D904" s="3" t="s">
        <v>29</v>
      </c>
      <c r="E904" s="3" t="s">
        <v>20</v>
      </c>
      <c r="F904" s="3" t="s">
        <v>21</v>
      </c>
      <c r="G904" s="3" t="s">
        <v>32</v>
      </c>
      <c r="H904" s="3" t="s">
        <v>33</v>
      </c>
      <c r="I904" s="3" t="s">
        <v>34</v>
      </c>
      <c r="J904" s="3">
        <v>2</v>
      </c>
      <c r="K904" s="5">
        <v>5924.04</v>
      </c>
      <c r="L904" s="5">
        <v>8886.06</v>
      </c>
      <c r="M904" s="6">
        <v>25</v>
      </c>
      <c r="N904" s="48">
        <v>36.47</v>
      </c>
      <c r="O904" s="5">
        <v>306.24</v>
      </c>
      <c r="P904" s="3" t="s">
        <v>64</v>
      </c>
      <c r="Q904" s="3" t="s">
        <v>57</v>
      </c>
      <c r="R904" s="28">
        <f t="shared" si="14"/>
        <v>4.1041811556527868E-3</v>
      </c>
    </row>
    <row r="905" spans="1:18" x14ac:dyDescent="0.3">
      <c r="A905" s="7" t="s">
        <v>1546</v>
      </c>
      <c r="B905" s="8">
        <v>45965</v>
      </c>
      <c r="C905" s="7" t="s">
        <v>1547</v>
      </c>
      <c r="D905" s="7" t="s">
        <v>29</v>
      </c>
      <c r="E905" s="7" t="s">
        <v>40</v>
      </c>
      <c r="F905" s="7" t="s">
        <v>77</v>
      </c>
      <c r="G905" s="7" t="s">
        <v>117</v>
      </c>
      <c r="H905" s="7" t="s">
        <v>153</v>
      </c>
      <c r="I905" s="7" t="s">
        <v>154</v>
      </c>
      <c r="J905" s="7">
        <v>5</v>
      </c>
      <c r="K905" s="9">
        <v>1394.22</v>
      </c>
      <c r="L905" s="9">
        <v>6273.99</v>
      </c>
      <c r="M905" s="10">
        <v>10</v>
      </c>
      <c r="N905" s="49">
        <v>985.49</v>
      </c>
      <c r="O905" s="9">
        <v>284.48</v>
      </c>
      <c r="P905" s="7" t="s">
        <v>35</v>
      </c>
      <c r="Q905" s="7" t="s">
        <v>65</v>
      </c>
      <c r="R905" s="28">
        <f t="shared" si="14"/>
        <v>0.15707548147191819</v>
      </c>
    </row>
    <row r="906" spans="1:18" x14ac:dyDescent="0.3">
      <c r="A906" s="3" t="s">
        <v>1548</v>
      </c>
      <c r="B906" s="4">
        <v>45966</v>
      </c>
      <c r="C906" s="3" t="s">
        <v>599</v>
      </c>
      <c r="D906" s="3" t="s">
        <v>19</v>
      </c>
      <c r="E906" s="3" t="s">
        <v>20</v>
      </c>
      <c r="F906" s="3" t="s">
        <v>54</v>
      </c>
      <c r="G906" s="3" t="s">
        <v>32</v>
      </c>
      <c r="H906" s="3" t="s">
        <v>143</v>
      </c>
      <c r="I906" s="3" t="s">
        <v>385</v>
      </c>
      <c r="J906" s="3">
        <v>1</v>
      </c>
      <c r="K906" s="5">
        <v>1069.3499999999999</v>
      </c>
      <c r="L906" s="5">
        <v>1069.3499999999999</v>
      </c>
      <c r="M906" s="6">
        <v>0</v>
      </c>
      <c r="N906" s="48">
        <v>263.13</v>
      </c>
      <c r="O906" s="5">
        <v>172.2</v>
      </c>
      <c r="P906" s="3" t="s">
        <v>83</v>
      </c>
      <c r="Q906" s="3" t="s">
        <v>26</v>
      </c>
      <c r="R906" s="28">
        <f t="shared" si="14"/>
        <v>0.24606536681161456</v>
      </c>
    </row>
    <row r="907" spans="1:18" x14ac:dyDescent="0.3">
      <c r="A907" s="7" t="s">
        <v>1549</v>
      </c>
      <c r="B907" s="8">
        <v>45966</v>
      </c>
      <c r="C907" s="7" t="s">
        <v>656</v>
      </c>
      <c r="D907" s="7" t="s">
        <v>39</v>
      </c>
      <c r="E907" s="7" t="s">
        <v>20</v>
      </c>
      <c r="F907" s="7" t="s">
        <v>21</v>
      </c>
      <c r="G907" s="7" t="s">
        <v>117</v>
      </c>
      <c r="H907" s="7" t="s">
        <v>130</v>
      </c>
      <c r="I907" s="7" t="s">
        <v>326</v>
      </c>
      <c r="J907" s="7">
        <v>2</v>
      </c>
      <c r="K907" s="9">
        <v>1333.59</v>
      </c>
      <c r="L907" s="9">
        <v>2267.1</v>
      </c>
      <c r="M907" s="10">
        <v>15</v>
      </c>
      <c r="N907" s="49">
        <v>519.04999999999995</v>
      </c>
      <c r="O907" s="9">
        <v>235.44</v>
      </c>
      <c r="P907" s="7" t="s">
        <v>35</v>
      </c>
      <c r="Q907" s="7" t="s">
        <v>26</v>
      </c>
      <c r="R907" s="28">
        <f t="shared" si="14"/>
        <v>0.22894887742049314</v>
      </c>
    </row>
    <row r="908" spans="1:18" x14ac:dyDescent="0.3">
      <c r="A908" s="3" t="s">
        <v>1550</v>
      </c>
      <c r="B908" s="4">
        <v>45967</v>
      </c>
      <c r="C908" s="3" t="s">
        <v>1551</v>
      </c>
      <c r="D908" s="3" t="s">
        <v>29</v>
      </c>
      <c r="E908" s="3" t="s">
        <v>60</v>
      </c>
      <c r="F908" s="3" t="s">
        <v>61</v>
      </c>
      <c r="G908" s="3" t="s">
        <v>49</v>
      </c>
      <c r="H908" s="3" t="s">
        <v>50</v>
      </c>
      <c r="I908" s="3" t="s">
        <v>193</v>
      </c>
      <c r="J908" s="3">
        <v>2</v>
      </c>
      <c r="K908" s="5">
        <v>10884.02</v>
      </c>
      <c r="L908" s="5">
        <v>18502.830000000002</v>
      </c>
      <c r="M908" s="6">
        <v>15</v>
      </c>
      <c r="N908" s="48">
        <v>2566.31</v>
      </c>
      <c r="O908" s="5">
        <v>197.34</v>
      </c>
      <c r="P908" s="3" t="s">
        <v>64</v>
      </c>
      <c r="Q908" s="3" t="s">
        <v>26</v>
      </c>
      <c r="R908" s="28">
        <f t="shared" si="14"/>
        <v>0.13869824237697692</v>
      </c>
    </row>
    <row r="909" spans="1:18" x14ac:dyDescent="0.3">
      <c r="A909" s="7" t="s">
        <v>1552</v>
      </c>
      <c r="B909" s="8">
        <v>45968</v>
      </c>
      <c r="C909" s="7" t="s">
        <v>776</v>
      </c>
      <c r="D909" s="7" t="s">
        <v>39</v>
      </c>
      <c r="E909" s="7" t="s">
        <v>40</v>
      </c>
      <c r="F909" s="7" t="s">
        <v>90</v>
      </c>
      <c r="G909" s="7" t="s">
        <v>32</v>
      </c>
      <c r="H909" s="7" t="s">
        <v>73</v>
      </c>
      <c r="I909" s="7" t="s">
        <v>114</v>
      </c>
      <c r="J909" s="7">
        <v>2</v>
      </c>
      <c r="K909" s="9">
        <v>1351.47</v>
      </c>
      <c r="L909" s="9">
        <v>2702.94</v>
      </c>
      <c r="M909" s="10">
        <v>0</v>
      </c>
      <c r="N909" s="49">
        <v>534.51</v>
      </c>
      <c r="O909" s="9">
        <v>56.18</v>
      </c>
      <c r="P909" s="7" t="s">
        <v>64</v>
      </c>
      <c r="Q909" s="7" t="s">
        <v>26</v>
      </c>
      <c r="R909" s="28">
        <f t="shared" si="14"/>
        <v>0.19775133743257342</v>
      </c>
    </row>
    <row r="910" spans="1:18" x14ac:dyDescent="0.3">
      <c r="A910" s="3" t="s">
        <v>1553</v>
      </c>
      <c r="B910" s="4">
        <v>45969</v>
      </c>
      <c r="C910" s="3" t="s">
        <v>1554</v>
      </c>
      <c r="D910" s="3" t="s">
        <v>39</v>
      </c>
      <c r="E910" s="3" t="s">
        <v>40</v>
      </c>
      <c r="F910" s="3" t="s">
        <v>77</v>
      </c>
      <c r="G910" s="3" t="s">
        <v>42</v>
      </c>
      <c r="H910" s="3" t="s">
        <v>81</v>
      </c>
      <c r="I910" s="3" t="s">
        <v>248</v>
      </c>
      <c r="J910" s="3">
        <v>2</v>
      </c>
      <c r="K910" s="5">
        <v>386.82</v>
      </c>
      <c r="L910" s="5">
        <v>773.64</v>
      </c>
      <c r="M910" s="6">
        <v>0</v>
      </c>
      <c r="N910" s="48">
        <v>174.11</v>
      </c>
      <c r="O910" s="5">
        <v>96.46</v>
      </c>
      <c r="P910" s="3" t="s">
        <v>45</v>
      </c>
      <c r="Q910" s="3" t="s">
        <v>65</v>
      </c>
      <c r="R910" s="28">
        <f t="shared" si="14"/>
        <v>0.22505299622563468</v>
      </c>
    </row>
    <row r="911" spans="1:18" x14ac:dyDescent="0.3">
      <c r="A911" s="7" t="s">
        <v>1555</v>
      </c>
      <c r="B911" s="8">
        <v>45969</v>
      </c>
      <c r="C911" s="7" t="s">
        <v>645</v>
      </c>
      <c r="D911" s="7" t="s">
        <v>39</v>
      </c>
      <c r="E911" s="7" t="s">
        <v>20</v>
      </c>
      <c r="F911" s="7" t="s">
        <v>54</v>
      </c>
      <c r="G911" s="7" t="s">
        <v>134</v>
      </c>
      <c r="H911" s="7" t="s">
        <v>135</v>
      </c>
      <c r="I911" s="7" t="s">
        <v>185</v>
      </c>
      <c r="J911" s="7">
        <v>2</v>
      </c>
      <c r="K911" s="9">
        <v>3442.58</v>
      </c>
      <c r="L911" s="9">
        <v>6196.64</v>
      </c>
      <c r="M911" s="10">
        <v>10</v>
      </c>
      <c r="N911" s="49">
        <v>1041.02</v>
      </c>
      <c r="O911" s="9">
        <v>309.29000000000002</v>
      </c>
      <c r="P911" s="7" t="s">
        <v>35</v>
      </c>
      <c r="Q911" s="7" t="s">
        <v>57</v>
      </c>
      <c r="R911" s="28">
        <f t="shared" si="14"/>
        <v>0.16799749541687106</v>
      </c>
    </row>
    <row r="912" spans="1:18" x14ac:dyDescent="0.3">
      <c r="A912" s="3" t="s">
        <v>1556</v>
      </c>
      <c r="B912" s="4">
        <v>45969</v>
      </c>
      <c r="C912" s="3" t="s">
        <v>814</v>
      </c>
      <c r="D912" s="3" t="s">
        <v>39</v>
      </c>
      <c r="E912" s="3" t="s">
        <v>60</v>
      </c>
      <c r="F912" s="3" t="s">
        <v>72</v>
      </c>
      <c r="G912" s="3" t="s">
        <v>117</v>
      </c>
      <c r="H912" s="3" t="s">
        <v>118</v>
      </c>
      <c r="I912" s="3" t="s">
        <v>119</v>
      </c>
      <c r="J912" s="3">
        <v>1</v>
      </c>
      <c r="K912" s="5">
        <v>2080.13</v>
      </c>
      <c r="L912" s="5">
        <v>1976.12</v>
      </c>
      <c r="M912" s="6">
        <v>5</v>
      </c>
      <c r="N912" s="48">
        <v>584.84</v>
      </c>
      <c r="O912" s="5">
        <v>307.77999999999997</v>
      </c>
      <c r="P912" s="3" t="s">
        <v>64</v>
      </c>
      <c r="Q912" s="3" t="s">
        <v>26</v>
      </c>
      <c r="R912" s="28">
        <f t="shared" si="14"/>
        <v>0.2959536870230553</v>
      </c>
    </row>
    <row r="913" spans="1:18" x14ac:dyDescent="0.3">
      <c r="A913" s="7" t="s">
        <v>1557</v>
      </c>
      <c r="B913" s="8">
        <v>45970</v>
      </c>
      <c r="C913" s="7" t="s">
        <v>1436</v>
      </c>
      <c r="D913" s="7" t="s">
        <v>39</v>
      </c>
      <c r="E913" s="7" t="s">
        <v>30</v>
      </c>
      <c r="F913" s="7" t="s">
        <v>226</v>
      </c>
      <c r="G913" s="7" t="s">
        <v>134</v>
      </c>
      <c r="H913" s="7" t="s">
        <v>135</v>
      </c>
      <c r="I913" s="7" t="s">
        <v>136</v>
      </c>
      <c r="J913" s="7">
        <v>1</v>
      </c>
      <c r="K913" s="9">
        <v>542.48</v>
      </c>
      <c r="L913" s="9">
        <v>542.48</v>
      </c>
      <c r="M913" s="10">
        <v>0</v>
      </c>
      <c r="N913" s="49">
        <v>81.98</v>
      </c>
      <c r="O913" s="9">
        <v>100.26</v>
      </c>
      <c r="P913" s="7" t="s">
        <v>64</v>
      </c>
      <c r="Q913" s="7" t="s">
        <v>57</v>
      </c>
      <c r="R913" s="28">
        <f t="shared" si="14"/>
        <v>0.15112077864621737</v>
      </c>
    </row>
    <row r="914" spans="1:18" x14ac:dyDescent="0.3">
      <c r="A914" s="3" t="s">
        <v>1558</v>
      </c>
      <c r="B914" s="4">
        <v>45970</v>
      </c>
      <c r="C914" s="3" t="s">
        <v>776</v>
      </c>
      <c r="D914" s="3" t="s">
        <v>29</v>
      </c>
      <c r="E914" s="3" t="s">
        <v>40</v>
      </c>
      <c r="F914" s="3" t="s">
        <v>109</v>
      </c>
      <c r="G914" s="3" t="s">
        <v>22</v>
      </c>
      <c r="H914" s="3" t="s">
        <v>624</v>
      </c>
      <c r="I914" s="3" t="s">
        <v>1215</v>
      </c>
      <c r="J914" s="3">
        <v>1</v>
      </c>
      <c r="K914" s="5">
        <v>37091.019999999997</v>
      </c>
      <c r="L914" s="5">
        <v>35236.47</v>
      </c>
      <c r="M914" s="6">
        <v>5</v>
      </c>
      <c r="N914" s="48">
        <v>2495.71</v>
      </c>
      <c r="O914" s="5">
        <v>180.68</v>
      </c>
      <c r="P914" s="3" t="s">
        <v>35</v>
      </c>
      <c r="Q914" s="3" t="s">
        <v>57</v>
      </c>
      <c r="R914" s="28">
        <f t="shared" si="14"/>
        <v>7.0827469380445887E-2</v>
      </c>
    </row>
    <row r="915" spans="1:18" x14ac:dyDescent="0.3">
      <c r="A915" s="7" t="s">
        <v>1559</v>
      </c>
      <c r="B915" s="8">
        <v>45970</v>
      </c>
      <c r="C915" s="7" t="s">
        <v>38</v>
      </c>
      <c r="D915" s="7" t="s">
        <v>39</v>
      </c>
      <c r="E915" s="7" t="s">
        <v>40</v>
      </c>
      <c r="F915" s="7" t="s">
        <v>41</v>
      </c>
      <c r="G915" s="7" t="s">
        <v>134</v>
      </c>
      <c r="H915" s="7" t="s">
        <v>135</v>
      </c>
      <c r="I915" s="7" t="s">
        <v>136</v>
      </c>
      <c r="J915" s="7">
        <v>1</v>
      </c>
      <c r="K915" s="9">
        <v>2590.81</v>
      </c>
      <c r="L915" s="9">
        <v>2590.81</v>
      </c>
      <c r="M915" s="10">
        <v>0</v>
      </c>
      <c r="N915" s="49">
        <v>830.36</v>
      </c>
      <c r="O915" s="9">
        <v>49.93</v>
      </c>
      <c r="P915" s="7" t="s">
        <v>45</v>
      </c>
      <c r="Q915" s="7" t="s">
        <v>26</v>
      </c>
      <c r="R915" s="28">
        <f t="shared" si="14"/>
        <v>0.32050208236034294</v>
      </c>
    </row>
    <row r="916" spans="1:18" x14ac:dyDescent="0.3">
      <c r="A916" s="3" t="s">
        <v>1560</v>
      </c>
      <c r="B916" s="4">
        <v>45970</v>
      </c>
      <c r="C916" s="3" t="s">
        <v>1229</v>
      </c>
      <c r="D916" s="3" t="s">
        <v>39</v>
      </c>
      <c r="E916" s="3" t="s">
        <v>20</v>
      </c>
      <c r="F916" s="3" t="s">
        <v>21</v>
      </c>
      <c r="G916" s="3" t="s">
        <v>134</v>
      </c>
      <c r="H916" s="3" t="s">
        <v>91</v>
      </c>
      <c r="I916" s="3" t="s">
        <v>188</v>
      </c>
      <c r="J916" s="3">
        <v>2</v>
      </c>
      <c r="K916" s="5">
        <v>3966.01</v>
      </c>
      <c r="L916" s="5">
        <v>7535.42</v>
      </c>
      <c r="M916" s="6">
        <v>5</v>
      </c>
      <c r="N916" s="48">
        <v>2095.29</v>
      </c>
      <c r="O916" s="5">
        <v>243.14</v>
      </c>
      <c r="P916" s="3" t="s">
        <v>25</v>
      </c>
      <c r="Q916" s="3" t="s">
        <v>26</v>
      </c>
      <c r="R916" s="28">
        <f t="shared" si="14"/>
        <v>0.27805882087527967</v>
      </c>
    </row>
    <row r="917" spans="1:18" x14ac:dyDescent="0.3">
      <c r="A917" s="7" t="s">
        <v>1561</v>
      </c>
      <c r="B917" s="8">
        <v>45971</v>
      </c>
      <c r="C917" s="7" t="s">
        <v>1331</v>
      </c>
      <c r="D917" s="7" t="s">
        <v>39</v>
      </c>
      <c r="E917" s="7" t="s">
        <v>20</v>
      </c>
      <c r="F917" s="7" t="s">
        <v>54</v>
      </c>
      <c r="G917" s="7" t="s">
        <v>49</v>
      </c>
      <c r="H917" s="7" t="s">
        <v>62</v>
      </c>
      <c r="I917" s="7" t="s">
        <v>122</v>
      </c>
      <c r="J917" s="7">
        <v>5</v>
      </c>
      <c r="K917" s="9">
        <v>6833.29</v>
      </c>
      <c r="L917" s="9">
        <v>30749.8</v>
      </c>
      <c r="M917" s="10">
        <v>10</v>
      </c>
      <c r="N917" s="49">
        <v>3940.47</v>
      </c>
      <c r="O917" s="9">
        <v>297.77999999999997</v>
      </c>
      <c r="P917" s="7" t="s">
        <v>35</v>
      </c>
      <c r="Q917" s="7" t="s">
        <v>65</v>
      </c>
      <c r="R917" s="28">
        <f t="shared" si="14"/>
        <v>0.12814619932487364</v>
      </c>
    </row>
    <row r="918" spans="1:18" x14ac:dyDescent="0.3">
      <c r="A918" s="3" t="s">
        <v>1562</v>
      </c>
      <c r="B918" s="4">
        <v>45972</v>
      </c>
      <c r="C918" s="3" t="s">
        <v>597</v>
      </c>
      <c r="D918" s="3" t="s">
        <v>39</v>
      </c>
      <c r="E918" s="3" t="s">
        <v>30</v>
      </c>
      <c r="F918" s="3" t="s">
        <v>31</v>
      </c>
      <c r="G918" s="3" t="s">
        <v>134</v>
      </c>
      <c r="H918" s="3" t="s">
        <v>91</v>
      </c>
      <c r="I918" s="3" t="s">
        <v>168</v>
      </c>
      <c r="J918" s="3">
        <v>1</v>
      </c>
      <c r="K918" s="5">
        <v>1038.8900000000001</v>
      </c>
      <c r="L918" s="5">
        <v>883.06</v>
      </c>
      <c r="M918" s="6">
        <v>15</v>
      </c>
      <c r="N918" s="48">
        <v>29.38</v>
      </c>
      <c r="O918" s="5">
        <v>35.78</v>
      </c>
      <c r="P918" s="3" t="s">
        <v>25</v>
      </c>
      <c r="Q918" s="3" t="s">
        <v>65</v>
      </c>
      <c r="R918" s="28">
        <f t="shared" si="14"/>
        <v>3.3270672434489161E-2</v>
      </c>
    </row>
    <row r="919" spans="1:18" x14ac:dyDescent="0.3">
      <c r="A919" s="7" t="s">
        <v>1563</v>
      </c>
      <c r="B919" s="8">
        <v>45972</v>
      </c>
      <c r="C919" s="7" t="s">
        <v>1564</v>
      </c>
      <c r="D919" s="7" t="s">
        <v>29</v>
      </c>
      <c r="E919" s="7" t="s">
        <v>30</v>
      </c>
      <c r="F919" s="7" t="s">
        <v>48</v>
      </c>
      <c r="G919" s="7" t="s">
        <v>117</v>
      </c>
      <c r="H919" s="7" t="s">
        <v>153</v>
      </c>
      <c r="I919" s="7" t="s">
        <v>154</v>
      </c>
      <c r="J919" s="7">
        <v>1</v>
      </c>
      <c r="K919" s="9">
        <v>968.22</v>
      </c>
      <c r="L919" s="9">
        <v>871.4</v>
      </c>
      <c r="M919" s="10">
        <v>10</v>
      </c>
      <c r="N919" s="49">
        <v>215.53</v>
      </c>
      <c r="O919" s="9">
        <v>106.38</v>
      </c>
      <c r="P919" s="7" t="s">
        <v>45</v>
      </c>
      <c r="Q919" s="7" t="s">
        <v>57</v>
      </c>
      <c r="R919" s="28">
        <f t="shared" si="14"/>
        <v>0.24733761762680745</v>
      </c>
    </row>
    <row r="920" spans="1:18" x14ac:dyDescent="0.3">
      <c r="A920" s="3" t="s">
        <v>1565</v>
      </c>
      <c r="B920" s="4">
        <v>45972</v>
      </c>
      <c r="C920" s="3" t="s">
        <v>76</v>
      </c>
      <c r="D920" s="3" t="s">
        <v>19</v>
      </c>
      <c r="E920" s="3" t="s">
        <v>20</v>
      </c>
      <c r="F920" s="3" t="s">
        <v>54</v>
      </c>
      <c r="G920" s="3" t="s">
        <v>22</v>
      </c>
      <c r="H920" s="3" t="s">
        <v>105</v>
      </c>
      <c r="I920" s="3" t="s">
        <v>629</v>
      </c>
      <c r="J920" s="3">
        <v>1</v>
      </c>
      <c r="K920" s="5">
        <v>18984.88</v>
      </c>
      <c r="L920" s="5">
        <v>18984.88</v>
      </c>
      <c r="M920" s="6">
        <v>0</v>
      </c>
      <c r="N920" s="48">
        <v>2803.24</v>
      </c>
      <c r="O920" s="5">
        <v>124.28</v>
      </c>
      <c r="P920" s="3" t="s">
        <v>83</v>
      </c>
      <c r="Q920" s="3" t="s">
        <v>65</v>
      </c>
      <c r="R920" s="28">
        <f t="shared" si="14"/>
        <v>0.14765645081770334</v>
      </c>
    </row>
    <row r="921" spans="1:18" x14ac:dyDescent="0.3">
      <c r="A921" s="7" t="s">
        <v>1566</v>
      </c>
      <c r="B921" s="8">
        <v>45973</v>
      </c>
      <c r="C921" s="7" t="s">
        <v>149</v>
      </c>
      <c r="D921" s="7" t="s">
        <v>19</v>
      </c>
      <c r="E921" s="7" t="s">
        <v>30</v>
      </c>
      <c r="F921" s="7" t="s">
        <v>226</v>
      </c>
      <c r="G921" s="7" t="s">
        <v>134</v>
      </c>
      <c r="H921" s="7" t="s">
        <v>139</v>
      </c>
      <c r="I921" s="7" t="s">
        <v>140</v>
      </c>
      <c r="J921" s="7">
        <v>4</v>
      </c>
      <c r="K921" s="9">
        <v>4080.1</v>
      </c>
      <c r="L921" s="9">
        <v>13872.34</v>
      </c>
      <c r="M921" s="10">
        <v>15</v>
      </c>
      <c r="N921" s="49">
        <v>1831.56</v>
      </c>
      <c r="O921" s="9">
        <v>188.09</v>
      </c>
      <c r="P921" s="7" t="s">
        <v>35</v>
      </c>
      <c r="Q921" s="7" t="s">
        <v>26</v>
      </c>
      <c r="R921" s="28">
        <f t="shared" si="14"/>
        <v>0.13202963595182932</v>
      </c>
    </row>
    <row r="922" spans="1:18" x14ac:dyDescent="0.3">
      <c r="A922" s="3" t="s">
        <v>1567</v>
      </c>
      <c r="B922" s="4">
        <v>45974</v>
      </c>
      <c r="C922" s="3" t="s">
        <v>328</v>
      </c>
      <c r="D922" s="3" t="s">
        <v>39</v>
      </c>
      <c r="E922" s="3" t="s">
        <v>60</v>
      </c>
      <c r="F922" s="3" t="s">
        <v>72</v>
      </c>
      <c r="G922" s="3" t="s">
        <v>22</v>
      </c>
      <c r="H922" s="3" t="s">
        <v>55</v>
      </c>
      <c r="I922" s="3" t="s">
        <v>399</v>
      </c>
      <c r="J922" s="3">
        <v>3</v>
      </c>
      <c r="K922" s="5">
        <v>60669.15</v>
      </c>
      <c r="L922" s="5">
        <v>136505.59</v>
      </c>
      <c r="M922" s="6">
        <v>25</v>
      </c>
      <c r="N922" s="48">
        <v>-9827.48</v>
      </c>
      <c r="O922" s="5">
        <v>240.84</v>
      </c>
      <c r="P922" s="3" t="s">
        <v>25</v>
      </c>
      <c r="Q922" s="3" t="s">
        <v>57</v>
      </c>
      <c r="R922" s="28">
        <f t="shared" si="14"/>
        <v>-7.1993242181510667E-2</v>
      </c>
    </row>
    <row r="923" spans="1:18" x14ac:dyDescent="0.3">
      <c r="A923" s="7" t="s">
        <v>1568</v>
      </c>
      <c r="B923" s="8">
        <v>45975</v>
      </c>
      <c r="C923" s="7" t="s">
        <v>47</v>
      </c>
      <c r="D923" s="7" t="s">
        <v>19</v>
      </c>
      <c r="E923" s="7" t="s">
        <v>20</v>
      </c>
      <c r="F923" s="7" t="s">
        <v>21</v>
      </c>
      <c r="G923" s="7" t="s">
        <v>134</v>
      </c>
      <c r="H923" s="7" t="s">
        <v>139</v>
      </c>
      <c r="I923" s="7" t="s">
        <v>147</v>
      </c>
      <c r="J923" s="7">
        <v>4</v>
      </c>
      <c r="K923" s="9">
        <v>1325.33</v>
      </c>
      <c r="L923" s="9">
        <v>4771.1899999999996</v>
      </c>
      <c r="M923" s="10">
        <v>10</v>
      </c>
      <c r="N923" s="49">
        <v>648.14</v>
      </c>
      <c r="O923" s="9">
        <v>253.59</v>
      </c>
      <c r="P923" s="7" t="s">
        <v>25</v>
      </c>
      <c r="Q923" s="7" t="s">
        <v>65</v>
      </c>
      <c r="R923" s="28">
        <f t="shared" si="14"/>
        <v>0.13584451677673706</v>
      </c>
    </row>
    <row r="924" spans="1:18" x14ac:dyDescent="0.3">
      <c r="A924" s="3" t="s">
        <v>1569</v>
      </c>
      <c r="B924" s="4">
        <v>45976</v>
      </c>
      <c r="C924" s="3" t="s">
        <v>1570</v>
      </c>
      <c r="D924" s="3" t="s">
        <v>39</v>
      </c>
      <c r="E924" s="3" t="s">
        <v>40</v>
      </c>
      <c r="F924" s="3" t="s">
        <v>41</v>
      </c>
      <c r="G924" s="3" t="s">
        <v>22</v>
      </c>
      <c r="H924" s="3" t="s">
        <v>105</v>
      </c>
      <c r="I924" s="3" t="s">
        <v>106</v>
      </c>
      <c r="J924" s="3">
        <v>1</v>
      </c>
      <c r="K924" s="5">
        <v>45716.85</v>
      </c>
      <c r="L924" s="5">
        <v>41145.17</v>
      </c>
      <c r="M924" s="6">
        <v>10</v>
      </c>
      <c r="N924" s="48">
        <v>2449.4</v>
      </c>
      <c r="O924" s="5">
        <v>66.14</v>
      </c>
      <c r="P924" s="3" t="s">
        <v>35</v>
      </c>
      <c r="Q924" s="3" t="s">
        <v>26</v>
      </c>
      <c r="R924" s="28">
        <f t="shared" si="14"/>
        <v>5.9530681243995354E-2</v>
      </c>
    </row>
    <row r="925" spans="1:18" x14ac:dyDescent="0.3">
      <c r="A925" s="7" t="s">
        <v>1571</v>
      </c>
      <c r="B925" s="8">
        <v>45976</v>
      </c>
      <c r="C925" s="7" t="s">
        <v>1052</v>
      </c>
      <c r="D925" s="7" t="s">
        <v>29</v>
      </c>
      <c r="E925" s="7" t="s">
        <v>60</v>
      </c>
      <c r="F925" s="7" t="s">
        <v>61</v>
      </c>
      <c r="G925" s="7" t="s">
        <v>32</v>
      </c>
      <c r="H925" s="7" t="s">
        <v>86</v>
      </c>
      <c r="I925" s="7" t="s">
        <v>211</v>
      </c>
      <c r="J925" s="7">
        <v>1</v>
      </c>
      <c r="K925" s="9">
        <v>10122.040000000001</v>
      </c>
      <c r="L925" s="9">
        <v>9615.94</v>
      </c>
      <c r="M925" s="10">
        <v>5</v>
      </c>
      <c r="N925" s="49">
        <v>801.61</v>
      </c>
      <c r="O925" s="9">
        <v>159.4</v>
      </c>
      <c r="P925" s="7" t="s">
        <v>64</v>
      </c>
      <c r="Q925" s="7" t="s">
        <v>57</v>
      </c>
      <c r="R925" s="28">
        <f t="shared" si="14"/>
        <v>8.336262497478146E-2</v>
      </c>
    </row>
    <row r="926" spans="1:18" x14ac:dyDescent="0.3">
      <c r="A926" s="3" t="s">
        <v>1572</v>
      </c>
      <c r="B926" s="4">
        <v>45976</v>
      </c>
      <c r="C926" s="3" t="s">
        <v>1381</v>
      </c>
      <c r="D926" s="3" t="s">
        <v>39</v>
      </c>
      <c r="E926" s="3" t="s">
        <v>30</v>
      </c>
      <c r="F926" s="3" t="s">
        <v>48</v>
      </c>
      <c r="G926" s="3" t="s">
        <v>32</v>
      </c>
      <c r="H926" s="3" t="s">
        <v>143</v>
      </c>
      <c r="I926" s="3" t="s">
        <v>321</v>
      </c>
      <c r="J926" s="3">
        <v>5</v>
      </c>
      <c r="K926" s="5">
        <v>3933.39</v>
      </c>
      <c r="L926" s="5">
        <v>15733.56</v>
      </c>
      <c r="M926" s="6">
        <v>20</v>
      </c>
      <c r="N926" s="48">
        <v>2246.29</v>
      </c>
      <c r="O926" s="5">
        <v>174.65</v>
      </c>
      <c r="P926" s="3" t="s">
        <v>83</v>
      </c>
      <c r="Q926" s="3" t="s">
        <v>57</v>
      </c>
      <c r="R926" s="28">
        <f t="shared" si="14"/>
        <v>0.14277061262676724</v>
      </c>
    </row>
    <row r="927" spans="1:18" x14ac:dyDescent="0.3">
      <c r="A927" s="7" t="s">
        <v>1573</v>
      </c>
      <c r="B927" s="8">
        <v>45976</v>
      </c>
      <c r="C927" s="7" t="s">
        <v>742</v>
      </c>
      <c r="D927" s="7" t="s">
        <v>39</v>
      </c>
      <c r="E927" s="7" t="s">
        <v>40</v>
      </c>
      <c r="F927" s="7" t="s">
        <v>41</v>
      </c>
      <c r="G927" s="7" t="s">
        <v>49</v>
      </c>
      <c r="H927" s="7" t="s">
        <v>50</v>
      </c>
      <c r="I927" s="7" t="s">
        <v>95</v>
      </c>
      <c r="J927" s="7">
        <v>1</v>
      </c>
      <c r="K927" s="9">
        <v>7066.53</v>
      </c>
      <c r="L927" s="9">
        <v>5299.9</v>
      </c>
      <c r="M927" s="10">
        <v>25</v>
      </c>
      <c r="N927" s="49">
        <v>85.19</v>
      </c>
      <c r="O927" s="9">
        <v>247.84</v>
      </c>
      <c r="P927" s="7" t="s">
        <v>25</v>
      </c>
      <c r="Q927" s="7" t="s">
        <v>65</v>
      </c>
      <c r="R927" s="28">
        <f t="shared" si="14"/>
        <v>1.607388818656956E-2</v>
      </c>
    </row>
    <row r="928" spans="1:18" x14ac:dyDescent="0.3">
      <c r="A928" s="3" t="s">
        <v>1574</v>
      </c>
      <c r="B928" s="4">
        <v>45977</v>
      </c>
      <c r="C928" s="3" t="s">
        <v>133</v>
      </c>
      <c r="D928" s="3" t="s">
        <v>29</v>
      </c>
      <c r="E928" s="3" t="s">
        <v>20</v>
      </c>
      <c r="F928" s="3" t="s">
        <v>21</v>
      </c>
      <c r="G928" s="3" t="s">
        <v>22</v>
      </c>
      <c r="H928" s="3" t="s">
        <v>110</v>
      </c>
      <c r="I928" s="3" t="s">
        <v>111</v>
      </c>
      <c r="J928" s="3">
        <v>1</v>
      </c>
      <c r="K928" s="5">
        <v>2011.21</v>
      </c>
      <c r="L928" s="5">
        <v>1608.97</v>
      </c>
      <c r="M928" s="6">
        <v>20</v>
      </c>
      <c r="N928" s="48">
        <v>27.85</v>
      </c>
      <c r="O928" s="5">
        <v>112.7</v>
      </c>
      <c r="P928" s="3" t="s">
        <v>25</v>
      </c>
      <c r="Q928" s="3" t="s">
        <v>65</v>
      </c>
      <c r="R928" s="28">
        <f t="shared" si="14"/>
        <v>1.7309210240091487E-2</v>
      </c>
    </row>
    <row r="929" spans="1:18" x14ac:dyDescent="0.3">
      <c r="A929" s="7" t="s">
        <v>1575</v>
      </c>
      <c r="B929" s="8">
        <v>45977</v>
      </c>
      <c r="C929" s="7" t="s">
        <v>1576</v>
      </c>
      <c r="D929" s="7" t="s">
        <v>39</v>
      </c>
      <c r="E929" s="7" t="s">
        <v>30</v>
      </c>
      <c r="F929" s="7" t="s">
        <v>48</v>
      </c>
      <c r="G929" s="7" t="s">
        <v>42</v>
      </c>
      <c r="H929" s="7" t="s">
        <v>81</v>
      </c>
      <c r="I929" s="7" t="s">
        <v>248</v>
      </c>
      <c r="J929" s="7">
        <v>2</v>
      </c>
      <c r="K929" s="9">
        <v>215.31</v>
      </c>
      <c r="L929" s="9">
        <v>387.56</v>
      </c>
      <c r="M929" s="10">
        <v>10</v>
      </c>
      <c r="N929" s="49">
        <v>-0.69</v>
      </c>
      <c r="O929" s="9">
        <v>92.14</v>
      </c>
      <c r="P929" s="7" t="s">
        <v>45</v>
      </c>
      <c r="Q929" s="7" t="s">
        <v>26</v>
      </c>
      <c r="R929" s="28">
        <f t="shared" si="14"/>
        <v>-1.7803694911755598E-3</v>
      </c>
    </row>
    <row r="930" spans="1:18" x14ac:dyDescent="0.3">
      <c r="A930" s="3" t="s">
        <v>1577</v>
      </c>
      <c r="B930" s="4">
        <v>45977</v>
      </c>
      <c r="C930" s="3" t="s">
        <v>1578</v>
      </c>
      <c r="D930" s="3" t="s">
        <v>19</v>
      </c>
      <c r="E930" s="3" t="s">
        <v>20</v>
      </c>
      <c r="F930" s="3" t="s">
        <v>21</v>
      </c>
      <c r="G930" s="3" t="s">
        <v>134</v>
      </c>
      <c r="H930" s="3" t="s">
        <v>244</v>
      </c>
      <c r="I930" s="3" t="s">
        <v>270</v>
      </c>
      <c r="J930" s="3">
        <v>2</v>
      </c>
      <c r="K930" s="5">
        <v>1969.28</v>
      </c>
      <c r="L930" s="5">
        <v>3347.78</v>
      </c>
      <c r="M930" s="6">
        <v>15</v>
      </c>
      <c r="N930" s="48">
        <v>514.22</v>
      </c>
      <c r="O930" s="5">
        <v>209.36</v>
      </c>
      <c r="P930" s="3" t="s">
        <v>25</v>
      </c>
      <c r="Q930" s="3" t="s">
        <v>65</v>
      </c>
      <c r="R930" s="28">
        <f t="shared" si="14"/>
        <v>0.15360029631576747</v>
      </c>
    </row>
    <row r="931" spans="1:18" x14ac:dyDescent="0.3">
      <c r="A931" s="7" t="s">
        <v>1579</v>
      </c>
      <c r="B931" s="8">
        <v>45977</v>
      </c>
      <c r="C931" s="7" t="s">
        <v>1193</v>
      </c>
      <c r="D931" s="7" t="s">
        <v>39</v>
      </c>
      <c r="E931" s="7" t="s">
        <v>20</v>
      </c>
      <c r="F931" s="7" t="s">
        <v>21</v>
      </c>
      <c r="G931" s="7" t="s">
        <v>22</v>
      </c>
      <c r="H931" s="7" t="s">
        <v>110</v>
      </c>
      <c r="I931" s="7" t="s">
        <v>480</v>
      </c>
      <c r="J931" s="7">
        <v>5</v>
      </c>
      <c r="K931" s="9">
        <v>35036.61</v>
      </c>
      <c r="L931" s="9">
        <v>166423.9</v>
      </c>
      <c r="M931" s="10">
        <v>5</v>
      </c>
      <c r="N931" s="49">
        <v>15450.41</v>
      </c>
      <c r="O931" s="9">
        <v>95.72</v>
      </c>
      <c r="P931" s="7" t="s">
        <v>25</v>
      </c>
      <c r="Q931" s="7" t="s">
        <v>57</v>
      </c>
      <c r="R931" s="28">
        <f t="shared" si="14"/>
        <v>9.2837687375431049E-2</v>
      </c>
    </row>
    <row r="932" spans="1:18" x14ac:dyDescent="0.3">
      <c r="A932" s="3" t="s">
        <v>1580</v>
      </c>
      <c r="B932" s="4">
        <v>45977</v>
      </c>
      <c r="C932" s="3" t="s">
        <v>1331</v>
      </c>
      <c r="D932" s="3" t="s">
        <v>29</v>
      </c>
      <c r="E932" s="3" t="s">
        <v>30</v>
      </c>
      <c r="F932" s="3" t="s">
        <v>31</v>
      </c>
      <c r="G932" s="3" t="s">
        <v>117</v>
      </c>
      <c r="H932" s="3" t="s">
        <v>130</v>
      </c>
      <c r="I932" s="3" t="s">
        <v>131</v>
      </c>
      <c r="J932" s="3">
        <v>3</v>
      </c>
      <c r="K932" s="5">
        <v>1794.35</v>
      </c>
      <c r="L932" s="5">
        <v>5113.8999999999996</v>
      </c>
      <c r="M932" s="6">
        <v>5</v>
      </c>
      <c r="N932" s="48">
        <v>1368.45</v>
      </c>
      <c r="O932" s="5">
        <v>99.75</v>
      </c>
      <c r="P932" s="3" t="s">
        <v>45</v>
      </c>
      <c r="Q932" s="3" t="s">
        <v>36</v>
      </c>
      <c r="R932" s="28">
        <f t="shared" si="14"/>
        <v>0.26759420403214773</v>
      </c>
    </row>
    <row r="933" spans="1:18" x14ac:dyDescent="0.3">
      <c r="A933" s="7" t="s">
        <v>1581</v>
      </c>
      <c r="B933" s="8">
        <v>45978</v>
      </c>
      <c r="C933" s="7" t="s">
        <v>320</v>
      </c>
      <c r="D933" s="7" t="s">
        <v>39</v>
      </c>
      <c r="E933" s="7" t="s">
        <v>40</v>
      </c>
      <c r="F933" s="7" t="s">
        <v>109</v>
      </c>
      <c r="G933" s="7" t="s">
        <v>32</v>
      </c>
      <c r="H933" s="7" t="s">
        <v>86</v>
      </c>
      <c r="I933" s="7" t="s">
        <v>227</v>
      </c>
      <c r="J933" s="7">
        <v>1</v>
      </c>
      <c r="K933" s="9">
        <v>2949.74</v>
      </c>
      <c r="L933" s="9">
        <v>2949.74</v>
      </c>
      <c r="M933" s="10">
        <v>0</v>
      </c>
      <c r="N933" s="49">
        <v>695.3</v>
      </c>
      <c r="O933" s="9">
        <v>72.09</v>
      </c>
      <c r="P933" s="7" t="s">
        <v>35</v>
      </c>
      <c r="Q933" s="7" t="s">
        <v>26</v>
      </c>
      <c r="R933" s="28">
        <f t="shared" si="14"/>
        <v>0.2357156901964241</v>
      </c>
    </row>
    <row r="934" spans="1:18" x14ac:dyDescent="0.3">
      <c r="A934" s="3" t="s">
        <v>1582</v>
      </c>
      <c r="B934" s="4">
        <v>45978</v>
      </c>
      <c r="C934" s="3" t="s">
        <v>433</v>
      </c>
      <c r="D934" s="3" t="s">
        <v>39</v>
      </c>
      <c r="E934" s="3" t="s">
        <v>20</v>
      </c>
      <c r="F934" s="3" t="s">
        <v>54</v>
      </c>
      <c r="G934" s="3" t="s">
        <v>49</v>
      </c>
      <c r="H934" s="3" t="s">
        <v>91</v>
      </c>
      <c r="I934" s="3" t="s">
        <v>168</v>
      </c>
      <c r="J934" s="3">
        <v>1</v>
      </c>
      <c r="K934" s="5">
        <v>9409.36</v>
      </c>
      <c r="L934" s="5">
        <v>7997.96</v>
      </c>
      <c r="M934" s="6">
        <v>15</v>
      </c>
      <c r="N934" s="48">
        <v>936.75</v>
      </c>
      <c r="O934" s="5">
        <v>179.36</v>
      </c>
      <c r="P934" s="3" t="s">
        <v>64</v>
      </c>
      <c r="Q934" s="3" t="s">
        <v>57</v>
      </c>
      <c r="R934" s="28">
        <f t="shared" si="14"/>
        <v>0.11712361652221316</v>
      </c>
    </row>
    <row r="935" spans="1:18" x14ac:dyDescent="0.3">
      <c r="A935" s="7" t="s">
        <v>1583</v>
      </c>
      <c r="B935" s="8">
        <v>45978</v>
      </c>
      <c r="C935" s="7" t="s">
        <v>1071</v>
      </c>
      <c r="D935" s="7" t="s">
        <v>39</v>
      </c>
      <c r="E935" s="7" t="s">
        <v>30</v>
      </c>
      <c r="F935" s="7" t="s">
        <v>31</v>
      </c>
      <c r="G935" s="7" t="s">
        <v>22</v>
      </c>
      <c r="H935" s="7" t="s">
        <v>624</v>
      </c>
      <c r="I935" s="7" t="s">
        <v>640</v>
      </c>
      <c r="J935" s="7">
        <v>1</v>
      </c>
      <c r="K935" s="9">
        <v>49976.87</v>
      </c>
      <c r="L935" s="9">
        <v>34983.81</v>
      </c>
      <c r="M935" s="10">
        <v>30</v>
      </c>
      <c r="N935" s="49">
        <v>-1826.85</v>
      </c>
      <c r="O935" s="9">
        <v>94.15</v>
      </c>
      <c r="P935" s="7" t="s">
        <v>83</v>
      </c>
      <c r="Q935" s="7" t="s">
        <v>26</v>
      </c>
      <c r="R935" s="28">
        <f t="shared" si="14"/>
        <v>-5.2219869705443747E-2</v>
      </c>
    </row>
    <row r="936" spans="1:18" x14ac:dyDescent="0.3">
      <c r="A936" s="3" t="s">
        <v>1584</v>
      </c>
      <c r="B936" s="4">
        <v>45978</v>
      </c>
      <c r="C936" s="3" t="s">
        <v>1585</v>
      </c>
      <c r="D936" s="3" t="s">
        <v>39</v>
      </c>
      <c r="E936" s="3" t="s">
        <v>20</v>
      </c>
      <c r="F936" s="3" t="s">
        <v>129</v>
      </c>
      <c r="G936" s="3" t="s">
        <v>117</v>
      </c>
      <c r="H936" s="3" t="s">
        <v>153</v>
      </c>
      <c r="I936" s="3" t="s">
        <v>356</v>
      </c>
      <c r="J936" s="3">
        <v>4</v>
      </c>
      <c r="K936" s="5">
        <v>2310.2199999999998</v>
      </c>
      <c r="L936" s="5">
        <v>8778.84</v>
      </c>
      <c r="M936" s="6">
        <v>5</v>
      </c>
      <c r="N936" s="48">
        <v>2079.2800000000002</v>
      </c>
      <c r="O936" s="5">
        <v>359.85</v>
      </c>
      <c r="P936" s="3" t="s">
        <v>64</v>
      </c>
      <c r="Q936" s="3" t="s">
        <v>65</v>
      </c>
      <c r="R936" s="28">
        <f t="shared" si="14"/>
        <v>0.23685133798998503</v>
      </c>
    </row>
    <row r="937" spans="1:18" x14ac:dyDescent="0.3">
      <c r="A937" s="7" t="s">
        <v>1586</v>
      </c>
      <c r="B937" s="8">
        <v>45979</v>
      </c>
      <c r="C937" s="7" t="s">
        <v>958</v>
      </c>
      <c r="D937" s="7" t="s">
        <v>39</v>
      </c>
      <c r="E937" s="7" t="s">
        <v>20</v>
      </c>
      <c r="F937" s="7" t="s">
        <v>54</v>
      </c>
      <c r="G937" s="7" t="s">
        <v>22</v>
      </c>
      <c r="H937" s="7" t="s">
        <v>23</v>
      </c>
      <c r="I937" s="7" t="s">
        <v>238</v>
      </c>
      <c r="J937" s="7">
        <v>2</v>
      </c>
      <c r="K937" s="9">
        <v>8554.99</v>
      </c>
      <c r="L937" s="9">
        <v>15398.98</v>
      </c>
      <c r="M937" s="10">
        <v>10</v>
      </c>
      <c r="N937" s="49">
        <v>1660.67</v>
      </c>
      <c r="O937" s="9">
        <v>283.42</v>
      </c>
      <c r="P937" s="7" t="s">
        <v>25</v>
      </c>
      <c r="Q937" s="7" t="s">
        <v>65</v>
      </c>
      <c r="R937" s="28">
        <f t="shared" si="14"/>
        <v>0.10784285712430304</v>
      </c>
    </row>
    <row r="938" spans="1:18" x14ac:dyDescent="0.3">
      <c r="A938" s="3" t="s">
        <v>1587</v>
      </c>
      <c r="B938" s="4">
        <v>45980</v>
      </c>
      <c r="C938" s="3" t="s">
        <v>912</v>
      </c>
      <c r="D938" s="3" t="s">
        <v>19</v>
      </c>
      <c r="E938" s="3" t="s">
        <v>30</v>
      </c>
      <c r="F938" s="3" t="s">
        <v>48</v>
      </c>
      <c r="G938" s="3" t="s">
        <v>22</v>
      </c>
      <c r="H938" s="3" t="s">
        <v>55</v>
      </c>
      <c r="I938" s="3" t="s">
        <v>416</v>
      </c>
      <c r="J938" s="3">
        <v>1</v>
      </c>
      <c r="K938" s="5">
        <v>47879.13</v>
      </c>
      <c r="L938" s="5">
        <v>47879.13</v>
      </c>
      <c r="M938" s="6">
        <v>0</v>
      </c>
      <c r="N938" s="48">
        <v>8114.47</v>
      </c>
      <c r="O938" s="5">
        <v>70.86</v>
      </c>
      <c r="P938" s="3" t="s">
        <v>35</v>
      </c>
      <c r="Q938" s="3" t="s">
        <v>36</v>
      </c>
      <c r="R938" s="28">
        <f t="shared" si="14"/>
        <v>0.1694782256904</v>
      </c>
    </row>
    <row r="939" spans="1:18" x14ac:dyDescent="0.3">
      <c r="A939" s="7" t="s">
        <v>1588</v>
      </c>
      <c r="B939" s="8">
        <v>45980</v>
      </c>
      <c r="C939" s="7" t="s">
        <v>995</v>
      </c>
      <c r="D939" s="7" t="s">
        <v>29</v>
      </c>
      <c r="E939" s="7" t="s">
        <v>30</v>
      </c>
      <c r="F939" s="7" t="s">
        <v>31</v>
      </c>
      <c r="G939" s="7" t="s">
        <v>49</v>
      </c>
      <c r="H939" s="7" t="s">
        <v>50</v>
      </c>
      <c r="I939" s="7" t="s">
        <v>485</v>
      </c>
      <c r="J939" s="7">
        <v>1</v>
      </c>
      <c r="K939" s="9">
        <v>6175.02</v>
      </c>
      <c r="L939" s="9">
        <v>5866.27</v>
      </c>
      <c r="M939" s="10">
        <v>5</v>
      </c>
      <c r="N939" s="49">
        <v>619.62</v>
      </c>
      <c r="O939" s="9">
        <v>114.57</v>
      </c>
      <c r="P939" s="7" t="s">
        <v>35</v>
      </c>
      <c r="Q939" s="7" t="s">
        <v>26</v>
      </c>
      <c r="R939" s="28">
        <f t="shared" si="14"/>
        <v>0.10562418708992255</v>
      </c>
    </row>
    <row r="940" spans="1:18" x14ac:dyDescent="0.3">
      <c r="A940" s="3" t="s">
        <v>1589</v>
      </c>
      <c r="B940" s="4">
        <v>45980</v>
      </c>
      <c r="C940" s="3" t="s">
        <v>1456</v>
      </c>
      <c r="D940" s="3" t="s">
        <v>29</v>
      </c>
      <c r="E940" s="3" t="s">
        <v>40</v>
      </c>
      <c r="F940" s="3" t="s">
        <v>41</v>
      </c>
      <c r="G940" s="3" t="s">
        <v>42</v>
      </c>
      <c r="H940" s="3" t="s">
        <v>164</v>
      </c>
      <c r="I940" s="3" t="s">
        <v>199</v>
      </c>
      <c r="J940" s="3">
        <v>1</v>
      </c>
      <c r="K940" s="5">
        <v>692.4</v>
      </c>
      <c r="L940" s="5">
        <v>553.91999999999996</v>
      </c>
      <c r="M940" s="6">
        <v>20</v>
      </c>
      <c r="N940" s="48">
        <v>8.0500000000000007</v>
      </c>
      <c r="O940" s="5">
        <v>286.83</v>
      </c>
      <c r="P940" s="3" t="s">
        <v>45</v>
      </c>
      <c r="Q940" s="3" t="s">
        <v>65</v>
      </c>
      <c r="R940" s="28">
        <f t="shared" si="14"/>
        <v>1.4532784517619876E-2</v>
      </c>
    </row>
    <row r="941" spans="1:18" x14ac:dyDescent="0.3">
      <c r="A941" s="7" t="s">
        <v>1590</v>
      </c>
      <c r="B941" s="8">
        <v>45981</v>
      </c>
      <c r="C941" s="7" t="s">
        <v>1335</v>
      </c>
      <c r="D941" s="7" t="s">
        <v>29</v>
      </c>
      <c r="E941" s="7" t="s">
        <v>30</v>
      </c>
      <c r="F941" s="7" t="s">
        <v>226</v>
      </c>
      <c r="G941" s="7" t="s">
        <v>22</v>
      </c>
      <c r="H941" s="7" t="s">
        <v>110</v>
      </c>
      <c r="I941" s="7" t="s">
        <v>317</v>
      </c>
      <c r="J941" s="7">
        <v>3</v>
      </c>
      <c r="K941" s="9">
        <v>37780.82</v>
      </c>
      <c r="L941" s="9">
        <v>113342.46</v>
      </c>
      <c r="M941" s="10">
        <v>0</v>
      </c>
      <c r="N941" s="49">
        <v>12048.84</v>
      </c>
      <c r="O941" s="9">
        <v>101.12</v>
      </c>
      <c r="P941" s="7" t="s">
        <v>64</v>
      </c>
      <c r="Q941" s="7" t="s">
        <v>65</v>
      </c>
      <c r="R941" s="28">
        <f t="shared" si="14"/>
        <v>0.10630473345999372</v>
      </c>
    </row>
    <row r="942" spans="1:18" x14ac:dyDescent="0.3">
      <c r="A942" s="3" t="s">
        <v>1591</v>
      </c>
      <c r="B942" s="4">
        <v>45981</v>
      </c>
      <c r="C942" s="3" t="s">
        <v>59</v>
      </c>
      <c r="D942" s="3" t="s">
        <v>19</v>
      </c>
      <c r="E942" s="3" t="s">
        <v>40</v>
      </c>
      <c r="F942" s="3" t="s">
        <v>77</v>
      </c>
      <c r="G942" s="3" t="s">
        <v>134</v>
      </c>
      <c r="H942" s="3" t="s">
        <v>91</v>
      </c>
      <c r="I942" s="3" t="s">
        <v>92</v>
      </c>
      <c r="J942" s="3">
        <v>1</v>
      </c>
      <c r="K942" s="5">
        <v>689.03</v>
      </c>
      <c r="L942" s="5">
        <v>551.22</v>
      </c>
      <c r="M942" s="6">
        <v>20</v>
      </c>
      <c r="N942" s="48">
        <v>24.32</v>
      </c>
      <c r="O942" s="5">
        <v>269.48</v>
      </c>
      <c r="P942" s="3" t="s">
        <v>64</v>
      </c>
      <c r="Q942" s="3" t="s">
        <v>26</v>
      </c>
      <c r="R942" s="28">
        <f t="shared" si="14"/>
        <v>4.4120314937774387E-2</v>
      </c>
    </row>
    <row r="943" spans="1:18" x14ac:dyDescent="0.3">
      <c r="A943" s="7" t="s">
        <v>1592</v>
      </c>
      <c r="B943" s="8">
        <v>45981</v>
      </c>
      <c r="C943" s="7" t="s">
        <v>1466</v>
      </c>
      <c r="D943" s="7" t="s">
        <v>39</v>
      </c>
      <c r="E943" s="7" t="s">
        <v>30</v>
      </c>
      <c r="F943" s="7" t="s">
        <v>48</v>
      </c>
      <c r="G943" s="7" t="s">
        <v>22</v>
      </c>
      <c r="H943" s="7" t="s">
        <v>110</v>
      </c>
      <c r="I943" s="7" t="s">
        <v>359</v>
      </c>
      <c r="J943" s="7">
        <v>1</v>
      </c>
      <c r="K943" s="9">
        <v>27427.9</v>
      </c>
      <c r="L943" s="9">
        <v>23313.72</v>
      </c>
      <c r="M943" s="10">
        <v>15</v>
      </c>
      <c r="N943" s="49">
        <v>2603.33</v>
      </c>
      <c r="O943" s="9">
        <v>141.15</v>
      </c>
      <c r="P943" s="7" t="s">
        <v>64</v>
      </c>
      <c r="Q943" s="7" t="s">
        <v>36</v>
      </c>
      <c r="R943" s="28">
        <f t="shared" si="14"/>
        <v>0.11166514824746972</v>
      </c>
    </row>
    <row r="944" spans="1:18" x14ac:dyDescent="0.3">
      <c r="A944" s="3" t="s">
        <v>1593</v>
      </c>
      <c r="B944" s="4">
        <v>45981</v>
      </c>
      <c r="C944" s="3" t="s">
        <v>610</v>
      </c>
      <c r="D944" s="3" t="s">
        <v>39</v>
      </c>
      <c r="E944" s="3" t="s">
        <v>20</v>
      </c>
      <c r="F944" s="3" t="s">
        <v>129</v>
      </c>
      <c r="G944" s="3" t="s">
        <v>22</v>
      </c>
      <c r="H944" s="3" t="s">
        <v>55</v>
      </c>
      <c r="I944" s="3" t="s">
        <v>323</v>
      </c>
      <c r="J944" s="3">
        <v>1</v>
      </c>
      <c r="K944" s="5">
        <v>51204.68</v>
      </c>
      <c r="L944" s="5">
        <v>51204.68</v>
      </c>
      <c r="M944" s="6">
        <v>0</v>
      </c>
      <c r="N944" s="48">
        <v>6378.93</v>
      </c>
      <c r="O944" s="5">
        <v>167.28</v>
      </c>
      <c r="P944" s="3" t="s">
        <v>35</v>
      </c>
      <c r="Q944" s="3" t="s">
        <v>65</v>
      </c>
      <c r="R944" s="28">
        <f t="shared" si="14"/>
        <v>0.12457708943791856</v>
      </c>
    </row>
    <row r="945" spans="1:18" x14ac:dyDescent="0.3">
      <c r="A945" s="7" t="s">
        <v>1594</v>
      </c>
      <c r="B945" s="8">
        <v>45982</v>
      </c>
      <c r="C945" s="7" t="s">
        <v>1369</v>
      </c>
      <c r="D945" s="7" t="s">
        <v>39</v>
      </c>
      <c r="E945" s="7" t="s">
        <v>60</v>
      </c>
      <c r="F945" s="7" t="s">
        <v>61</v>
      </c>
      <c r="G945" s="7" t="s">
        <v>117</v>
      </c>
      <c r="H945" s="7" t="s">
        <v>153</v>
      </c>
      <c r="I945" s="7" t="s">
        <v>356</v>
      </c>
      <c r="J945" s="7">
        <v>1</v>
      </c>
      <c r="K945" s="9">
        <v>2257.2399999999998</v>
      </c>
      <c r="L945" s="9">
        <v>2257.2399999999998</v>
      </c>
      <c r="M945" s="10">
        <v>0</v>
      </c>
      <c r="N945" s="49">
        <v>653.17999999999995</v>
      </c>
      <c r="O945" s="9">
        <v>175.91</v>
      </c>
      <c r="P945" s="7" t="s">
        <v>25</v>
      </c>
      <c r="Q945" s="7" t="s">
        <v>57</v>
      </c>
      <c r="R945" s="28">
        <f t="shared" si="14"/>
        <v>0.28937109035813652</v>
      </c>
    </row>
    <row r="946" spans="1:18" x14ac:dyDescent="0.3">
      <c r="A946" s="3" t="s">
        <v>1595</v>
      </c>
      <c r="B946" s="4">
        <v>45982</v>
      </c>
      <c r="C946" s="3" t="s">
        <v>848</v>
      </c>
      <c r="D946" s="3" t="s">
        <v>39</v>
      </c>
      <c r="E946" s="3" t="s">
        <v>40</v>
      </c>
      <c r="F946" s="3" t="s">
        <v>77</v>
      </c>
      <c r="G946" s="3" t="s">
        <v>117</v>
      </c>
      <c r="H946" s="3" t="s">
        <v>125</v>
      </c>
      <c r="I946" s="3" t="s">
        <v>126</v>
      </c>
      <c r="J946" s="3">
        <v>1</v>
      </c>
      <c r="K946" s="5">
        <v>1972.71</v>
      </c>
      <c r="L946" s="5">
        <v>1972.71</v>
      </c>
      <c r="M946" s="6">
        <v>0</v>
      </c>
      <c r="N946" s="48">
        <v>416.63</v>
      </c>
      <c r="O946" s="5">
        <v>285.91000000000003</v>
      </c>
      <c r="P946" s="3" t="s">
        <v>35</v>
      </c>
      <c r="Q946" s="3" t="s">
        <v>65</v>
      </c>
      <c r="R946" s="28">
        <f t="shared" si="14"/>
        <v>0.21119678006397291</v>
      </c>
    </row>
    <row r="947" spans="1:18" x14ac:dyDescent="0.3">
      <c r="A947" s="7" t="s">
        <v>1596</v>
      </c>
      <c r="B947" s="8">
        <v>45982</v>
      </c>
      <c r="C947" s="7" t="s">
        <v>1597</v>
      </c>
      <c r="D947" s="7" t="s">
        <v>39</v>
      </c>
      <c r="E947" s="7" t="s">
        <v>20</v>
      </c>
      <c r="F947" s="7" t="s">
        <v>54</v>
      </c>
      <c r="G947" s="7" t="s">
        <v>42</v>
      </c>
      <c r="H947" s="7" t="s">
        <v>43</v>
      </c>
      <c r="I947" s="7" t="s">
        <v>208</v>
      </c>
      <c r="J947" s="7">
        <v>1</v>
      </c>
      <c r="K947" s="9">
        <v>1011.67</v>
      </c>
      <c r="L947" s="9">
        <v>910.5</v>
      </c>
      <c r="M947" s="10">
        <v>10</v>
      </c>
      <c r="N947" s="49">
        <v>133.71</v>
      </c>
      <c r="O947" s="9">
        <v>238.48</v>
      </c>
      <c r="P947" s="7" t="s">
        <v>45</v>
      </c>
      <c r="Q947" s="7" t="s">
        <v>26</v>
      </c>
      <c r="R947" s="28">
        <f t="shared" si="14"/>
        <v>0.14685337726523889</v>
      </c>
    </row>
    <row r="948" spans="1:18" x14ac:dyDescent="0.3">
      <c r="A948" s="3" t="s">
        <v>1598</v>
      </c>
      <c r="B948" s="4">
        <v>45982</v>
      </c>
      <c r="C948" s="3" t="s">
        <v>1352</v>
      </c>
      <c r="D948" s="3" t="s">
        <v>19</v>
      </c>
      <c r="E948" s="3" t="s">
        <v>30</v>
      </c>
      <c r="F948" s="3" t="s">
        <v>31</v>
      </c>
      <c r="G948" s="3" t="s">
        <v>22</v>
      </c>
      <c r="H948" s="3" t="s">
        <v>55</v>
      </c>
      <c r="I948" s="3" t="s">
        <v>150</v>
      </c>
      <c r="J948" s="3">
        <v>1</v>
      </c>
      <c r="K948" s="5">
        <v>6896.67</v>
      </c>
      <c r="L948" s="5">
        <v>5517.34</v>
      </c>
      <c r="M948" s="6">
        <v>20</v>
      </c>
      <c r="N948" s="48">
        <v>-438.37</v>
      </c>
      <c r="O948" s="5">
        <v>249.85</v>
      </c>
      <c r="P948" s="3" t="s">
        <v>83</v>
      </c>
      <c r="Q948" s="3" t="s">
        <v>65</v>
      </c>
      <c r="R948" s="28">
        <f t="shared" si="14"/>
        <v>-7.9453142275081837E-2</v>
      </c>
    </row>
    <row r="949" spans="1:18" x14ac:dyDescent="0.3">
      <c r="A949" s="7" t="s">
        <v>1599</v>
      </c>
      <c r="B949" s="8">
        <v>45983</v>
      </c>
      <c r="C949" s="7" t="s">
        <v>1079</v>
      </c>
      <c r="D949" s="7" t="s">
        <v>19</v>
      </c>
      <c r="E949" s="7" t="s">
        <v>60</v>
      </c>
      <c r="F949" s="7" t="s">
        <v>72</v>
      </c>
      <c r="G949" s="7" t="s">
        <v>32</v>
      </c>
      <c r="H949" s="7" t="s">
        <v>33</v>
      </c>
      <c r="I949" s="7" t="s">
        <v>34</v>
      </c>
      <c r="J949" s="7">
        <v>1</v>
      </c>
      <c r="K949" s="9">
        <v>10450.51</v>
      </c>
      <c r="L949" s="9">
        <v>10450.51</v>
      </c>
      <c r="M949" s="10">
        <v>0</v>
      </c>
      <c r="N949" s="49">
        <v>1964.55</v>
      </c>
      <c r="O949" s="9">
        <v>74.8</v>
      </c>
      <c r="P949" s="7" t="s">
        <v>35</v>
      </c>
      <c r="Q949" s="7" t="s">
        <v>26</v>
      </c>
      <c r="R949" s="28">
        <f t="shared" si="14"/>
        <v>0.18798604087264639</v>
      </c>
    </row>
    <row r="950" spans="1:18" x14ac:dyDescent="0.3">
      <c r="A950" s="3" t="s">
        <v>1600</v>
      </c>
      <c r="B950" s="4">
        <v>45983</v>
      </c>
      <c r="C950" s="3" t="s">
        <v>681</v>
      </c>
      <c r="D950" s="3" t="s">
        <v>29</v>
      </c>
      <c r="E950" s="3" t="s">
        <v>30</v>
      </c>
      <c r="F950" s="3" t="s">
        <v>31</v>
      </c>
      <c r="G950" s="3" t="s">
        <v>134</v>
      </c>
      <c r="H950" s="3" t="s">
        <v>139</v>
      </c>
      <c r="I950" s="3" t="s">
        <v>220</v>
      </c>
      <c r="J950" s="3">
        <v>1</v>
      </c>
      <c r="K950" s="5">
        <v>401.26</v>
      </c>
      <c r="L950" s="5">
        <v>321.01</v>
      </c>
      <c r="M950" s="6">
        <v>20</v>
      </c>
      <c r="N950" s="48">
        <v>25.63</v>
      </c>
      <c r="O950" s="5">
        <v>67.27</v>
      </c>
      <c r="P950" s="3" t="s">
        <v>35</v>
      </c>
      <c r="Q950" s="3" t="s">
        <v>57</v>
      </c>
      <c r="R950" s="28">
        <f t="shared" si="14"/>
        <v>7.9841749478209406E-2</v>
      </c>
    </row>
    <row r="951" spans="1:18" x14ac:dyDescent="0.3">
      <c r="A951" s="7" t="s">
        <v>1601</v>
      </c>
      <c r="B951" s="8">
        <v>45983</v>
      </c>
      <c r="C951" s="7" t="s">
        <v>1602</v>
      </c>
      <c r="D951" s="7" t="s">
        <v>19</v>
      </c>
      <c r="E951" s="7" t="s">
        <v>30</v>
      </c>
      <c r="F951" s="7" t="s">
        <v>48</v>
      </c>
      <c r="G951" s="7" t="s">
        <v>22</v>
      </c>
      <c r="H951" s="7" t="s">
        <v>110</v>
      </c>
      <c r="I951" s="7" t="s">
        <v>480</v>
      </c>
      <c r="J951" s="7">
        <v>2</v>
      </c>
      <c r="K951" s="9">
        <v>58345.02</v>
      </c>
      <c r="L951" s="9">
        <v>93352.03</v>
      </c>
      <c r="M951" s="10">
        <v>20</v>
      </c>
      <c r="N951" s="49">
        <v>1609.85</v>
      </c>
      <c r="O951" s="9">
        <v>140.13</v>
      </c>
      <c r="P951" s="7" t="s">
        <v>35</v>
      </c>
      <c r="Q951" s="7" t="s">
        <v>65</v>
      </c>
      <c r="R951" s="28">
        <f t="shared" si="14"/>
        <v>1.7244938326461675E-2</v>
      </c>
    </row>
    <row r="952" spans="1:18" x14ac:dyDescent="0.3">
      <c r="A952" s="3" t="s">
        <v>1603</v>
      </c>
      <c r="B952" s="4">
        <v>45983</v>
      </c>
      <c r="C952" s="3" t="s">
        <v>1335</v>
      </c>
      <c r="D952" s="3" t="s">
        <v>19</v>
      </c>
      <c r="E952" s="3" t="s">
        <v>20</v>
      </c>
      <c r="F952" s="3" t="s">
        <v>54</v>
      </c>
      <c r="G952" s="3" t="s">
        <v>42</v>
      </c>
      <c r="H952" s="3" t="s">
        <v>43</v>
      </c>
      <c r="I952" s="3" t="s">
        <v>751</v>
      </c>
      <c r="J952" s="3">
        <v>2</v>
      </c>
      <c r="K952" s="5">
        <v>531.80999999999995</v>
      </c>
      <c r="L952" s="5">
        <v>904.08</v>
      </c>
      <c r="M952" s="6">
        <v>15</v>
      </c>
      <c r="N952" s="48">
        <v>28.49</v>
      </c>
      <c r="O952" s="5">
        <v>355.97</v>
      </c>
      <c r="P952" s="3" t="s">
        <v>45</v>
      </c>
      <c r="Q952" s="3" t="s">
        <v>57</v>
      </c>
      <c r="R952" s="28">
        <f t="shared" si="14"/>
        <v>3.1512697991328199E-2</v>
      </c>
    </row>
    <row r="953" spans="1:18" x14ac:dyDescent="0.3">
      <c r="A953" s="7" t="s">
        <v>1604</v>
      </c>
      <c r="B953" s="8">
        <v>45984</v>
      </c>
      <c r="C953" s="7" t="s">
        <v>807</v>
      </c>
      <c r="D953" s="7" t="s">
        <v>29</v>
      </c>
      <c r="E953" s="7" t="s">
        <v>30</v>
      </c>
      <c r="F953" s="7" t="s">
        <v>48</v>
      </c>
      <c r="G953" s="7" t="s">
        <v>32</v>
      </c>
      <c r="H953" s="7" t="s">
        <v>73</v>
      </c>
      <c r="I953" s="7" t="s">
        <v>230</v>
      </c>
      <c r="J953" s="7">
        <v>1</v>
      </c>
      <c r="K953" s="9">
        <v>5152.9799999999996</v>
      </c>
      <c r="L953" s="9">
        <v>5152.9799999999996</v>
      </c>
      <c r="M953" s="10">
        <v>0</v>
      </c>
      <c r="N953" s="49">
        <v>696.41</v>
      </c>
      <c r="O953" s="9">
        <v>43.44</v>
      </c>
      <c r="P953" s="7" t="s">
        <v>64</v>
      </c>
      <c r="Q953" s="7" t="s">
        <v>36</v>
      </c>
      <c r="R953" s="28">
        <f t="shared" si="14"/>
        <v>0.1351470411295988</v>
      </c>
    </row>
    <row r="954" spans="1:18" x14ac:dyDescent="0.3">
      <c r="A954" s="3" t="s">
        <v>1605</v>
      </c>
      <c r="B954" s="4">
        <v>45984</v>
      </c>
      <c r="C954" s="3" t="s">
        <v>390</v>
      </c>
      <c r="D954" s="3" t="s">
        <v>39</v>
      </c>
      <c r="E954" s="3" t="s">
        <v>40</v>
      </c>
      <c r="F954" s="3" t="s">
        <v>77</v>
      </c>
      <c r="G954" s="3" t="s">
        <v>134</v>
      </c>
      <c r="H954" s="3" t="s">
        <v>139</v>
      </c>
      <c r="I954" s="3" t="s">
        <v>140</v>
      </c>
      <c r="J954" s="3">
        <v>1</v>
      </c>
      <c r="K954" s="5">
        <v>2315.5700000000002</v>
      </c>
      <c r="L954" s="5">
        <v>2199.79</v>
      </c>
      <c r="M954" s="6">
        <v>5</v>
      </c>
      <c r="N954" s="48">
        <v>418.98</v>
      </c>
      <c r="O954" s="5">
        <v>249.51</v>
      </c>
      <c r="P954" s="3" t="s">
        <v>64</v>
      </c>
      <c r="Q954" s="3" t="s">
        <v>26</v>
      </c>
      <c r="R954" s="28">
        <f t="shared" si="14"/>
        <v>0.19046363516517487</v>
      </c>
    </row>
    <row r="955" spans="1:18" x14ac:dyDescent="0.3">
      <c r="A955" s="7" t="s">
        <v>1606</v>
      </c>
      <c r="B955" s="8">
        <v>45984</v>
      </c>
      <c r="C955" s="7" t="s">
        <v>1017</v>
      </c>
      <c r="D955" s="7" t="s">
        <v>29</v>
      </c>
      <c r="E955" s="7" t="s">
        <v>40</v>
      </c>
      <c r="F955" s="7" t="s">
        <v>90</v>
      </c>
      <c r="G955" s="7" t="s">
        <v>134</v>
      </c>
      <c r="H955" s="7" t="s">
        <v>135</v>
      </c>
      <c r="I955" s="7" t="s">
        <v>287</v>
      </c>
      <c r="J955" s="7">
        <v>2</v>
      </c>
      <c r="K955" s="9">
        <v>4129.71</v>
      </c>
      <c r="L955" s="9">
        <v>7433.48</v>
      </c>
      <c r="M955" s="10">
        <v>10</v>
      </c>
      <c r="N955" s="49">
        <v>1798.2</v>
      </c>
      <c r="O955" s="9">
        <v>124.21</v>
      </c>
      <c r="P955" s="7" t="s">
        <v>25</v>
      </c>
      <c r="Q955" s="7" t="s">
        <v>65</v>
      </c>
      <c r="R955" s="28">
        <f t="shared" si="14"/>
        <v>0.24190554087722038</v>
      </c>
    </row>
    <row r="956" spans="1:18" x14ac:dyDescent="0.3">
      <c r="A956" s="3" t="s">
        <v>1607</v>
      </c>
      <c r="B956" s="4">
        <v>45984</v>
      </c>
      <c r="C956" s="3" t="s">
        <v>1608</v>
      </c>
      <c r="D956" s="3" t="s">
        <v>19</v>
      </c>
      <c r="E956" s="3" t="s">
        <v>30</v>
      </c>
      <c r="F956" s="3" t="s">
        <v>48</v>
      </c>
      <c r="G956" s="3" t="s">
        <v>32</v>
      </c>
      <c r="H956" s="3" t="s">
        <v>86</v>
      </c>
      <c r="I956" s="3" t="s">
        <v>227</v>
      </c>
      <c r="J956" s="3">
        <v>2</v>
      </c>
      <c r="K956" s="5">
        <v>3293.72</v>
      </c>
      <c r="L956" s="5">
        <v>5269.95</v>
      </c>
      <c r="M956" s="6">
        <v>20</v>
      </c>
      <c r="N956" s="48">
        <v>507.78</v>
      </c>
      <c r="O956" s="5">
        <v>159.16999999999999</v>
      </c>
      <c r="P956" s="3" t="s">
        <v>25</v>
      </c>
      <c r="Q956" s="3" t="s">
        <v>26</v>
      </c>
      <c r="R956" s="28">
        <f t="shared" si="14"/>
        <v>9.6353855349671252E-2</v>
      </c>
    </row>
    <row r="957" spans="1:18" x14ac:dyDescent="0.3">
      <c r="A957" s="7" t="s">
        <v>1609</v>
      </c>
      <c r="B957" s="8">
        <v>45984</v>
      </c>
      <c r="C957" s="7" t="s">
        <v>1610</v>
      </c>
      <c r="D957" s="7" t="s">
        <v>29</v>
      </c>
      <c r="E957" s="7" t="s">
        <v>60</v>
      </c>
      <c r="F957" s="7" t="s">
        <v>72</v>
      </c>
      <c r="G957" s="7" t="s">
        <v>134</v>
      </c>
      <c r="H957" s="7" t="s">
        <v>244</v>
      </c>
      <c r="I957" s="7" t="s">
        <v>334</v>
      </c>
      <c r="J957" s="7">
        <v>2</v>
      </c>
      <c r="K957" s="9">
        <v>620.82000000000005</v>
      </c>
      <c r="L957" s="9">
        <v>931.23</v>
      </c>
      <c r="M957" s="10">
        <v>25</v>
      </c>
      <c r="N957" s="49">
        <v>-5.81</v>
      </c>
      <c r="O957" s="9">
        <v>103.16</v>
      </c>
      <c r="P957" s="7" t="s">
        <v>45</v>
      </c>
      <c r="Q957" s="7" t="s">
        <v>36</v>
      </c>
      <c r="R957" s="28">
        <f t="shared" si="14"/>
        <v>-6.2390601677351455E-3</v>
      </c>
    </row>
    <row r="958" spans="1:18" x14ac:dyDescent="0.3">
      <c r="A958" s="3" t="s">
        <v>1611</v>
      </c>
      <c r="B958" s="4">
        <v>45984</v>
      </c>
      <c r="C958" s="3" t="s">
        <v>1610</v>
      </c>
      <c r="D958" s="3" t="s">
        <v>39</v>
      </c>
      <c r="E958" s="3" t="s">
        <v>30</v>
      </c>
      <c r="F958" s="3" t="s">
        <v>31</v>
      </c>
      <c r="G958" s="3" t="s">
        <v>42</v>
      </c>
      <c r="H958" s="3" t="s">
        <v>81</v>
      </c>
      <c r="I958" s="3" t="s">
        <v>621</v>
      </c>
      <c r="J958" s="3">
        <v>1</v>
      </c>
      <c r="K958" s="5">
        <v>864.15</v>
      </c>
      <c r="L958" s="5">
        <v>604.9</v>
      </c>
      <c r="M958" s="6">
        <v>30</v>
      </c>
      <c r="N958" s="48">
        <v>23.66</v>
      </c>
      <c r="O958" s="5">
        <v>80.75</v>
      </c>
      <c r="P958" s="3" t="s">
        <v>64</v>
      </c>
      <c r="Q958" s="3" t="s">
        <v>65</v>
      </c>
      <c r="R958" s="28">
        <f t="shared" si="14"/>
        <v>3.9113903124483387E-2</v>
      </c>
    </row>
    <row r="959" spans="1:18" x14ac:dyDescent="0.3">
      <c r="A959" s="7" t="s">
        <v>1612</v>
      </c>
      <c r="B959" s="8">
        <v>45985</v>
      </c>
      <c r="C959" s="7" t="s">
        <v>1613</v>
      </c>
      <c r="D959" s="7" t="s">
        <v>19</v>
      </c>
      <c r="E959" s="7" t="s">
        <v>30</v>
      </c>
      <c r="F959" s="7" t="s">
        <v>31</v>
      </c>
      <c r="G959" s="7" t="s">
        <v>42</v>
      </c>
      <c r="H959" s="7" t="s">
        <v>43</v>
      </c>
      <c r="I959" s="7" t="s">
        <v>1220</v>
      </c>
      <c r="J959" s="7">
        <v>1</v>
      </c>
      <c r="K959" s="9">
        <v>1092.6300000000001</v>
      </c>
      <c r="L959" s="9">
        <v>928.74</v>
      </c>
      <c r="M959" s="10">
        <v>15</v>
      </c>
      <c r="N959" s="49">
        <v>86.06</v>
      </c>
      <c r="O959" s="9">
        <v>268.45999999999998</v>
      </c>
      <c r="P959" s="7" t="s">
        <v>25</v>
      </c>
      <c r="Q959" s="7" t="s">
        <v>65</v>
      </c>
      <c r="R959" s="28">
        <f t="shared" si="14"/>
        <v>9.2663178069212052E-2</v>
      </c>
    </row>
    <row r="960" spans="1:18" x14ac:dyDescent="0.3">
      <c r="A960" s="3" t="s">
        <v>1614</v>
      </c>
      <c r="B960" s="4">
        <v>45985</v>
      </c>
      <c r="C960" s="3" t="s">
        <v>1290</v>
      </c>
      <c r="D960" s="3" t="s">
        <v>29</v>
      </c>
      <c r="E960" s="3" t="s">
        <v>40</v>
      </c>
      <c r="F960" s="3" t="s">
        <v>41</v>
      </c>
      <c r="G960" s="3" t="s">
        <v>134</v>
      </c>
      <c r="H960" s="3" t="s">
        <v>244</v>
      </c>
      <c r="I960" s="3" t="s">
        <v>270</v>
      </c>
      <c r="J960" s="3">
        <v>1</v>
      </c>
      <c r="K960" s="5">
        <v>3911.26</v>
      </c>
      <c r="L960" s="5">
        <v>3911.26</v>
      </c>
      <c r="M960" s="6">
        <v>0</v>
      </c>
      <c r="N960" s="48">
        <v>1055.9100000000001</v>
      </c>
      <c r="O960" s="5">
        <v>234.15</v>
      </c>
      <c r="P960" s="3" t="s">
        <v>64</v>
      </c>
      <c r="Q960" s="3" t="s">
        <v>65</v>
      </c>
      <c r="R960" s="28">
        <f t="shared" si="14"/>
        <v>0.26996671149450563</v>
      </c>
    </row>
    <row r="961" spans="1:18" x14ac:dyDescent="0.3">
      <c r="A961" s="7" t="s">
        <v>1615</v>
      </c>
      <c r="B961" s="8">
        <v>45986</v>
      </c>
      <c r="C961" s="7" t="s">
        <v>1206</v>
      </c>
      <c r="D961" s="7" t="s">
        <v>19</v>
      </c>
      <c r="E961" s="7" t="s">
        <v>30</v>
      </c>
      <c r="F961" s="7" t="s">
        <v>48</v>
      </c>
      <c r="G961" s="7" t="s">
        <v>42</v>
      </c>
      <c r="H961" s="7" t="s">
        <v>43</v>
      </c>
      <c r="I961" s="7" t="s">
        <v>44</v>
      </c>
      <c r="J961" s="7">
        <v>1</v>
      </c>
      <c r="K961" s="9">
        <v>195.84</v>
      </c>
      <c r="L961" s="9">
        <v>186.05</v>
      </c>
      <c r="M961" s="10">
        <v>5</v>
      </c>
      <c r="N961" s="49">
        <v>17.399999999999999</v>
      </c>
      <c r="O961" s="9">
        <v>81.739999999999995</v>
      </c>
      <c r="P961" s="7" t="s">
        <v>64</v>
      </c>
      <c r="Q961" s="7" t="s">
        <v>26</v>
      </c>
      <c r="R961" s="28">
        <f t="shared" si="14"/>
        <v>9.3523246439129251E-2</v>
      </c>
    </row>
    <row r="962" spans="1:18" x14ac:dyDescent="0.3">
      <c r="A962" s="3" t="s">
        <v>1616</v>
      </c>
      <c r="B962" s="4">
        <v>45987</v>
      </c>
      <c r="C962" s="3" t="s">
        <v>487</v>
      </c>
      <c r="D962" s="3" t="s">
        <v>39</v>
      </c>
      <c r="E962" s="3" t="s">
        <v>30</v>
      </c>
      <c r="F962" s="3" t="s">
        <v>48</v>
      </c>
      <c r="G962" s="3" t="s">
        <v>134</v>
      </c>
      <c r="H962" s="3" t="s">
        <v>244</v>
      </c>
      <c r="I962" s="3" t="s">
        <v>270</v>
      </c>
      <c r="J962" s="3">
        <v>4</v>
      </c>
      <c r="K962" s="5">
        <v>2028.98</v>
      </c>
      <c r="L962" s="5">
        <v>6898.53</v>
      </c>
      <c r="M962" s="6">
        <v>15</v>
      </c>
      <c r="N962" s="48">
        <v>572.62</v>
      </c>
      <c r="O962" s="5">
        <v>354.78</v>
      </c>
      <c r="P962" s="3" t="s">
        <v>64</v>
      </c>
      <c r="Q962" s="3" t="s">
        <v>65</v>
      </c>
      <c r="R962" s="28">
        <f t="shared" si="14"/>
        <v>8.3006089703168653E-2</v>
      </c>
    </row>
    <row r="963" spans="1:18" x14ac:dyDescent="0.3">
      <c r="A963" s="7" t="s">
        <v>1617</v>
      </c>
      <c r="B963" s="8">
        <v>45987</v>
      </c>
      <c r="C963" s="7" t="s">
        <v>809</v>
      </c>
      <c r="D963" s="7" t="s">
        <v>19</v>
      </c>
      <c r="E963" s="7" t="s">
        <v>30</v>
      </c>
      <c r="F963" s="7" t="s">
        <v>31</v>
      </c>
      <c r="G963" s="7" t="s">
        <v>134</v>
      </c>
      <c r="H963" s="7" t="s">
        <v>139</v>
      </c>
      <c r="I963" s="7" t="s">
        <v>140</v>
      </c>
      <c r="J963" s="7">
        <v>2</v>
      </c>
      <c r="K963" s="9">
        <v>495.3</v>
      </c>
      <c r="L963" s="9">
        <v>891.54</v>
      </c>
      <c r="M963" s="10">
        <v>10</v>
      </c>
      <c r="N963" s="49">
        <v>189.59</v>
      </c>
      <c r="O963" s="9">
        <v>155.69</v>
      </c>
      <c r="P963" s="7" t="s">
        <v>35</v>
      </c>
      <c r="Q963" s="7" t="s">
        <v>65</v>
      </c>
      <c r="R963" s="28">
        <f t="shared" ref="R963:R1001" si="15">N963/L963</f>
        <v>0.21265450793009849</v>
      </c>
    </row>
    <row r="964" spans="1:18" x14ac:dyDescent="0.3">
      <c r="A964" s="3" t="s">
        <v>1618</v>
      </c>
      <c r="B964" s="4">
        <v>45988</v>
      </c>
      <c r="C964" s="3" t="s">
        <v>89</v>
      </c>
      <c r="D964" s="3" t="s">
        <v>39</v>
      </c>
      <c r="E964" s="3" t="s">
        <v>40</v>
      </c>
      <c r="F964" s="3" t="s">
        <v>90</v>
      </c>
      <c r="G964" s="3" t="s">
        <v>32</v>
      </c>
      <c r="H964" s="3" t="s">
        <v>143</v>
      </c>
      <c r="I964" s="3" t="s">
        <v>144</v>
      </c>
      <c r="J964" s="3">
        <v>2</v>
      </c>
      <c r="K964" s="5">
        <v>4365.8</v>
      </c>
      <c r="L964" s="5">
        <v>6112.12</v>
      </c>
      <c r="M964" s="6">
        <v>30</v>
      </c>
      <c r="N964" s="48">
        <v>213.65</v>
      </c>
      <c r="O964" s="5">
        <v>155.82</v>
      </c>
      <c r="P964" s="3" t="s">
        <v>64</v>
      </c>
      <c r="Q964" s="3" t="s">
        <v>57</v>
      </c>
      <c r="R964" s="28">
        <f t="shared" si="15"/>
        <v>3.495513831534721E-2</v>
      </c>
    </row>
    <row r="965" spans="1:18" x14ac:dyDescent="0.3">
      <c r="A965" s="7" t="s">
        <v>1619</v>
      </c>
      <c r="B965" s="8">
        <v>45989</v>
      </c>
      <c r="C965" s="7" t="s">
        <v>1506</v>
      </c>
      <c r="D965" s="7" t="s">
        <v>19</v>
      </c>
      <c r="E965" s="7" t="s">
        <v>20</v>
      </c>
      <c r="F965" s="7" t="s">
        <v>129</v>
      </c>
      <c r="G965" s="7" t="s">
        <v>117</v>
      </c>
      <c r="H965" s="7" t="s">
        <v>153</v>
      </c>
      <c r="I965" s="7" t="s">
        <v>356</v>
      </c>
      <c r="J965" s="7">
        <v>2</v>
      </c>
      <c r="K965" s="9">
        <v>1491.41</v>
      </c>
      <c r="L965" s="9">
        <v>2535.4</v>
      </c>
      <c r="M965" s="10">
        <v>15</v>
      </c>
      <c r="N965" s="49">
        <v>618.04</v>
      </c>
      <c r="O965" s="9">
        <v>224.41</v>
      </c>
      <c r="P965" s="7" t="s">
        <v>64</v>
      </c>
      <c r="Q965" s="7" t="s">
        <v>65</v>
      </c>
      <c r="R965" s="28">
        <f t="shared" si="15"/>
        <v>0.24376429754673817</v>
      </c>
    </row>
    <row r="966" spans="1:18" x14ac:dyDescent="0.3">
      <c r="A966" s="3" t="s">
        <v>1620</v>
      </c>
      <c r="B966" s="4">
        <v>45990</v>
      </c>
      <c r="C966" s="3" t="s">
        <v>852</v>
      </c>
      <c r="D966" s="3" t="s">
        <v>39</v>
      </c>
      <c r="E966" s="3" t="s">
        <v>40</v>
      </c>
      <c r="F966" s="3" t="s">
        <v>41</v>
      </c>
      <c r="G966" s="3" t="s">
        <v>117</v>
      </c>
      <c r="H966" s="3" t="s">
        <v>118</v>
      </c>
      <c r="I966" s="3" t="s">
        <v>279</v>
      </c>
      <c r="J966" s="3">
        <v>3</v>
      </c>
      <c r="K966" s="5">
        <v>1055.8800000000001</v>
      </c>
      <c r="L966" s="5">
        <v>3009.26</v>
      </c>
      <c r="M966" s="6">
        <v>5</v>
      </c>
      <c r="N966" s="48">
        <v>914.5</v>
      </c>
      <c r="O966" s="5">
        <v>227</v>
      </c>
      <c r="P966" s="3" t="s">
        <v>64</v>
      </c>
      <c r="Q966" s="3" t="s">
        <v>36</v>
      </c>
      <c r="R966" s="28">
        <f t="shared" si="15"/>
        <v>0.30389530981038526</v>
      </c>
    </row>
    <row r="967" spans="1:18" x14ac:dyDescent="0.3">
      <c r="A967" s="7" t="s">
        <v>1621</v>
      </c>
      <c r="B967" s="8">
        <v>45990</v>
      </c>
      <c r="C967" s="7" t="s">
        <v>616</v>
      </c>
      <c r="D967" s="7" t="s">
        <v>29</v>
      </c>
      <c r="E967" s="7" t="s">
        <v>40</v>
      </c>
      <c r="F967" s="7" t="s">
        <v>77</v>
      </c>
      <c r="G967" s="7" t="s">
        <v>42</v>
      </c>
      <c r="H967" s="7" t="s">
        <v>172</v>
      </c>
      <c r="I967" s="7" t="s">
        <v>1014</v>
      </c>
      <c r="J967" s="7">
        <v>3</v>
      </c>
      <c r="K967" s="9">
        <v>790.04</v>
      </c>
      <c r="L967" s="9">
        <v>1896.1</v>
      </c>
      <c r="M967" s="10">
        <v>20</v>
      </c>
      <c r="N967" s="49">
        <v>54.37</v>
      </c>
      <c r="O967" s="9">
        <v>220.86</v>
      </c>
      <c r="P967" s="7" t="s">
        <v>83</v>
      </c>
      <c r="Q967" s="7" t="s">
        <v>26</v>
      </c>
      <c r="R967" s="28">
        <f t="shared" si="15"/>
        <v>2.86746479616054E-2</v>
      </c>
    </row>
    <row r="968" spans="1:18" x14ac:dyDescent="0.3">
      <c r="A968" s="3" t="s">
        <v>1622</v>
      </c>
      <c r="B968" s="4">
        <v>45991</v>
      </c>
      <c r="C968" s="3" t="s">
        <v>163</v>
      </c>
      <c r="D968" s="3" t="s">
        <v>19</v>
      </c>
      <c r="E968" s="3" t="s">
        <v>30</v>
      </c>
      <c r="F968" s="3" t="s">
        <v>31</v>
      </c>
      <c r="G968" s="3" t="s">
        <v>134</v>
      </c>
      <c r="H968" s="3" t="s">
        <v>91</v>
      </c>
      <c r="I968" s="3" t="s">
        <v>168</v>
      </c>
      <c r="J968" s="3">
        <v>3</v>
      </c>
      <c r="K968" s="5">
        <v>1970.27</v>
      </c>
      <c r="L968" s="5">
        <v>5910.81</v>
      </c>
      <c r="M968" s="6">
        <v>0</v>
      </c>
      <c r="N968" s="48">
        <v>1060.3699999999999</v>
      </c>
      <c r="O968" s="5">
        <v>371.62</v>
      </c>
      <c r="P968" s="3" t="s">
        <v>35</v>
      </c>
      <c r="Q968" s="3" t="s">
        <v>57</v>
      </c>
      <c r="R968" s="28">
        <f t="shared" si="15"/>
        <v>0.17939504061203115</v>
      </c>
    </row>
    <row r="969" spans="1:18" x14ac:dyDescent="0.3">
      <c r="A969" s="7" t="s">
        <v>1623</v>
      </c>
      <c r="B969" s="8">
        <v>45991</v>
      </c>
      <c r="C969" s="7" t="s">
        <v>1624</v>
      </c>
      <c r="D969" s="7" t="s">
        <v>39</v>
      </c>
      <c r="E969" s="7" t="s">
        <v>30</v>
      </c>
      <c r="F969" s="7" t="s">
        <v>226</v>
      </c>
      <c r="G969" s="7" t="s">
        <v>32</v>
      </c>
      <c r="H969" s="7" t="s">
        <v>86</v>
      </c>
      <c r="I969" s="7" t="s">
        <v>227</v>
      </c>
      <c r="J969" s="7">
        <v>1</v>
      </c>
      <c r="K969" s="9">
        <v>4649.8</v>
      </c>
      <c r="L969" s="9">
        <v>4417.3100000000004</v>
      </c>
      <c r="M969" s="10">
        <v>5</v>
      </c>
      <c r="N969" s="49">
        <v>795.88</v>
      </c>
      <c r="O969" s="9">
        <v>175.94</v>
      </c>
      <c r="P969" s="7" t="s">
        <v>35</v>
      </c>
      <c r="Q969" s="7" t="s">
        <v>26</v>
      </c>
      <c r="R969" s="28">
        <f t="shared" si="15"/>
        <v>0.18017300121567195</v>
      </c>
    </row>
    <row r="970" spans="1:18" x14ac:dyDescent="0.3">
      <c r="A970" s="3" t="s">
        <v>1625</v>
      </c>
      <c r="B970" s="4">
        <v>45991</v>
      </c>
      <c r="C970" s="3" t="s">
        <v>1626</v>
      </c>
      <c r="D970" s="3" t="s">
        <v>29</v>
      </c>
      <c r="E970" s="3" t="s">
        <v>60</v>
      </c>
      <c r="F970" s="3" t="s">
        <v>104</v>
      </c>
      <c r="G970" s="3" t="s">
        <v>22</v>
      </c>
      <c r="H970" s="3" t="s">
        <v>624</v>
      </c>
      <c r="I970" s="3" t="s">
        <v>932</v>
      </c>
      <c r="J970" s="3">
        <v>4</v>
      </c>
      <c r="K970" s="5">
        <v>64368.94</v>
      </c>
      <c r="L970" s="5">
        <v>193106.82</v>
      </c>
      <c r="M970" s="6">
        <v>25</v>
      </c>
      <c r="N970" s="48">
        <v>-20163.439999999999</v>
      </c>
      <c r="O970" s="5">
        <v>100.26</v>
      </c>
      <c r="P970" s="3" t="s">
        <v>25</v>
      </c>
      <c r="Q970" s="3" t="s">
        <v>65</v>
      </c>
      <c r="R970" s="28">
        <f t="shared" si="15"/>
        <v>-0.10441599110792668</v>
      </c>
    </row>
    <row r="971" spans="1:18" x14ac:dyDescent="0.3">
      <c r="A971" s="7" t="s">
        <v>1627</v>
      </c>
      <c r="B971" s="8">
        <v>45991</v>
      </c>
      <c r="C971" s="7" t="s">
        <v>1162</v>
      </c>
      <c r="D971" s="7" t="s">
        <v>29</v>
      </c>
      <c r="E971" s="7" t="s">
        <v>40</v>
      </c>
      <c r="F971" s="7" t="s">
        <v>41</v>
      </c>
      <c r="G971" s="7" t="s">
        <v>49</v>
      </c>
      <c r="H971" s="7" t="s">
        <v>98</v>
      </c>
      <c r="I971" s="7" t="s">
        <v>258</v>
      </c>
      <c r="J971" s="7">
        <v>5</v>
      </c>
      <c r="K971" s="9">
        <v>11067.79</v>
      </c>
      <c r="L971" s="9">
        <v>52572</v>
      </c>
      <c r="M971" s="10">
        <v>5</v>
      </c>
      <c r="N971" s="49">
        <v>12399.84</v>
      </c>
      <c r="O971" s="9">
        <v>116.12</v>
      </c>
      <c r="P971" s="7" t="s">
        <v>64</v>
      </c>
      <c r="Q971" s="7" t="s">
        <v>26</v>
      </c>
      <c r="R971" s="28">
        <f t="shared" si="15"/>
        <v>0.23586395800045651</v>
      </c>
    </row>
    <row r="972" spans="1:18" x14ac:dyDescent="0.3">
      <c r="A972" s="3" t="s">
        <v>1628</v>
      </c>
      <c r="B972" s="4">
        <v>45991</v>
      </c>
      <c r="C972" s="3" t="s">
        <v>1629</v>
      </c>
      <c r="D972" s="3" t="s">
        <v>39</v>
      </c>
      <c r="E972" s="3" t="s">
        <v>60</v>
      </c>
      <c r="F972" s="3" t="s">
        <v>68</v>
      </c>
      <c r="G972" s="3" t="s">
        <v>32</v>
      </c>
      <c r="H972" s="3" t="s">
        <v>86</v>
      </c>
      <c r="I972" s="3" t="s">
        <v>87</v>
      </c>
      <c r="J972" s="3">
        <v>2</v>
      </c>
      <c r="K972" s="5">
        <v>7556.55</v>
      </c>
      <c r="L972" s="5">
        <v>14357.44</v>
      </c>
      <c r="M972" s="6">
        <v>5</v>
      </c>
      <c r="N972" s="48">
        <v>1892.52</v>
      </c>
      <c r="O972" s="5">
        <v>324.39</v>
      </c>
      <c r="P972" s="3" t="s">
        <v>35</v>
      </c>
      <c r="Q972" s="3" t="s">
        <v>65</v>
      </c>
      <c r="R972" s="28">
        <f t="shared" si="15"/>
        <v>0.13181458532997525</v>
      </c>
    </row>
    <row r="973" spans="1:18" x14ac:dyDescent="0.3">
      <c r="A973" s="7" t="s">
        <v>1630</v>
      </c>
      <c r="B973" s="8">
        <v>45993</v>
      </c>
      <c r="C973" s="7" t="s">
        <v>1631</v>
      </c>
      <c r="D973" s="7" t="s">
        <v>39</v>
      </c>
      <c r="E973" s="7" t="s">
        <v>30</v>
      </c>
      <c r="F973" s="7" t="s">
        <v>48</v>
      </c>
      <c r="G973" s="7" t="s">
        <v>49</v>
      </c>
      <c r="H973" s="7" t="s">
        <v>50</v>
      </c>
      <c r="I973" s="7" t="s">
        <v>485</v>
      </c>
      <c r="J973" s="7">
        <v>4</v>
      </c>
      <c r="K973" s="9">
        <v>7952.14</v>
      </c>
      <c r="L973" s="9">
        <v>22265.99</v>
      </c>
      <c r="M973" s="10">
        <v>30</v>
      </c>
      <c r="N973" s="49">
        <v>57.88</v>
      </c>
      <c r="O973" s="9">
        <v>268.01</v>
      </c>
      <c r="P973" s="7" t="s">
        <v>35</v>
      </c>
      <c r="Q973" s="7" t="s">
        <v>26</v>
      </c>
      <c r="R973" s="28">
        <f t="shared" si="15"/>
        <v>2.5994801937843318E-3</v>
      </c>
    </row>
    <row r="974" spans="1:18" x14ac:dyDescent="0.3">
      <c r="A974" s="3" t="s">
        <v>1632</v>
      </c>
      <c r="B974" s="4">
        <v>45993</v>
      </c>
      <c r="C974" s="3" t="s">
        <v>1079</v>
      </c>
      <c r="D974" s="3" t="s">
        <v>39</v>
      </c>
      <c r="E974" s="3" t="s">
        <v>60</v>
      </c>
      <c r="F974" s="3" t="s">
        <v>68</v>
      </c>
      <c r="G974" s="3" t="s">
        <v>134</v>
      </c>
      <c r="H974" s="3" t="s">
        <v>91</v>
      </c>
      <c r="I974" s="3" t="s">
        <v>188</v>
      </c>
      <c r="J974" s="3">
        <v>2</v>
      </c>
      <c r="K974" s="5">
        <v>2178.25</v>
      </c>
      <c r="L974" s="5">
        <v>3267.38</v>
      </c>
      <c r="M974" s="6">
        <v>25</v>
      </c>
      <c r="N974" s="48">
        <v>36.840000000000003</v>
      </c>
      <c r="O974" s="5">
        <v>237.19</v>
      </c>
      <c r="P974" s="3" t="s">
        <v>45</v>
      </c>
      <c r="Q974" s="3" t="s">
        <v>65</v>
      </c>
      <c r="R974" s="28">
        <f t="shared" si="15"/>
        <v>1.1275088909156572E-2</v>
      </c>
    </row>
    <row r="975" spans="1:18" x14ac:dyDescent="0.3">
      <c r="A975" s="7" t="s">
        <v>1633</v>
      </c>
      <c r="B975" s="8">
        <v>45994</v>
      </c>
      <c r="C975" s="7" t="s">
        <v>444</v>
      </c>
      <c r="D975" s="7" t="s">
        <v>19</v>
      </c>
      <c r="E975" s="7" t="s">
        <v>40</v>
      </c>
      <c r="F975" s="7" t="s">
        <v>41</v>
      </c>
      <c r="G975" s="7" t="s">
        <v>32</v>
      </c>
      <c r="H975" s="7" t="s">
        <v>143</v>
      </c>
      <c r="I975" s="7" t="s">
        <v>385</v>
      </c>
      <c r="J975" s="7">
        <v>4</v>
      </c>
      <c r="K975" s="9">
        <v>4746.7700000000004</v>
      </c>
      <c r="L975" s="9">
        <v>17088.37</v>
      </c>
      <c r="M975" s="10">
        <v>10</v>
      </c>
      <c r="N975" s="49">
        <v>3161.62</v>
      </c>
      <c r="O975" s="9">
        <v>250.96</v>
      </c>
      <c r="P975" s="7" t="s">
        <v>35</v>
      </c>
      <c r="Q975" s="7" t="s">
        <v>26</v>
      </c>
      <c r="R975" s="28">
        <f t="shared" si="15"/>
        <v>0.1850158909246464</v>
      </c>
    </row>
    <row r="976" spans="1:18" x14ac:dyDescent="0.3">
      <c r="A976" s="3" t="s">
        <v>1634</v>
      </c>
      <c r="B976" s="4">
        <v>45995</v>
      </c>
      <c r="C976" s="3" t="s">
        <v>1635</v>
      </c>
      <c r="D976" s="3" t="s">
        <v>19</v>
      </c>
      <c r="E976" s="3" t="s">
        <v>40</v>
      </c>
      <c r="F976" s="3" t="s">
        <v>41</v>
      </c>
      <c r="G976" s="3" t="s">
        <v>32</v>
      </c>
      <c r="H976" s="3" t="s">
        <v>143</v>
      </c>
      <c r="I976" s="3" t="s">
        <v>385</v>
      </c>
      <c r="J976" s="3">
        <v>4</v>
      </c>
      <c r="K976" s="5">
        <v>6435.44</v>
      </c>
      <c r="L976" s="5">
        <v>21880.5</v>
      </c>
      <c r="M976" s="6">
        <v>15</v>
      </c>
      <c r="N976" s="48">
        <v>979.68</v>
      </c>
      <c r="O976" s="5">
        <v>310.36</v>
      </c>
      <c r="P976" s="3" t="s">
        <v>64</v>
      </c>
      <c r="Q976" s="3" t="s">
        <v>65</v>
      </c>
      <c r="R976" s="28">
        <f t="shared" si="15"/>
        <v>4.4774113937067248E-2</v>
      </c>
    </row>
    <row r="977" spans="1:18" x14ac:dyDescent="0.3">
      <c r="A977" s="7" t="s">
        <v>1636</v>
      </c>
      <c r="B977" s="8">
        <v>45995</v>
      </c>
      <c r="C977" s="7" t="s">
        <v>606</v>
      </c>
      <c r="D977" s="7" t="s">
        <v>19</v>
      </c>
      <c r="E977" s="7" t="s">
        <v>60</v>
      </c>
      <c r="F977" s="7" t="s">
        <v>104</v>
      </c>
      <c r="G977" s="7" t="s">
        <v>42</v>
      </c>
      <c r="H977" s="7" t="s">
        <v>81</v>
      </c>
      <c r="I977" s="7" t="s">
        <v>248</v>
      </c>
      <c r="J977" s="7">
        <v>1</v>
      </c>
      <c r="K977" s="9">
        <v>625.9</v>
      </c>
      <c r="L977" s="9">
        <v>625.9</v>
      </c>
      <c r="M977" s="10">
        <v>0</v>
      </c>
      <c r="N977" s="49">
        <v>147.94999999999999</v>
      </c>
      <c r="O977" s="9">
        <v>116.71</v>
      </c>
      <c r="P977" s="7" t="s">
        <v>35</v>
      </c>
      <c r="Q977" s="7" t="s">
        <v>65</v>
      </c>
      <c r="R977" s="28">
        <f t="shared" si="15"/>
        <v>0.23637961335676624</v>
      </c>
    </row>
    <row r="978" spans="1:18" x14ac:dyDescent="0.3">
      <c r="A978" s="3" t="s">
        <v>1637</v>
      </c>
      <c r="B978" s="4">
        <v>45995</v>
      </c>
      <c r="C978" s="3" t="s">
        <v>889</v>
      </c>
      <c r="D978" s="3" t="s">
        <v>39</v>
      </c>
      <c r="E978" s="3" t="s">
        <v>40</v>
      </c>
      <c r="F978" s="3" t="s">
        <v>109</v>
      </c>
      <c r="G978" s="3" t="s">
        <v>42</v>
      </c>
      <c r="H978" s="3" t="s">
        <v>81</v>
      </c>
      <c r="I978" s="3" t="s">
        <v>621</v>
      </c>
      <c r="J978" s="3">
        <v>1</v>
      </c>
      <c r="K978" s="5">
        <v>165.27</v>
      </c>
      <c r="L978" s="5">
        <v>123.95</v>
      </c>
      <c r="M978" s="6">
        <v>25</v>
      </c>
      <c r="N978" s="48">
        <v>5.44</v>
      </c>
      <c r="O978" s="5">
        <v>142.19</v>
      </c>
      <c r="P978" s="3" t="s">
        <v>35</v>
      </c>
      <c r="Q978" s="3" t="s">
        <v>36</v>
      </c>
      <c r="R978" s="28">
        <f t="shared" si="15"/>
        <v>4.3888664784187174E-2</v>
      </c>
    </row>
    <row r="979" spans="1:18" x14ac:dyDescent="0.3">
      <c r="A979" s="7" t="s">
        <v>1638</v>
      </c>
      <c r="B979" s="8">
        <v>46001</v>
      </c>
      <c r="C979" s="7" t="s">
        <v>798</v>
      </c>
      <c r="D979" s="7" t="s">
        <v>29</v>
      </c>
      <c r="E979" s="7" t="s">
        <v>20</v>
      </c>
      <c r="F979" s="7" t="s">
        <v>21</v>
      </c>
      <c r="G979" s="7" t="s">
        <v>49</v>
      </c>
      <c r="H979" s="7" t="s">
        <v>50</v>
      </c>
      <c r="I979" s="7" t="s">
        <v>51</v>
      </c>
      <c r="J979" s="7">
        <v>2</v>
      </c>
      <c r="K979" s="9">
        <v>5702.48</v>
      </c>
      <c r="L979" s="9">
        <v>11404.96</v>
      </c>
      <c r="M979" s="10">
        <v>0</v>
      </c>
      <c r="N979" s="49">
        <v>2958.9</v>
      </c>
      <c r="O979" s="9">
        <v>73.12</v>
      </c>
      <c r="P979" s="7" t="s">
        <v>64</v>
      </c>
      <c r="Q979" s="7" t="s">
        <v>26</v>
      </c>
      <c r="R979" s="28">
        <f t="shared" si="15"/>
        <v>0.25943975252872437</v>
      </c>
    </row>
    <row r="980" spans="1:18" x14ac:dyDescent="0.3">
      <c r="A980" s="3" t="s">
        <v>1639</v>
      </c>
      <c r="B980" s="4">
        <v>46001</v>
      </c>
      <c r="C980" s="3" t="s">
        <v>171</v>
      </c>
      <c r="D980" s="3" t="s">
        <v>39</v>
      </c>
      <c r="E980" s="3" t="s">
        <v>40</v>
      </c>
      <c r="F980" s="3" t="s">
        <v>41</v>
      </c>
      <c r="G980" s="3" t="s">
        <v>32</v>
      </c>
      <c r="H980" s="3" t="s">
        <v>86</v>
      </c>
      <c r="I980" s="3" t="s">
        <v>211</v>
      </c>
      <c r="J980" s="3">
        <v>4</v>
      </c>
      <c r="K980" s="5">
        <v>6409.71</v>
      </c>
      <c r="L980" s="5">
        <v>21793.01</v>
      </c>
      <c r="M980" s="6">
        <v>15</v>
      </c>
      <c r="N980" s="48">
        <v>2313.5100000000002</v>
      </c>
      <c r="O980" s="5">
        <v>157.97</v>
      </c>
      <c r="P980" s="3" t="s">
        <v>83</v>
      </c>
      <c r="Q980" s="3" t="s">
        <v>36</v>
      </c>
      <c r="R980" s="28">
        <f t="shared" si="15"/>
        <v>0.10615835077394084</v>
      </c>
    </row>
    <row r="981" spans="1:18" x14ac:dyDescent="0.3">
      <c r="A981" s="7" t="s">
        <v>1640</v>
      </c>
      <c r="B981" s="8">
        <v>46002</v>
      </c>
      <c r="C981" s="7" t="s">
        <v>1597</v>
      </c>
      <c r="D981" s="7" t="s">
        <v>39</v>
      </c>
      <c r="E981" s="7" t="s">
        <v>40</v>
      </c>
      <c r="F981" s="7" t="s">
        <v>90</v>
      </c>
      <c r="G981" s="7" t="s">
        <v>42</v>
      </c>
      <c r="H981" s="7" t="s">
        <v>172</v>
      </c>
      <c r="I981" s="7" t="s">
        <v>1014</v>
      </c>
      <c r="J981" s="7">
        <v>3</v>
      </c>
      <c r="K981" s="9">
        <v>1199.32</v>
      </c>
      <c r="L981" s="9">
        <v>3597.96</v>
      </c>
      <c r="M981" s="10">
        <v>0</v>
      </c>
      <c r="N981" s="49">
        <v>314.64</v>
      </c>
      <c r="O981" s="9">
        <v>160.11000000000001</v>
      </c>
      <c r="P981" s="7" t="s">
        <v>35</v>
      </c>
      <c r="Q981" s="7" t="s">
        <v>57</v>
      </c>
      <c r="R981" s="28">
        <f t="shared" si="15"/>
        <v>8.7449554747690353E-2</v>
      </c>
    </row>
    <row r="982" spans="1:18" x14ac:dyDescent="0.3">
      <c r="A982" s="3" t="s">
        <v>1641</v>
      </c>
      <c r="B982" s="4">
        <v>46005</v>
      </c>
      <c r="C982" s="3" t="s">
        <v>826</v>
      </c>
      <c r="D982" s="3" t="s">
        <v>39</v>
      </c>
      <c r="E982" s="3" t="s">
        <v>60</v>
      </c>
      <c r="F982" s="3" t="s">
        <v>61</v>
      </c>
      <c r="G982" s="3" t="s">
        <v>134</v>
      </c>
      <c r="H982" s="3" t="s">
        <v>244</v>
      </c>
      <c r="I982" s="3" t="s">
        <v>334</v>
      </c>
      <c r="J982" s="3">
        <v>2</v>
      </c>
      <c r="K982" s="5">
        <v>4141.87</v>
      </c>
      <c r="L982" s="5">
        <v>7869.55</v>
      </c>
      <c r="M982" s="6">
        <v>5</v>
      </c>
      <c r="N982" s="48">
        <v>1484.48</v>
      </c>
      <c r="O982" s="5">
        <v>357.67</v>
      </c>
      <c r="P982" s="3" t="s">
        <v>35</v>
      </c>
      <c r="Q982" s="3" t="s">
        <v>26</v>
      </c>
      <c r="R982" s="28">
        <f t="shared" si="15"/>
        <v>0.1886359448761365</v>
      </c>
    </row>
    <row r="983" spans="1:18" x14ac:dyDescent="0.3">
      <c r="A983" s="7" t="s">
        <v>1642</v>
      </c>
      <c r="B983" s="8">
        <v>46007</v>
      </c>
      <c r="C983" s="7" t="s">
        <v>809</v>
      </c>
      <c r="D983" s="7" t="s">
        <v>29</v>
      </c>
      <c r="E983" s="7" t="s">
        <v>20</v>
      </c>
      <c r="F983" s="7" t="s">
        <v>129</v>
      </c>
      <c r="G983" s="7" t="s">
        <v>42</v>
      </c>
      <c r="H983" s="7" t="s">
        <v>164</v>
      </c>
      <c r="I983" s="7" t="s">
        <v>165</v>
      </c>
      <c r="J983" s="7">
        <v>2</v>
      </c>
      <c r="K983" s="9">
        <v>340.81</v>
      </c>
      <c r="L983" s="9">
        <v>647.54</v>
      </c>
      <c r="M983" s="10">
        <v>5</v>
      </c>
      <c r="N983" s="49">
        <v>55.91</v>
      </c>
      <c r="O983" s="9">
        <v>282.79000000000002</v>
      </c>
      <c r="P983" s="7" t="s">
        <v>64</v>
      </c>
      <c r="Q983" s="7" t="s">
        <v>26</v>
      </c>
      <c r="R983" s="28">
        <f t="shared" si="15"/>
        <v>8.634215646909843E-2</v>
      </c>
    </row>
    <row r="984" spans="1:18" x14ac:dyDescent="0.3">
      <c r="A984" s="3" t="s">
        <v>1643</v>
      </c>
      <c r="B984" s="4">
        <v>46008</v>
      </c>
      <c r="C984" s="3" t="s">
        <v>826</v>
      </c>
      <c r="D984" s="3" t="s">
        <v>39</v>
      </c>
      <c r="E984" s="3" t="s">
        <v>40</v>
      </c>
      <c r="F984" s="3" t="s">
        <v>90</v>
      </c>
      <c r="G984" s="3" t="s">
        <v>22</v>
      </c>
      <c r="H984" s="3" t="s">
        <v>55</v>
      </c>
      <c r="I984" s="3" t="s">
        <v>150</v>
      </c>
      <c r="J984" s="3">
        <v>2</v>
      </c>
      <c r="K984" s="5">
        <v>37436.76</v>
      </c>
      <c r="L984" s="5">
        <v>74873.52</v>
      </c>
      <c r="M984" s="6">
        <v>0</v>
      </c>
      <c r="N984" s="48">
        <v>9274.4</v>
      </c>
      <c r="O984" s="5">
        <v>139.83000000000001</v>
      </c>
      <c r="P984" s="3" t="s">
        <v>25</v>
      </c>
      <c r="Q984" s="3" t="s">
        <v>26</v>
      </c>
      <c r="R984" s="28">
        <f t="shared" si="15"/>
        <v>0.12386755691464751</v>
      </c>
    </row>
    <row r="985" spans="1:18" x14ac:dyDescent="0.3">
      <c r="A985" s="7" t="s">
        <v>1644</v>
      </c>
      <c r="B985" s="8">
        <v>46009</v>
      </c>
      <c r="C985" s="7" t="s">
        <v>76</v>
      </c>
      <c r="D985" s="7" t="s">
        <v>39</v>
      </c>
      <c r="E985" s="7" t="s">
        <v>60</v>
      </c>
      <c r="F985" s="7" t="s">
        <v>68</v>
      </c>
      <c r="G985" s="7" t="s">
        <v>49</v>
      </c>
      <c r="H985" s="7" t="s">
        <v>50</v>
      </c>
      <c r="I985" s="7" t="s">
        <v>95</v>
      </c>
      <c r="J985" s="7">
        <v>2</v>
      </c>
      <c r="K985" s="9">
        <v>9462.8799999999992</v>
      </c>
      <c r="L985" s="9">
        <v>18925.759999999998</v>
      </c>
      <c r="M985" s="10">
        <v>0</v>
      </c>
      <c r="N985" s="49">
        <v>2043.67</v>
      </c>
      <c r="O985" s="9">
        <v>316.13</v>
      </c>
      <c r="P985" s="7" t="s">
        <v>64</v>
      </c>
      <c r="Q985" s="7" t="s">
        <v>36</v>
      </c>
      <c r="R985" s="28">
        <f t="shared" si="15"/>
        <v>0.10798351030553067</v>
      </c>
    </row>
    <row r="986" spans="1:18" x14ac:dyDescent="0.3">
      <c r="A986" s="3" t="s">
        <v>1645</v>
      </c>
      <c r="B986" s="4">
        <v>46011</v>
      </c>
      <c r="C986" s="3" t="s">
        <v>597</v>
      </c>
      <c r="D986" s="3" t="s">
        <v>39</v>
      </c>
      <c r="E986" s="3" t="s">
        <v>60</v>
      </c>
      <c r="F986" s="3" t="s">
        <v>72</v>
      </c>
      <c r="G986" s="3" t="s">
        <v>42</v>
      </c>
      <c r="H986" s="3" t="s">
        <v>43</v>
      </c>
      <c r="I986" s="3" t="s">
        <v>1220</v>
      </c>
      <c r="J986" s="3">
        <v>3</v>
      </c>
      <c r="K986" s="5">
        <v>269.85000000000002</v>
      </c>
      <c r="L986" s="5">
        <v>769.07</v>
      </c>
      <c r="M986" s="6">
        <v>5</v>
      </c>
      <c r="N986" s="48">
        <v>104.14</v>
      </c>
      <c r="O986" s="5">
        <v>60.06</v>
      </c>
      <c r="P986" s="3" t="s">
        <v>45</v>
      </c>
      <c r="Q986" s="3" t="s">
        <v>65</v>
      </c>
      <c r="R986" s="28">
        <f t="shared" si="15"/>
        <v>0.13541030075285734</v>
      </c>
    </row>
    <row r="987" spans="1:18" x14ac:dyDescent="0.3">
      <c r="A987" s="7" t="s">
        <v>1646</v>
      </c>
      <c r="B987" s="8">
        <v>46012</v>
      </c>
      <c r="C987" s="7" t="s">
        <v>1647</v>
      </c>
      <c r="D987" s="7" t="s">
        <v>19</v>
      </c>
      <c r="E987" s="7" t="s">
        <v>60</v>
      </c>
      <c r="F987" s="7" t="s">
        <v>72</v>
      </c>
      <c r="G987" s="7" t="s">
        <v>49</v>
      </c>
      <c r="H987" s="7" t="s">
        <v>50</v>
      </c>
      <c r="I987" s="7" t="s">
        <v>193</v>
      </c>
      <c r="J987" s="7">
        <v>3</v>
      </c>
      <c r="K987" s="9">
        <v>7452</v>
      </c>
      <c r="L987" s="9">
        <v>21238.2</v>
      </c>
      <c r="M987" s="10">
        <v>5</v>
      </c>
      <c r="N987" s="49">
        <v>5417.26</v>
      </c>
      <c r="O987" s="9">
        <v>283.63</v>
      </c>
      <c r="P987" s="7" t="s">
        <v>35</v>
      </c>
      <c r="Q987" s="7" t="s">
        <v>26</v>
      </c>
      <c r="R987" s="28">
        <f t="shared" si="15"/>
        <v>0.25507152206872524</v>
      </c>
    </row>
    <row r="988" spans="1:18" x14ac:dyDescent="0.3">
      <c r="A988" s="3" t="s">
        <v>1648</v>
      </c>
      <c r="B988" s="4">
        <v>46012</v>
      </c>
      <c r="C988" s="3" t="s">
        <v>384</v>
      </c>
      <c r="D988" s="3" t="s">
        <v>39</v>
      </c>
      <c r="E988" s="3" t="s">
        <v>20</v>
      </c>
      <c r="F988" s="3" t="s">
        <v>21</v>
      </c>
      <c r="G988" s="3" t="s">
        <v>22</v>
      </c>
      <c r="H988" s="3" t="s">
        <v>624</v>
      </c>
      <c r="I988" s="3" t="s">
        <v>1649</v>
      </c>
      <c r="J988" s="3">
        <v>1</v>
      </c>
      <c r="K988" s="5">
        <v>54624.02</v>
      </c>
      <c r="L988" s="5">
        <v>49161.62</v>
      </c>
      <c r="M988" s="6">
        <v>10</v>
      </c>
      <c r="N988" s="48">
        <v>1009.87</v>
      </c>
      <c r="O988" s="5">
        <v>84.31</v>
      </c>
      <c r="P988" s="3" t="s">
        <v>25</v>
      </c>
      <c r="Q988" s="3" t="s">
        <v>26</v>
      </c>
      <c r="R988" s="28">
        <f t="shared" si="15"/>
        <v>2.0541837311300968E-2</v>
      </c>
    </row>
    <row r="989" spans="1:18" x14ac:dyDescent="0.3">
      <c r="A989" s="7" t="s">
        <v>1650</v>
      </c>
      <c r="B989" s="8">
        <v>46013</v>
      </c>
      <c r="C989" s="7" t="s">
        <v>338</v>
      </c>
      <c r="D989" s="7" t="s">
        <v>39</v>
      </c>
      <c r="E989" s="7" t="s">
        <v>40</v>
      </c>
      <c r="F989" s="7" t="s">
        <v>41</v>
      </c>
      <c r="G989" s="7" t="s">
        <v>117</v>
      </c>
      <c r="H989" s="7" t="s">
        <v>153</v>
      </c>
      <c r="I989" s="7" t="s">
        <v>154</v>
      </c>
      <c r="J989" s="7">
        <v>3</v>
      </c>
      <c r="K989" s="9">
        <v>1396.39</v>
      </c>
      <c r="L989" s="9">
        <v>3351.34</v>
      </c>
      <c r="M989" s="10">
        <v>20</v>
      </c>
      <c r="N989" s="49">
        <v>705.48</v>
      </c>
      <c r="O989" s="9">
        <v>193.6</v>
      </c>
      <c r="P989" s="7" t="s">
        <v>35</v>
      </c>
      <c r="Q989" s="7" t="s">
        <v>65</v>
      </c>
      <c r="R989" s="28">
        <f t="shared" si="15"/>
        <v>0.21050684203930367</v>
      </c>
    </row>
    <row r="990" spans="1:18" x14ac:dyDescent="0.3">
      <c r="A990" s="3" t="s">
        <v>1651</v>
      </c>
      <c r="B990" s="4">
        <v>46013</v>
      </c>
      <c r="C990" s="3" t="s">
        <v>493</v>
      </c>
      <c r="D990" s="3" t="s">
        <v>19</v>
      </c>
      <c r="E990" s="3" t="s">
        <v>20</v>
      </c>
      <c r="F990" s="3" t="s">
        <v>21</v>
      </c>
      <c r="G990" s="3" t="s">
        <v>117</v>
      </c>
      <c r="H990" s="3" t="s">
        <v>125</v>
      </c>
      <c r="I990" s="3" t="s">
        <v>126</v>
      </c>
      <c r="J990" s="3">
        <v>4</v>
      </c>
      <c r="K990" s="5">
        <v>453.15</v>
      </c>
      <c r="L990" s="5">
        <v>1812.6</v>
      </c>
      <c r="M990" s="6">
        <v>0</v>
      </c>
      <c r="N990" s="48">
        <v>525.84</v>
      </c>
      <c r="O990" s="5">
        <v>92.41</v>
      </c>
      <c r="P990" s="3" t="s">
        <v>35</v>
      </c>
      <c r="Q990" s="3" t="s">
        <v>26</v>
      </c>
      <c r="R990" s="28">
        <f t="shared" si="15"/>
        <v>0.29010261502813639</v>
      </c>
    </row>
    <row r="991" spans="1:18" x14ac:dyDescent="0.3">
      <c r="A991" s="7" t="s">
        <v>1652</v>
      </c>
      <c r="B991" s="8">
        <v>46014</v>
      </c>
      <c r="C991" s="7" t="s">
        <v>156</v>
      </c>
      <c r="D991" s="7" t="s">
        <v>29</v>
      </c>
      <c r="E991" s="7" t="s">
        <v>40</v>
      </c>
      <c r="F991" s="7" t="s">
        <v>90</v>
      </c>
      <c r="G991" s="7" t="s">
        <v>117</v>
      </c>
      <c r="H991" s="7" t="s">
        <v>153</v>
      </c>
      <c r="I991" s="7" t="s">
        <v>356</v>
      </c>
      <c r="J991" s="7">
        <v>2</v>
      </c>
      <c r="K991" s="9">
        <v>1606.79</v>
      </c>
      <c r="L991" s="9">
        <v>3052.9</v>
      </c>
      <c r="M991" s="10">
        <v>5</v>
      </c>
      <c r="N991" s="49">
        <v>605.9</v>
      </c>
      <c r="O991" s="9">
        <v>149.77000000000001</v>
      </c>
      <c r="P991" s="7" t="s">
        <v>64</v>
      </c>
      <c r="Q991" s="7" t="s">
        <v>65</v>
      </c>
      <c r="R991" s="28">
        <f t="shared" si="15"/>
        <v>0.19846703134724358</v>
      </c>
    </row>
    <row r="992" spans="1:18" x14ac:dyDescent="0.3">
      <c r="A992" s="3" t="s">
        <v>1653</v>
      </c>
      <c r="B992" s="4">
        <v>46014</v>
      </c>
      <c r="C992" s="3" t="s">
        <v>898</v>
      </c>
      <c r="D992" s="3" t="s">
        <v>19</v>
      </c>
      <c r="E992" s="3" t="s">
        <v>20</v>
      </c>
      <c r="F992" s="3" t="s">
        <v>21</v>
      </c>
      <c r="G992" s="3" t="s">
        <v>22</v>
      </c>
      <c r="H992" s="3" t="s">
        <v>105</v>
      </c>
      <c r="I992" s="3" t="s">
        <v>629</v>
      </c>
      <c r="J992" s="3">
        <v>1</v>
      </c>
      <c r="K992" s="5">
        <v>15775.41</v>
      </c>
      <c r="L992" s="5">
        <v>13409.1</v>
      </c>
      <c r="M992" s="6">
        <v>15</v>
      </c>
      <c r="N992" s="48">
        <v>-622.07000000000005</v>
      </c>
      <c r="O992" s="5">
        <v>247.67</v>
      </c>
      <c r="P992" s="3" t="s">
        <v>64</v>
      </c>
      <c r="Q992" s="3" t="s">
        <v>36</v>
      </c>
      <c r="R992" s="28">
        <f t="shared" si="15"/>
        <v>-4.6391629564996907E-2</v>
      </c>
    </row>
    <row r="993" spans="1:18" x14ac:dyDescent="0.3">
      <c r="A993" s="7" t="s">
        <v>1654</v>
      </c>
      <c r="B993" s="8">
        <v>46015</v>
      </c>
      <c r="C993" s="7" t="s">
        <v>1007</v>
      </c>
      <c r="D993" s="7" t="s">
        <v>39</v>
      </c>
      <c r="E993" s="7" t="s">
        <v>30</v>
      </c>
      <c r="F993" s="7" t="s">
        <v>48</v>
      </c>
      <c r="G993" s="7" t="s">
        <v>49</v>
      </c>
      <c r="H993" s="7" t="s">
        <v>50</v>
      </c>
      <c r="I993" s="7" t="s">
        <v>95</v>
      </c>
      <c r="J993" s="7">
        <v>1</v>
      </c>
      <c r="K993" s="9">
        <v>7786.49</v>
      </c>
      <c r="L993" s="9">
        <v>7786.49</v>
      </c>
      <c r="M993" s="10">
        <v>0</v>
      </c>
      <c r="N993" s="49">
        <v>1749.84</v>
      </c>
      <c r="O993" s="9">
        <v>107.57</v>
      </c>
      <c r="P993" s="7" t="s">
        <v>25</v>
      </c>
      <c r="Q993" s="7" t="s">
        <v>65</v>
      </c>
      <c r="R993" s="28">
        <f t="shared" si="15"/>
        <v>0.22472770144185633</v>
      </c>
    </row>
    <row r="994" spans="1:18" x14ac:dyDescent="0.3">
      <c r="A994" s="3" t="s">
        <v>1655</v>
      </c>
      <c r="B994" s="4">
        <v>46016</v>
      </c>
      <c r="C994" s="3" t="s">
        <v>250</v>
      </c>
      <c r="D994" s="3" t="s">
        <v>39</v>
      </c>
      <c r="E994" s="3" t="s">
        <v>20</v>
      </c>
      <c r="F994" s="3" t="s">
        <v>129</v>
      </c>
      <c r="G994" s="3" t="s">
        <v>32</v>
      </c>
      <c r="H994" s="3" t="s">
        <v>73</v>
      </c>
      <c r="I994" s="3" t="s">
        <v>214</v>
      </c>
      <c r="J994" s="3">
        <v>3</v>
      </c>
      <c r="K994" s="5">
        <v>4165.2</v>
      </c>
      <c r="L994" s="5">
        <v>12495.6</v>
      </c>
      <c r="M994" s="6">
        <v>0</v>
      </c>
      <c r="N994" s="48">
        <v>1450.73</v>
      </c>
      <c r="O994" s="5">
        <v>282.55</v>
      </c>
      <c r="P994" s="3" t="s">
        <v>35</v>
      </c>
      <c r="Q994" s="3" t="s">
        <v>26</v>
      </c>
      <c r="R994" s="28">
        <f t="shared" si="15"/>
        <v>0.11609926694196357</v>
      </c>
    </row>
    <row r="995" spans="1:18" x14ac:dyDescent="0.3">
      <c r="A995" s="7" t="s">
        <v>1656</v>
      </c>
      <c r="B995" s="8">
        <v>46017</v>
      </c>
      <c r="C995" s="7" t="s">
        <v>89</v>
      </c>
      <c r="D995" s="7" t="s">
        <v>19</v>
      </c>
      <c r="E995" s="7" t="s">
        <v>20</v>
      </c>
      <c r="F995" s="7" t="s">
        <v>54</v>
      </c>
      <c r="G995" s="7" t="s">
        <v>117</v>
      </c>
      <c r="H995" s="7" t="s">
        <v>130</v>
      </c>
      <c r="I995" s="7" t="s">
        <v>310</v>
      </c>
      <c r="J995" s="7">
        <v>2</v>
      </c>
      <c r="K995" s="9">
        <v>616.04999999999995</v>
      </c>
      <c r="L995" s="9">
        <v>1108.8900000000001</v>
      </c>
      <c r="M995" s="10">
        <v>10</v>
      </c>
      <c r="N995" s="49">
        <v>210.83</v>
      </c>
      <c r="O995" s="9">
        <v>278.88</v>
      </c>
      <c r="P995" s="7" t="s">
        <v>45</v>
      </c>
      <c r="Q995" s="7" t="s">
        <v>26</v>
      </c>
      <c r="R995" s="28">
        <f t="shared" si="15"/>
        <v>0.19012706400093787</v>
      </c>
    </row>
    <row r="996" spans="1:18" x14ac:dyDescent="0.3">
      <c r="A996" s="3" t="s">
        <v>1657</v>
      </c>
      <c r="B996" s="4">
        <v>46017</v>
      </c>
      <c r="C996" s="3" t="s">
        <v>571</v>
      </c>
      <c r="D996" s="3" t="s">
        <v>39</v>
      </c>
      <c r="E996" s="3" t="s">
        <v>60</v>
      </c>
      <c r="F996" s="3" t="s">
        <v>68</v>
      </c>
      <c r="G996" s="3" t="s">
        <v>32</v>
      </c>
      <c r="H996" s="3" t="s">
        <v>33</v>
      </c>
      <c r="I996" s="3" t="s">
        <v>449</v>
      </c>
      <c r="J996" s="3">
        <v>1</v>
      </c>
      <c r="K996" s="5">
        <v>9916.9500000000007</v>
      </c>
      <c r="L996" s="5">
        <v>9916.9500000000007</v>
      </c>
      <c r="M996" s="6">
        <v>0</v>
      </c>
      <c r="N996" s="48">
        <v>1441.85</v>
      </c>
      <c r="O996" s="5">
        <v>170.98</v>
      </c>
      <c r="P996" s="3" t="s">
        <v>64</v>
      </c>
      <c r="Q996" s="3" t="s">
        <v>26</v>
      </c>
      <c r="R996" s="28">
        <f t="shared" si="15"/>
        <v>0.14539248458447404</v>
      </c>
    </row>
    <row r="997" spans="1:18" x14ac:dyDescent="0.3">
      <c r="A997" s="7" t="s">
        <v>1658</v>
      </c>
      <c r="B997" s="8">
        <v>46017</v>
      </c>
      <c r="C997" s="7" t="s">
        <v>113</v>
      </c>
      <c r="D997" s="7" t="s">
        <v>39</v>
      </c>
      <c r="E997" s="7" t="s">
        <v>60</v>
      </c>
      <c r="F997" s="7" t="s">
        <v>68</v>
      </c>
      <c r="G997" s="7" t="s">
        <v>22</v>
      </c>
      <c r="H997" s="7" t="s">
        <v>23</v>
      </c>
      <c r="I997" s="7" t="s">
        <v>24</v>
      </c>
      <c r="J997" s="7">
        <v>1</v>
      </c>
      <c r="K997" s="9">
        <v>16264.23</v>
      </c>
      <c r="L997" s="9">
        <v>14637.81</v>
      </c>
      <c r="M997" s="10">
        <v>10</v>
      </c>
      <c r="N997" s="49">
        <v>611.59</v>
      </c>
      <c r="O997" s="9">
        <v>273.19</v>
      </c>
      <c r="P997" s="7" t="s">
        <v>64</v>
      </c>
      <c r="Q997" s="7" t="s">
        <v>65</v>
      </c>
      <c r="R997" s="28">
        <f t="shared" si="15"/>
        <v>4.178152332896793E-2</v>
      </c>
    </row>
    <row r="998" spans="1:18" x14ac:dyDescent="0.3">
      <c r="A998" s="3" t="s">
        <v>1659</v>
      </c>
      <c r="B998" s="4">
        <v>46017</v>
      </c>
      <c r="C998" s="3" t="s">
        <v>413</v>
      </c>
      <c r="D998" s="3" t="s">
        <v>39</v>
      </c>
      <c r="E998" s="3" t="s">
        <v>30</v>
      </c>
      <c r="F998" s="3" t="s">
        <v>48</v>
      </c>
      <c r="G998" s="3" t="s">
        <v>22</v>
      </c>
      <c r="H998" s="3" t="s">
        <v>23</v>
      </c>
      <c r="I998" s="3" t="s">
        <v>24</v>
      </c>
      <c r="J998" s="3">
        <v>4</v>
      </c>
      <c r="K998" s="5">
        <v>46305.1</v>
      </c>
      <c r="L998" s="5">
        <v>166698.35999999999</v>
      </c>
      <c r="M998" s="6">
        <v>10</v>
      </c>
      <c r="N998" s="48">
        <v>6590.42</v>
      </c>
      <c r="O998" s="5">
        <v>95.06</v>
      </c>
      <c r="P998" s="3" t="s">
        <v>64</v>
      </c>
      <c r="Q998" s="3" t="s">
        <v>57</v>
      </c>
      <c r="R998" s="28">
        <f t="shared" si="15"/>
        <v>3.9535002024015116E-2</v>
      </c>
    </row>
    <row r="999" spans="1:18" x14ac:dyDescent="0.3">
      <c r="A999" s="7" t="s">
        <v>1660</v>
      </c>
      <c r="B999" s="8">
        <v>46017</v>
      </c>
      <c r="C999" s="7" t="s">
        <v>1318</v>
      </c>
      <c r="D999" s="7" t="s">
        <v>39</v>
      </c>
      <c r="E999" s="7" t="s">
        <v>60</v>
      </c>
      <c r="F999" s="7" t="s">
        <v>68</v>
      </c>
      <c r="G999" s="7" t="s">
        <v>134</v>
      </c>
      <c r="H999" s="7" t="s">
        <v>91</v>
      </c>
      <c r="I999" s="7" t="s">
        <v>206</v>
      </c>
      <c r="J999" s="7">
        <v>1</v>
      </c>
      <c r="K999" s="9">
        <v>1028.04</v>
      </c>
      <c r="L999" s="9">
        <v>822.43</v>
      </c>
      <c r="M999" s="10">
        <v>20</v>
      </c>
      <c r="N999" s="49">
        <v>85.41</v>
      </c>
      <c r="O999" s="9">
        <v>185.46</v>
      </c>
      <c r="P999" s="7" t="s">
        <v>64</v>
      </c>
      <c r="Q999" s="7" t="s">
        <v>26</v>
      </c>
      <c r="R999" s="28">
        <f t="shared" si="15"/>
        <v>0.10385078365332004</v>
      </c>
    </row>
    <row r="1000" spans="1:18" x14ac:dyDescent="0.3">
      <c r="A1000" s="3" t="s">
        <v>1661</v>
      </c>
      <c r="B1000" s="4">
        <v>46019</v>
      </c>
      <c r="C1000" s="3" t="s">
        <v>1662</v>
      </c>
      <c r="D1000" s="3" t="s">
        <v>39</v>
      </c>
      <c r="E1000" s="3" t="s">
        <v>60</v>
      </c>
      <c r="F1000" s="3" t="s">
        <v>104</v>
      </c>
      <c r="G1000" s="3" t="s">
        <v>49</v>
      </c>
      <c r="H1000" s="3" t="s">
        <v>62</v>
      </c>
      <c r="I1000" s="3" t="s">
        <v>341</v>
      </c>
      <c r="J1000" s="3">
        <v>1</v>
      </c>
      <c r="K1000" s="5">
        <v>10105.76</v>
      </c>
      <c r="L1000" s="5">
        <v>8589.9</v>
      </c>
      <c r="M1000" s="6">
        <v>15</v>
      </c>
      <c r="N1000" s="48">
        <v>1445.15</v>
      </c>
      <c r="O1000" s="5">
        <v>219.22</v>
      </c>
      <c r="P1000" s="3" t="s">
        <v>25</v>
      </c>
      <c r="Q1000" s="3" t="s">
        <v>26</v>
      </c>
      <c r="R1000" s="28">
        <f t="shared" si="15"/>
        <v>0.16823827984027756</v>
      </c>
    </row>
    <row r="1001" spans="1:18" x14ac:dyDescent="0.3">
      <c r="A1001" s="7" t="s">
        <v>1663</v>
      </c>
      <c r="B1001" s="8">
        <v>46020</v>
      </c>
      <c r="C1001" s="7" t="s">
        <v>746</v>
      </c>
      <c r="D1001" s="7" t="s">
        <v>39</v>
      </c>
      <c r="E1001" s="7" t="s">
        <v>30</v>
      </c>
      <c r="F1001" s="7" t="s">
        <v>31</v>
      </c>
      <c r="G1001" s="7" t="s">
        <v>117</v>
      </c>
      <c r="H1001" s="7" t="s">
        <v>153</v>
      </c>
      <c r="I1001" s="7" t="s">
        <v>154</v>
      </c>
      <c r="J1001" s="7">
        <v>1</v>
      </c>
      <c r="K1001" s="9">
        <v>869.63</v>
      </c>
      <c r="L1001" s="9">
        <v>869.63</v>
      </c>
      <c r="M1001" s="10">
        <v>0</v>
      </c>
      <c r="N1001" s="49">
        <v>222.98</v>
      </c>
      <c r="O1001" s="9">
        <v>317.83</v>
      </c>
      <c r="P1001" s="7" t="s">
        <v>25</v>
      </c>
      <c r="Q1001" s="7" t="s">
        <v>65</v>
      </c>
      <c r="R1001" s="28">
        <f t="shared" si="15"/>
        <v>0.25640789761162791</v>
      </c>
    </row>
  </sheetData>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P53"/>
  <sheetViews>
    <sheetView showGridLines="0" tabSelected="1" topLeftCell="A2" zoomScale="70" zoomScaleNormal="70" workbookViewId="0">
      <selection activeCell="AD19" sqref="AD19"/>
    </sheetView>
  </sheetViews>
  <sheetFormatPr defaultRowHeight="14.4" x14ac:dyDescent="0.3"/>
  <cols>
    <col min="1" max="1" width="15.88671875" customWidth="1"/>
    <col min="2" max="2" width="8.88671875" customWidth="1"/>
  </cols>
  <sheetData>
    <row r="1" spans="1:42" x14ac:dyDescent="0.3">
      <c r="A1" s="35"/>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row>
    <row r="2" spans="1:42" x14ac:dyDescent="0.3">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row>
    <row r="3" spans="1:42" x14ac:dyDescent="0.3">
      <c r="A3" s="35"/>
      <c r="B3" s="35"/>
      <c r="C3" s="35"/>
      <c r="D3" s="35"/>
      <c r="E3" s="35"/>
      <c r="F3" s="35"/>
      <c r="G3" s="35"/>
      <c r="H3" s="35"/>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row>
    <row r="4" spans="1:42" x14ac:dyDescent="0.3">
      <c r="A4" s="35"/>
      <c r="B4" s="35"/>
      <c r="C4" s="35"/>
      <c r="D4" s="35"/>
      <c r="E4" s="35"/>
      <c r="F4" s="35"/>
      <c r="G4" s="35"/>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row>
    <row r="5" spans="1:42" x14ac:dyDescent="0.3">
      <c r="A5" s="35"/>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row>
    <row r="6" spans="1:42" x14ac:dyDescent="0.3">
      <c r="A6" s="35"/>
      <c r="B6" s="35"/>
      <c r="C6" s="35"/>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c r="AG6" s="35"/>
      <c r="AH6" s="35"/>
      <c r="AI6" s="35"/>
      <c r="AJ6" s="35"/>
      <c r="AK6" s="35"/>
      <c r="AL6" s="35"/>
      <c r="AM6" s="35"/>
      <c r="AN6" s="35"/>
      <c r="AO6" s="35"/>
      <c r="AP6" s="35"/>
    </row>
    <row r="7" spans="1:42" x14ac:dyDescent="0.3">
      <c r="A7" s="35"/>
      <c r="B7" s="35"/>
      <c r="C7" s="35"/>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row>
    <row r="8" spans="1:42" x14ac:dyDescent="0.3">
      <c r="A8" s="35"/>
      <c r="B8" s="35"/>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row>
    <row r="9" spans="1:42" x14ac:dyDescent="0.3">
      <c r="A9" s="35"/>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row>
    <row r="10" spans="1:42" x14ac:dyDescent="0.3">
      <c r="A10" s="35"/>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row>
    <row r="11" spans="1:42" x14ac:dyDescent="0.3">
      <c r="A11" s="35"/>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row>
    <row r="12" spans="1:42" x14ac:dyDescent="0.3">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row>
    <row r="13" spans="1:42" x14ac:dyDescent="0.3">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row>
    <row r="14" spans="1:42" x14ac:dyDescent="0.3">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row>
    <row r="15" spans="1:42" x14ac:dyDescent="0.3">
      <c r="A15" s="35"/>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row>
    <row r="16" spans="1:42" x14ac:dyDescent="0.3">
      <c r="A16" s="35"/>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row>
    <row r="17" spans="1:42" x14ac:dyDescent="0.3">
      <c r="A17" s="35"/>
      <c r="B17" s="35"/>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row>
    <row r="18" spans="1:42" x14ac:dyDescent="0.3">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row>
    <row r="19" spans="1:42" x14ac:dyDescent="0.3">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row>
    <row r="20" spans="1:42" x14ac:dyDescent="0.3">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row>
    <row r="21" spans="1:42" x14ac:dyDescent="0.3">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row>
    <row r="22" spans="1:42" x14ac:dyDescent="0.3">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row>
    <row r="23" spans="1:42" x14ac:dyDescent="0.3">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row>
    <row r="24" spans="1:42" x14ac:dyDescent="0.3">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row>
    <row r="25" spans="1:42" x14ac:dyDescent="0.3">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row>
    <row r="26" spans="1:42" x14ac:dyDescent="0.3">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row>
    <row r="27" spans="1:42" x14ac:dyDescent="0.3">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row>
    <row r="28" spans="1:42" x14ac:dyDescent="0.3">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row>
    <row r="29" spans="1:42" x14ac:dyDescent="0.3">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row>
    <row r="30" spans="1:42" x14ac:dyDescent="0.3">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row>
    <row r="31" spans="1:42" x14ac:dyDescent="0.3">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row>
    <row r="32" spans="1:42" x14ac:dyDescent="0.3">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row>
    <row r="33" spans="1:42" x14ac:dyDescent="0.3">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row>
    <row r="34" spans="1:42" x14ac:dyDescent="0.3">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row>
    <row r="35" spans="1:42" x14ac:dyDescent="0.3">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row>
    <row r="36" spans="1:42" x14ac:dyDescent="0.3">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row>
    <row r="37" spans="1:42" x14ac:dyDescent="0.3">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row>
    <row r="38" spans="1:42" x14ac:dyDescent="0.3">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row>
    <row r="39" spans="1:42" x14ac:dyDescent="0.3">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row>
    <row r="40" spans="1:42" x14ac:dyDescent="0.3">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row>
    <row r="41" spans="1:42" x14ac:dyDescent="0.3">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row>
    <row r="42" spans="1:42" x14ac:dyDescent="0.3">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row>
    <row r="43" spans="1:42" x14ac:dyDescent="0.3">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row>
    <row r="44" spans="1:42" x14ac:dyDescent="0.3">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row>
    <row r="45" spans="1:42" x14ac:dyDescent="0.3">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row>
    <row r="46" spans="1:42" x14ac:dyDescent="0.3">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row>
    <row r="47" spans="1:42" x14ac:dyDescent="0.3">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row>
    <row r="48" spans="1:42" x14ac:dyDescent="0.3">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row>
    <row r="49" spans="1:42" x14ac:dyDescent="0.3">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row>
    <row r="50" spans="1:42" x14ac:dyDescent="0.3">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row>
    <row r="51" spans="1:42" x14ac:dyDescent="0.3">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row>
    <row r="52" spans="1:42" x14ac:dyDescent="0.3">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row>
    <row r="53" spans="1:42" x14ac:dyDescent="0.3">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QUESTIONS </vt:lpstr>
      <vt:lpstr>PIVOT TABLE </vt:lpstr>
      <vt:lpstr>ORDER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Neha gupta</cp:lastModifiedBy>
  <dcterms:created xsi:type="dcterms:W3CDTF">2026-09-15T07:38:10Z</dcterms:created>
  <dcterms:modified xsi:type="dcterms:W3CDTF">2026-10-07T08:22:05Z</dcterms:modified>
</cp:coreProperties>
</file>